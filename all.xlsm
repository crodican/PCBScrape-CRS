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2.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defaultThemeVersion="202300"/>
  <mc:AlternateContent xmlns:mc="http://schemas.openxmlformats.org/markup-compatibility/2006">
    <mc:Choice Requires="x15">
      <x15ac:absPath xmlns:x15ac="http://schemas.microsoft.com/office/spreadsheetml/2010/11/ac" url="https://councilsepa-my.sharepoint.com/personal/crodican_councilsepa_org/Documents/Development/Github/PCBScrape-CRS/"/>
    </mc:Choice>
  </mc:AlternateContent>
  <xr:revisionPtr revIDLastSave="510" documentId="8_{8F8AB98E-36B3-46C4-ADD9-3BE289416623}" xr6:coauthVersionLast="47" xr6:coauthVersionMax="47" xr10:uidLastSave="{0B87C1B7-69B3-4068-A7CC-5002624613E4}"/>
  <bookViews>
    <workbookView xWindow="-113" yWindow="-113" windowWidth="24267" windowHeight="14526" activeTab="2" xr2:uid="{3199190E-DC9D-44F7-B3A0-3C8FA2DAEE96}"/>
  </bookViews>
  <sheets>
    <sheet name="Sheet3" sheetId="4" r:id="rId1"/>
    <sheet name="Analysis" sheetId="7" r:id="rId2"/>
    <sheet name="all" sheetId="1" r:id="rId3"/>
    <sheet name="Sheet8" sheetId="9" r:id="rId4"/>
    <sheet name="Sheet1" sheetId="2" r:id="rId5"/>
  </sheets>
  <externalReferences>
    <externalReference r:id="rId6"/>
  </externalReferences>
  <definedNames>
    <definedName name="_xlnm._FilterDatabase" localSheetId="2" hidden="1">all!$C$13:$J$1990</definedName>
    <definedName name="_xlnm._FilterDatabase" localSheetId="3" hidden="1">[1]All!$B$10:$K$596</definedName>
    <definedName name="Slicer_COUNTY">#N/A</definedName>
    <definedName name="Slicer_COUNTY1">#N/A</definedName>
    <definedName name="Slicer_CREDENTIAL">#N/A</definedName>
    <definedName name="Slicer_MONTHYEAR">#N/A</definedName>
    <definedName name="Slicer_STATUS">#N/A</definedName>
  </definedNames>
  <calcPr calcId="191029"/>
  <pivotCaches>
    <pivotCache cacheId="36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4" i="1" l="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B45" i="7"/>
  <c r="E44" i="7"/>
  <c r="B46" i="7"/>
  <c r="E45" i="7"/>
  <c r="B47" i="7"/>
  <c r="E46" i="7"/>
  <c r="B51" i="7"/>
  <c r="B52" i="7"/>
  <c r="B53" i="7"/>
</calcChain>
</file>

<file path=xl/sharedStrings.xml><?xml version="1.0" encoding="utf-8"?>
<sst xmlns="http://schemas.openxmlformats.org/spreadsheetml/2006/main" count="9990" uniqueCount="2052">
  <si>
    <t>NAME</t>
  </si>
  <si>
    <t>CITY</t>
  </si>
  <si>
    <t>CREDENTIAL</t>
  </si>
  <si>
    <t>NUMBER</t>
  </si>
  <si>
    <t>ISSUE DATE</t>
  </si>
  <si>
    <t>EXP DATE</t>
  </si>
  <si>
    <t>STATUS</t>
  </si>
  <si>
    <t>(Jaclyn) Jackie Zukoski</t>
  </si>
  <si>
    <t>minersville</t>
  </si>
  <si>
    <t>CRS</t>
  </si>
  <si>
    <t>Active</t>
  </si>
  <si>
    <t>Schuylkill</t>
  </si>
  <si>
    <t>Aaron Hutson</t>
  </si>
  <si>
    <t>reading</t>
  </si>
  <si>
    <t>Berks</t>
  </si>
  <si>
    <t>Aaron Prager</t>
  </si>
  <si>
    <t>Expired</t>
  </si>
  <si>
    <t>Abigail Di Sanzo</t>
  </si>
  <si>
    <t>lancaster</t>
  </si>
  <si>
    <t>Lancaster</t>
  </si>
  <si>
    <t>Adam  Birch</t>
  </si>
  <si>
    <t>crum lynne</t>
  </si>
  <si>
    <t>Delaware</t>
  </si>
  <si>
    <t>Adam Sledd</t>
  </si>
  <si>
    <t>downingtown</t>
  </si>
  <si>
    <t>Chester</t>
  </si>
  <si>
    <t>CFRS</t>
  </si>
  <si>
    <t>CRSS</t>
  </si>
  <si>
    <t>Ademola Wood</t>
  </si>
  <si>
    <t>norristown</t>
  </si>
  <si>
    <t>Montgomery</t>
  </si>
  <si>
    <t>Adonna Rowe</t>
  </si>
  <si>
    <t>philadelphia</t>
  </si>
  <si>
    <t>Philadelphia</t>
  </si>
  <si>
    <t>Adrianne Lynch</t>
  </si>
  <si>
    <t>wallingford</t>
  </si>
  <si>
    <t>Aimee Clark</t>
  </si>
  <si>
    <t>feasterville trevose</t>
  </si>
  <si>
    <t>Bucks</t>
  </si>
  <si>
    <t>Alan Fenstermaker</t>
  </si>
  <si>
    <t>phoenixville</t>
  </si>
  <si>
    <t>Albert Pickett</t>
  </si>
  <si>
    <t>Albert Rementer</t>
  </si>
  <si>
    <t>Alec Keck</t>
  </si>
  <si>
    <t>Alejandro Galarza</t>
  </si>
  <si>
    <t>Alex Bloomer</t>
  </si>
  <si>
    <t>bensalem</t>
  </si>
  <si>
    <t>Alexa Geist</t>
  </si>
  <si>
    <t>bristol</t>
  </si>
  <si>
    <t>Alexander Brengle</t>
  </si>
  <si>
    <t>Alexander Van Houten</t>
  </si>
  <si>
    <t>warrington</t>
  </si>
  <si>
    <t>Alexandra Canale</t>
  </si>
  <si>
    <t>pottstown</t>
  </si>
  <si>
    <t>Alexandra Perez</t>
  </si>
  <si>
    <t>tamaqua</t>
  </si>
  <si>
    <t>Alexandra Rinaldi</t>
  </si>
  <si>
    <t>sellersville</t>
  </si>
  <si>
    <t>Alexandra Sharf</t>
  </si>
  <si>
    <t>horsham</t>
  </si>
  <si>
    <t>Alexandra Szymanski</t>
  </si>
  <si>
    <t>lititz</t>
  </si>
  <si>
    <t>Alexandria DelGatto</t>
  </si>
  <si>
    <t>boothwyn</t>
  </si>
  <si>
    <t>Alexis Mercado</t>
  </si>
  <si>
    <t>mount joy</t>
  </si>
  <si>
    <t>Alice Ciocco</t>
  </si>
  <si>
    <t>berwyn</t>
  </si>
  <si>
    <t>Alice Dillman</t>
  </si>
  <si>
    <t>Alicia Sanchez</t>
  </si>
  <si>
    <t>Alicia Sessions</t>
  </si>
  <si>
    <t>Alisen Vanger</t>
  </si>
  <si>
    <t>Alisha Hickey</t>
  </si>
  <si>
    <t>north wales</t>
  </si>
  <si>
    <t>Alison Dunn</t>
  </si>
  <si>
    <t>Alison Eibl</t>
  </si>
  <si>
    <t>Alison Slickers</t>
  </si>
  <si>
    <t>Alison Tarrant</t>
  </si>
  <si>
    <t>coatesville</t>
  </si>
  <si>
    <t>Allen Johnson</t>
  </si>
  <si>
    <t>levittown</t>
  </si>
  <si>
    <t>Allen Pratt</t>
  </si>
  <si>
    <t>Lapsed</t>
  </si>
  <si>
    <t>Allison Dracha</t>
  </si>
  <si>
    <t>temple</t>
  </si>
  <si>
    <t>Allison Travis</t>
  </si>
  <si>
    <t>Allison Wray</t>
  </si>
  <si>
    <t>Allycia Barr</t>
  </si>
  <si>
    <t>ephrata</t>
  </si>
  <si>
    <t>Alma Payne</t>
  </si>
  <si>
    <t>Alonzo Cooper</t>
  </si>
  <si>
    <t>Althea Josephs-Evans</t>
  </si>
  <si>
    <t>Alysa Lightcap</t>
  </si>
  <si>
    <t>Alyssa Fillman</t>
  </si>
  <si>
    <t>Alyssa Goodwin</t>
  </si>
  <si>
    <t>Alyssa Hari</t>
  </si>
  <si>
    <t>Alyssa Sarazin</t>
  </si>
  <si>
    <t>Amalthea Leland</t>
  </si>
  <si>
    <t>Amanda  Pitt</t>
  </si>
  <si>
    <t>harleysville</t>
  </si>
  <si>
    <t>Amanda Burns</t>
  </si>
  <si>
    <t>Amanda Carneiro</t>
  </si>
  <si>
    <t>dublin</t>
  </si>
  <si>
    <t>Amanda Davidheiser</t>
  </si>
  <si>
    <t>blandon</t>
  </si>
  <si>
    <t>Amanda Drummond</t>
  </si>
  <si>
    <t>Amanda Flasher</t>
  </si>
  <si>
    <t>spring city</t>
  </si>
  <si>
    <t>Amanda Leary</t>
  </si>
  <si>
    <t>quakertown</t>
  </si>
  <si>
    <t>Amanda Monturano</t>
  </si>
  <si>
    <t>warminster</t>
  </si>
  <si>
    <t>Amanda Rook</t>
  </si>
  <si>
    <t>Amanda Swallow</t>
  </si>
  <si>
    <t>ridley park</t>
  </si>
  <si>
    <t>Amani Gethers</t>
  </si>
  <si>
    <t>Amaryllis Boger</t>
  </si>
  <si>
    <t>Amber  Costarella</t>
  </si>
  <si>
    <t>millersville</t>
  </si>
  <si>
    <t>Amber Cox</t>
  </si>
  <si>
    <t>Amber Finnegan</t>
  </si>
  <si>
    <t>Amber Razzano</t>
  </si>
  <si>
    <t>Amear Mitchell</t>
  </si>
  <si>
    <t>Amelia Petersen</t>
  </si>
  <si>
    <t>Amy  Incledon</t>
  </si>
  <si>
    <t>Amy Bostwick</t>
  </si>
  <si>
    <t>new hope</t>
  </si>
  <si>
    <t>Amy Highley</t>
  </si>
  <si>
    <t>robesonia</t>
  </si>
  <si>
    <t>Amy Horning</t>
  </si>
  <si>
    <t>Amy Kunkle</t>
  </si>
  <si>
    <t>doylestown</t>
  </si>
  <si>
    <t>Amy Mitchell</t>
  </si>
  <si>
    <t>sinking spring</t>
  </si>
  <si>
    <t>Amy Rapp</t>
  </si>
  <si>
    <t>Amy Schmidt</t>
  </si>
  <si>
    <t>Anais Clemente Colon</t>
  </si>
  <si>
    <t>Andrea Brown</t>
  </si>
  <si>
    <t>Andrea Cicchetti</t>
  </si>
  <si>
    <t>richboro</t>
  </si>
  <si>
    <t>Andrea Dames</t>
  </si>
  <si>
    <t>langhorne</t>
  </si>
  <si>
    <t>Andre'a Floyd</t>
  </si>
  <si>
    <t>Andrea Lamour-Harrington</t>
  </si>
  <si>
    <t>Andrea Moser</t>
  </si>
  <si>
    <t>bechtelsville</t>
  </si>
  <si>
    <t>Andrea Rivera</t>
  </si>
  <si>
    <t>Andrea Rose</t>
  </si>
  <si>
    <t>birdsboro</t>
  </si>
  <si>
    <t>Andrea Sledge</t>
  </si>
  <si>
    <t>mohnton</t>
  </si>
  <si>
    <t>Andrea Stevenson</t>
  </si>
  <si>
    <t>Andres Rodriguez, Jr., II</t>
  </si>
  <si>
    <t>upper darby</t>
  </si>
  <si>
    <t>Andrew Bassininsky</t>
  </si>
  <si>
    <t>pottsville</t>
  </si>
  <si>
    <t>Andrew Deery</t>
  </si>
  <si>
    <t>Andrew Dooley</t>
  </si>
  <si>
    <t>hatboro</t>
  </si>
  <si>
    <t>Andrew Eisenhauer</t>
  </si>
  <si>
    <t>womelsdorf</t>
  </si>
  <si>
    <t>Andrew Hahn</t>
  </si>
  <si>
    <t>Andrew Kelly</t>
  </si>
  <si>
    <t>Andrew Matthews</t>
  </si>
  <si>
    <t>drexel hill</t>
  </si>
  <si>
    <t>Andrew Pfleger</t>
  </si>
  <si>
    <t>Andrew Pimentel</t>
  </si>
  <si>
    <t>bala cynwyd</t>
  </si>
  <si>
    <t>Angela Chavarria</t>
  </si>
  <si>
    <t>boyertown</t>
  </si>
  <si>
    <t>Angela Haring</t>
  </si>
  <si>
    <t>hamburg</t>
  </si>
  <si>
    <t>Angela Jakubowski</t>
  </si>
  <si>
    <t>schuylkill haven</t>
  </si>
  <si>
    <t>Angela Mebane</t>
  </si>
  <si>
    <t>Angela Naber</t>
  </si>
  <si>
    <t>telford</t>
  </si>
  <si>
    <t>Angela Pleva</t>
  </si>
  <si>
    <t>Angela Reznick</t>
  </si>
  <si>
    <t>wyomissing</t>
  </si>
  <si>
    <t>Angela Richardson</t>
  </si>
  <si>
    <t>Angela Rivera</t>
  </si>
  <si>
    <t>topton</t>
  </si>
  <si>
    <t>Angela Sanders</t>
  </si>
  <si>
    <t>Angela Smith</t>
  </si>
  <si>
    <t>Angela Welsh</t>
  </si>
  <si>
    <t>Angelo Colon</t>
  </si>
  <si>
    <t>Anise Robinson</t>
  </si>
  <si>
    <t>Ann Marie Drosnock</t>
  </si>
  <si>
    <t>Ann Schwartz</t>
  </si>
  <si>
    <t>wernersville</t>
  </si>
  <si>
    <t>Anna Bonilla</t>
  </si>
  <si>
    <t>Anna Bruecks</t>
  </si>
  <si>
    <t>Anna Campbell</t>
  </si>
  <si>
    <t>Anna Hogan</t>
  </si>
  <si>
    <t>Anna Kolody</t>
  </si>
  <si>
    <t>Anna Lynn</t>
  </si>
  <si>
    <t>Anna Marie DiVita</t>
  </si>
  <si>
    <t>holland</t>
  </si>
  <si>
    <t>Anna Nejman</t>
  </si>
  <si>
    <t>huntingdon valley</t>
  </si>
  <si>
    <t>Anna Pizzica</t>
  </si>
  <si>
    <t>columbia</t>
  </si>
  <si>
    <t>Anna Weklicz</t>
  </si>
  <si>
    <t>AnnaMarie Easley</t>
  </si>
  <si>
    <t>Annamarie Graf</t>
  </si>
  <si>
    <t>schwenksville</t>
  </si>
  <si>
    <t>Anne Emery</t>
  </si>
  <si>
    <t>Anne Feil</t>
  </si>
  <si>
    <t>Anne Ginder</t>
  </si>
  <si>
    <t>willow street</t>
  </si>
  <si>
    <t>Annika Odhner</t>
  </si>
  <si>
    <t>Anthony Bynum</t>
  </si>
  <si>
    <t>Anthony Czarnecki</t>
  </si>
  <si>
    <t>Anthony DiLauri, Jr.</t>
  </si>
  <si>
    <t>rehrersburg</t>
  </si>
  <si>
    <t>Anthony Porter</t>
  </si>
  <si>
    <t>Anthony Stewart</t>
  </si>
  <si>
    <t>Anthony Tatro</t>
  </si>
  <si>
    <t>Anthony Williams</t>
  </si>
  <si>
    <t>Antoinette Jackson-Aziz</t>
  </si>
  <si>
    <t>Antonio McNear</t>
  </si>
  <si>
    <t>Antonio Rivera</t>
  </si>
  <si>
    <t>April Ermold</t>
  </si>
  <si>
    <t>April Underwood</t>
  </si>
  <si>
    <t>Aretha Swift</t>
  </si>
  <si>
    <t>abington</t>
  </si>
  <si>
    <t>Ariane Cooney</t>
  </si>
  <si>
    <t>Arielle Shepro</t>
  </si>
  <si>
    <t>Arlene Clemick</t>
  </si>
  <si>
    <t>Arlington Johnson Jr.</t>
  </si>
  <si>
    <t>Arthur Stewart</t>
  </si>
  <si>
    <t>Arvin Alston</t>
  </si>
  <si>
    <t>Ashlee  Foster</t>
  </si>
  <si>
    <t>Ashleigh Germond</t>
  </si>
  <si>
    <t>brookhaven</t>
  </si>
  <si>
    <t>Ashley Brunstetter-McCloughy</t>
  </si>
  <si>
    <t>Ashley Gilley</t>
  </si>
  <si>
    <t>perkasie</t>
  </si>
  <si>
    <t>Ashley Grande</t>
  </si>
  <si>
    <t>Ashley Hosseini</t>
  </si>
  <si>
    <t>newtown square</t>
  </si>
  <si>
    <t>Ashley Kuhar</t>
  </si>
  <si>
    <t>Ashley Lederach</t>
  </si>
  <si>
    <t>Ashley Mitchell</t>
  </si>
  <si>
    <t>Audrey  Macindoe</t>
  </si>
  <si>
    <t>Audrey Pawling</t>
  </si>
  <si>
    <t>Barbara Brenny</t>
  </si>
  <si>
    <t>Barbara Burns</t>
  </si>
  <si>
    <t>elkins park</t>
  </si>
  <si>
    <t>Barbara Donald</t>
  </si>
  <si>
    <t>Barbara Hentosh</t>
  </si>
  <si>
    <t>yardley</t>
  </si>
  <si>
    <t>Barbara Lewis</t>
  </si>
  <si>
    <t>Barbara Vou'se-Friedman</t>
  </si>
  <si>
    <t>Barry Remes</t>
  </si>
  <si>
    <t>bernville</t>
  </si>
  <si>
    <t>Barry Salop</t>
  </si>
  <si>
    <t>wynnewood</t>
  </si>
  <si>
    <t>Beckey VanEtten</t>
  </si>
  <si>
    <t>fleetwood</t>
  </si>
  <si>
    <t>Becky Skarzynski</t>
  </si>
  <si>
    <t>Benita Dixon</t>
  </si>
  <si>
    <t>Benjamin Kurten</t>
  </si>
  <si>
    <t>havertown</t>
  </si>
  <si>
    <t>Benjamin Moore</t>
  </si>
  <si>
    <t>Beth Brandt</t>
  </si>
  <si>
    <t>Beth Goodman</t>
  </si>
  <si>
    <t>Beth Shannon</t>
  </si>
  <si>
    <t>west chester</t>
  </si>
  <si>
    <t>Betsy Hernandez</t>
  </si>
  <si>
    <t>Beverly Harrington</t>
  </si>
  <si>
    <t>Beverly Minton</t>
  </si>
  <si>
    <t>collegeville</t>
  </si>
  <si>
    <t>Beverly Russell</t>
  </si>
  <si>
    <t>Billy Curtis</t>
  </si>
  <si>
    <t>Bob Schmidt</t>
  </si>
  <si>
    <t>Bobbie Deo</t>
  </si>
  <si>
    <t>Bolt Eichner</t>
  </si>
  <si>
    <t>Bonita Pritchette</t>
  </si>
  <si>
    <t>Bonnie Liebel</t>
  </si>
  <si>
    <t>Bonnie MacIntosh</t>
  </si>
  <si>
    <t>Bonnie Nickle</t>
  </si>
  <si>
    <t>Bonnie Shuster</t>
  </si>
  <si>
    <t>Brad Peffer</t>
  </si>
  <si>
    <t>Brad Ramsey</t>
  </si>
  <si>
    <t>Brad Schweitzer</t>
  </si>
  <si>
    <t>Bradford Meck</t>
  </si>
  <si>
    <t>Bradley Egolf</t>
  </si>
  <si>
    <t>Brandi O'Brien</t>
  </si>
  <si>
    <t>nottingham</t>
  </si>
  <si>
    <t>Brandi Roseberry</t>
  </si>
  <si>
    <t>Brandon Geiger</t>
  </si>
  <si>
    <t>Brandon Griffith</t>
  </si>
  <si>
    <t>Brandon Hildebrand</t>
  </si>
  <si>
    <t>Brandon Newman</t>
  </si>
  <si>
    <t>Brandon Riley</t>
  </si>
  <si>
    <t>Brandon Russell</t>
  </si>
  <si>
    <t>willow grove</t>
  </si>
  <si>
    <t>Breelyn Worley</t>
  </si>
  <si>
    <t>Brenda  Carpenter</t>
  </si>
  <si>
    <t>Brenda Lacy</t>
  </si>
  <si>
    <t>Brenda McNeely</t>
  </si>
  <si>
    <t>Brendan DelGatto</t>
  </si>
  <si>
    <t>Brendan Letts</t>
  </si>
  <si>
    <t>media</t>
  </si>
  <si>
    <t>Brent Glazer</t>
  </si>
  <si>
    <t>Brent Hoover</t>
  </si>
  <si>
    <t>Brent Reber</t>
  </si>
  <si>
    <t>orwigsburg</t>
  </si>
  <si>
    <t>Brett Ford</t>
  </si>
  <si>
    <t>Brett Lucas</t>
  </si>
  <si>
    <t>Brian Gemberling</t>
  </si>
  <si>
    <t>Brian Grishaber</t>
  </si>
  <si>
    <t>Brian Harrington</t>
  </si>
  <si>
    <t>king of prussia</t>
  </si>
  <si>
    <t>Brian Kammerer</t>
  </si>
  <si>
    <t>Brian Kaye</t>
  </si>
  <si>
    <t>Brian Linson</t>
  </si>
  <si>
    <t>Brian Mentzer</t>
  </si>
  <si>
    <t>Brian Perna</t>
  </si>
  <si>
    <t>Ethics Violation</t>
  </si>
  <si>
    <t>Brian Sapp</t>
  </si>
  <si>
    <t>broomall</t>
  </si>
  <si>
    <t>Brian Tobin</t>
  </si>
  <si>
    <t>Brian Wilson</t>
  </si>
  <si>
    <t>Briana Capone</t>
  </si>
  <si>
    <t>clifton heights</t>
  </si>
  <si>
    <t>Brianna Barbii Duncan</t>
  </si>
  <si>
    <t>Brianne Sadowskas</t>
  </si>
  <si>
    <t>Bridget Lease</t>
  </si>
  <si>
    <t>Brittany Kalajian</t>
  </si>
  <si>
    <t>Brittney Pester</t>
  </si>
  <si>
    <t>new ringgold</t>
  </si>
  <si>
    <t>Brook Harris</t>
  </si>
  <si>
    <t>Brooke Feldman</t>
  </si>
  <si>
    <t>Brooke Moats</t>
  </si>
  <si>
    <t>lansdale</t>
  </si>
  <si>
    <t>Brooke Shockley</t>
  </si>
  <si>
    <t>Bruce Bingaman</t>
  </si>
  <si>
    <t>gilbertsville</t>
  </si>
  <si>
    <t>Bruce Moll</t>
  </si>
  <si>
    <t>red hill</t>
  </si>
  <si>
    <t>Bryan Kellagher</t>
  </si>
  <si>
    <t>Cade Feeney</t>
  </si>
  <si>
    <t>Caitlin Binck</t>
  </si>
  <si>
    <t>Caitlyn DeFrank</t>
  </si>
  <si>
    <t>malvern</t>
  </si>
  <si>
    <t>Caleb Henry</t>
  </si>
  <si>
    <t>Cameron Jackson</t>
  </si>
  <si>
    <t>Candace Gaston</t>
  </si>
  <si>
    <t>Candy Sosinski</t>
  </si>
  <si>
    <t>Carl Forman</t>
  </si>
  <si>
    <t>Carla Calabrese</t>
  </si>
  <si>
    <t>Carla Geohaghan</t>
  </si>
  <si>
    <t>folcroft</t>
  </si>
  <si>
    <t>Carla Sofronski</t>
  </si>
  <si>
    <t>Carmen  Batista-Mejia</t>
  </si>
  <si>
    <t>Carmen  Lagomasini</t>
  </si>
  <si>
    <t>Carmen Albrecht</t>
  </si>
  <si>
    <t>Carmen Medina</t>
  </si>
  <si>
    <t>Carmine D'Uva</t>
  </si>
  <si>
    <t>Carol Foschini</t>
  </si>
  <si>
    <t>manheim</t>
  </si>
  <si>
    <t>Carol Glass</t>
  </si>
  <si>
    <t>Carol Rostucher</t>
  </si>
  <si>
    <t>Caroline Brown</t>
  </si>
  <si>
    <t>Carolyn Brooks</t>
  </si>
  <si>
    <t>Carolyn Faddis</t>
  </si>
  <si>
    <t>honey brook</t>
  </si>
  <si>
    <t>Carolyn Mauras</t>
  </si>
  <si>
    <t>Carrie Martin</t>
  </si>
  <si>
    <t>Caryn Malatesta</t>
  </si>
  <si>
    <t>Casey Shanahan</t>
  </si>
  <si>
    <t>Casilyn Papirio</t>
  </si>
  <si>
    <t>fairless hills</t>
  </si>
  <si>
    <t>Cassandra Barnett</t>
  </si>
  <si>
    <t>shillington</t>
  </si>
  <si>
    <t>Catherine Kavanaugh</t>
  </si>
  <si>
    <t>Catherine McLaughlin</t>
  </si>
  <si>
    <t>Cathleen Mullane</t>
  </si>
  <si>
    <t>Cathy Cruz</t>
  </si>
  <si>
    <t>Cecelia Bruce</t>
  </si>
  <si>
    <t>Cecil Dunmore</t>
  </si>
  <si>
    <t>Cecilia Velasquez</t>
  </si>
  <si>
    <t>0566</t>
  </si>
  <si>
    <t>Cecily Levan</t>
  </si>
  <si>
    <t>Celestine Leavingston</t>
  </si>
  <si>
    <t>Chamonix Rassekh</t>
  </si>
  <si>
    <t>Chardonee Lee</t>
  </si>
  <si>
    <t>lansdowne</t>
  </si>
  <si>
    <t>Charlene Ison</t>
  </si>
  <si>
    <t>Charlene Sigg</t>
  </si>
  <si>
    <t>Charlene Taylor</t>
  </si>
  <si>
    <t>Charles  Butts</t>
  </si>
  <si>
    <t>auburn</t>
  </si>
  <si>
    <t>Charles  Schembs</t>
  </si>
  <si>
    <t>Charles Arnold</t>
  </si>
  <si>
    <t>newtown</t>
  </si>
  <si>
    <t>Charles Hicks</t>
  </si>
  <si>
    <t>Charles Mapp, Jr.</t>
  </si>
  <si>
    <t>Charles Thran</t>
  </si>
  <si>
    <t>marietta</t>
  </si>
  <si>
    <t>Chauncey Stokes</t>
  </si>
  <si>
    <t>Chavelle  Carter</t>
  </si>
  <si>
    <t>Chelsea Sormilich</t>
  </si>
  <si>
    <t>Cheryl Wall</t>
  </si>
  <si>
    <t>Christian Harding</t>
  </si>
  <si>
    <t>Christian Terilla</t>
  </si>
  <si>
    <t>Christie Adams</t>
  </si>
  <si>
    <t>Christina  Robbins</t>
  </si>
  <si>
    <t>Christina Congdon</t>
  </si>
  <si>
    <t>swarthmore</t>
  </si>
  <si>
    <t>Christina Cortez</t>
  </si>
  <si>
    <t>Christina Favinger</t>
  </si>
  <si>
    <t>Christina Gurney</t>
  </si>
  <si>
    <t>Christina Korczynski</t>
  </si>
  <si>
    <t>glen mills</t>
  </si>
  <si>
    <t>Christina Riddle</t>
  </si>
  <si>
    <t>Christine Brader</t>
  </si>
  <si>
    <t>Christine Davies</t>
  </si>
  <si>
    <t>Christine Harrity</t>
  </si>
  <si>
    <t>Christine Jackson</t>
  </si>
  <si>
    <t>Christine Maxwell</t>
  </si>
  <si>
    <t>Christine Rizzo</t>
  </si>
  <si>
    <t>Christine Rosadino</t>
  </si>
  <si>
    <t>wayne</t>
  </si>
  <si>
    <t>Christine Sternberger</t>
  </si>
  <si>
    <t>Christine Stewart</t>
  </si>
  <si>
    <t>Christine Suitor</t>
  </si>
  <si>
    <t>Christine Webster</t>
  </si>
  <si>
    <t>aston</t>
  </si>
  <si>
    <t>Christine Zaengle</t>
  </si>
  <si>
    <t>Christopher Brown</t>
  </si>
  <si>
    <t>Christopher Caughron</t>
  </si>
  <si>
    <t>Christopher Chalfant</t>
  </si>
  <si>
    <t>Christopher Erthal</t>
  </si>
  <si>
    <t>Christopher Gourley</t>
  </si>
  <si>
    <t>Christopher Griddle</t>
  </si>
  <si>
    <t>Christopher Herrlinger</t>
  </si>
  <si>
    <t>Christopher Kiesel</t>
  </si>
  <si>
    <t>Christopher Leidig</t>
  </si>
  <si>
    <t>Christopher Lenkowski</t>
  </si>
  <si>
    <t>Christopher McNutt</t>
  </si>
  <si>
    <t>Christopher Rodican</t>
  </si>
  <si>
    <t>Christopher Sandy</t>
  </si>
  <si>
    <t>Christopher Seifert Jr.</t>
  </si>
  <si>
    <t>Christopher Smith</t>
  </si>
  <si>
    <t>Christy McDowell</t>
  </si>
  <si>
    <t>Chynna Stebilla</t>
  </si>
  <si>
    <t>kutztown</t>
  </si>
  <si>
    <t>Cindy Wanamaker</t>
  </si>
  <si>
    <t>exton</t>
  </si>
  <si>
    <t>Claire Keller</t>
  </si>
  <si>
    <t>Clarence Word</t>
  </si>
  <si>
    <t>Claritza Mason</t>
  </si>
  <si>
    <t>Claudia Herman</t>
  </si>
  <si>
    <t>mohrsville</t>
  </si>
  <si>
    <t>Clayton Loehr</t>
  </si>
  <si>
    <t>Cody Gowin</t>
  </si>
  <si>
    <t>Cody Roggio</t>
  </si>
  <si>
    <t>Colin  Kerrigan</t>
  </si>
  <si>
    <t>Colleen McEvoy</t>
  </si>
  <si>
    <t>Collin Jordan</t>
  </si>
  <si>
    <t>Collin Wainwright</t>
  </si>
  <si>
    <t>springfield</t>
  </si>
  <si>
    <t>Concelia Bell</t>
  </si>
  <si>
    <t>Consuelo Taylor</t>
  </si>
  <si>
    <t>Corina Ramos</t>
  </si>
  <si>
    <t>Cortney Mauer</t>
  </si>
  <si>
    <t>Courtney Klein</t>
  </si>
  <si>
    <t>Courtney Moore</t>
  </si>
  <si>
    <t>Courtney Wilson</t>
  </si>
  <si>
    <t>plymouth meeting</t>
  </si>
  <si>
    <t>Craig Wagner</t>
  </si>
  <si>
    <t>Crystal Corcoran</t>
  </si>
  <si>
    <t>Crystal Gernand</t>
  </si>
  <si>
    <t>Crystal Sullivan</t>
  </si>
  <si>
    <t>Curt Eckstrom</t>
  </si>
  <si>
    <t>Curtis Benson</t>
  </si>
  <si>
    <t>Curtis Weaver</t>
  </si>
  <si>
    <t>Cynthia Looney</t>
  </si>
  <si>
    <t>Cynthia Praul</t>
  </si>
  <si>
    <t>Cynthia Roussel</t>
  </si>
  <si>
    <t>Cynthia Webb</t>
  </si>
  <si>
    <t>Dale Brown</t>
  </si>
  <si>
    <t>Damien Warsavage</t>
  </si>
  <si>
    <t>Dana Heileman</t>
  </si>
  <si>
    <t>Dana Hess</t>
  </si>
  <si>
    <t>Dana Kirlin</t>
  </si>
  <si>
    <t>Dana Lomax-Ayler</t>
  </si>
  <si>
    <t>Daneille Bean</t>
  </si>
  <si>
    <t>Danette Mahute</t>
  </si>
  <si>
    <t>Dani  Keener</t>
  </si>
  <si>
    <t>Daniel Bauer</t>
  </si>
  <si>
    <t>Daniel Becker</t>
  </si>
  <si>
    <t>Daniel Bewley</t>
  </si>
  <si>
    <t>Daniel Dugan</t>
  </si>
  <si>
    <t>Daniel Ennis</t>
  </si>
  <si>
    <t>Daniel Giblin</t>
  </si>
  <si>
    <t>royersford</t>
  </si>
  <si>
    <t>Daniel Howard, Jr.</t>
  </si>
  <si>
    <t>Daniel Joseph</t>
  </si>
  <si>
    <t>Daniel Miller</t>
  </si>
  <si>
    <t>pipersville</t>
  </si>
  <si>
    <t>Daniel O'Neill</t>
  </si>
  <si>
    <t>Daniel Tobias</t>
  </si>
  <si>
    <t>Daniel Wallace</t>
  </si>
  <si>
    <t>elizabethtown</t>
  </si>
  <si>
    <t>Daniela Hollister</t>
  </si>
  <si>
    <t>Danielle Bellosi</t>
  </si>
  <si>
    <t>Danielle Curry</t>
  </si>
  <si>
    <t>Danielle DiCristofalo</t>
  </si>
  <si>
    <t>Danielle Drum</t>
  </si>
  <si>
    <t>Danielle McLaughlin</t>
  </si>
  <si>
    <t>leesport</t>
  </si>
  <si>
    <t>Danielle Stumbaugh</t>
  </si>
  <si>
    <t>Danny Beaver</t>
  </si>
  <si>
    <t>Danyelle Eckert</t>
  </si>
  <si>
    <t>Darcell Watson</t>
  </si>
  <si>
    <t>Dariel Rojo-Irizarry</t>
  </si>
  <si>
    <t>Darish Still</t>
  </si>
  <si>
    <t>Darlin Harris</t>
  </si>
  <si>
    <t>marcus hook</t>
  </si>
  <si>
    <t>Darrel Dukes</t>
  </si>
  <si>
    <t>Darryl Darden</t>
  </si>
  <si>
    <t>Darryl Johnson</t>
  </si>
  <si>
    <t>David "Mario" Maleski</t>
  </si>
  <si>
    <t>David Anastasi</t>
  </si>
  <si>
    <t>jamison</t>
  </si>
  <si>
    <t>David Augustine</t>
  </si>
  <si>
    <t>David Crockett</t>
  </si>
  <si>
    <t>David Crowder</t>
  </si>
  <si>
    <t>David Davies</t>
  </si>
  <si>
    <t>David Filipini</t>
  </si>
  <si>
    <t>David Harvey</t>
  </si>
  <si>
    <t>David Highfill</t>
  </si>
  <si>
    <t>David Kempf</t>
  </si>
  <si>
    <t>David Lacy</t>
  </si>
  <si>
    <t>David Lintvedt</t>
  </si>
  <si>
    <t>east greenville</t>
  </si>
  <si>
    <t>David Mack</t>
  </si>
  <si>
    <t>David Maldonado</t>
  </si>
  <si>
    <t>David Niblick Jr.</t>
  </si>
  <si>
    <t>David Sichel</t>
  </si>
  <si>
    <t>trevose</t>
  </si>
  <si>
    <t>David Stevenson, Sr.</t>
  </si>
  <si>
    <t>David Tancredi</t>
  </si>
  <si>
    <t>David Wright</t>
  </si>
  <si>
    <t>David Youll</t>
  </si>
  <si>
    <t>Dawn DiMascio-Eddinger</t>
  </si>
  <si>
    <t>Dawn Lutz</t>
  </si>
  <si>
    <t>Dawn Lybrand</t>
  </si>
  <si>
    <t>Dawn Ramsey</t>
  </si>
  <si>
    <t>Dawn Smalley</t>
  </si>
  <si>
    <t>Dawn Williams-Walter</t>
  </si>
  <si>
    <t>Dean Vandersall</t>
  </si>
  <si>
    <t>Deanna Endebrock</t>
  </si>
  <si>
    <t>Deanna Friend</t>
  </si>
  <si>
    <t>Deborah Lachmann</t>
  </si>
  <si>
    <t>Deborah Rutter</t>
  </si>
  <si>
    <t>mountville</t>
  </si>
  <si>
    <t>Deborah Turner</t>
  </si>
  <si>
    <t>Deborah Wilson</t>
  </si>
  <si>
    <t>Debra Boyer</t>
  </si>
  <si>
    <t>riegelsville</t>
  </si>
  <si>
    <t>Debra Delp</t>
  </si>
  <si>
    <t>Debra Hill</t>
  </si>
  <si>
    <t>Debra Wurster</t>
  </si>
  <si>
    <t>DeLaine Williams</t>
  </si>
  <si>
    <t>Deliverance Pennypacker</t>
  </si>
  <si>
    <t>Denene Roane</t>
  </si>
  <si>
    <t>Denise Desris</t>
  </si>
  <si>
    <t>Denise Miliner</t>
  </si>
  <si>
    <t>Denise Peters</t>
  </si>
  <si>
    <t>Dennis Swift</t>
  </si>
  <si>
    <t>Derek Hahn</t>
  </si>
  <si>
    <t>new holland</t>
  </si>
  <si>
    <t>Derek Singleton</t>
  </si>
  <si>
    <t>akron</t>
  </si>
  <si>
    <t>Derrick Hale</t>
  </si>
  <si>
    <t>Desiree' Mather-Kelly</t>
  </si>
  <si>
    <t>Devin Reaves</t>
  </si>
  <si>
    <t>Devon Wright</t>
  </si>
  <si>
    <t>Diamond Stahl</t>
  </si>
  <si>
    <t>Diana Everett</t>
  </si>
  <si>
    <t>Diana King</t>
  </si>
  <si>
    <t>Diana Medina</t>
  </si>
  <si>
    <t>Diana Steinberg</t>
  </si>
  <si>
    <t>Diane Frymoyer</t>
  </si>
  <si>
    <t>Diane Morrell</t>
  </si>
  <si>
    <t>Diane Nickerson</t>
  </si>
  <si>
    <t>Dianne Hoffmann</t>
  </si>
  <si>
    <t>ambler</t>
  </si>
  <si>
    <t>Dillon Zaluski</t>
  </si>
  <si>
    <t>Dina Shelly</t>
  </si>
  <si>
    <t>Dirk Duffan</t>
  </si>
  <si>
    <t>Dolores Mitchell</t>
  </si>
  <si>
    <t>Dominic Ciccimaro</t>
  </si>
  <si>
    <t>Donald Altemus</t>
  </si>
  <si>
    <t>Donald Greiner</t>
  </si>
  <si>
    <t>Donald Lipstein</t>
  </si>
  <si>
    <t>Donald Mee, Jr.</t>
  </si>
  <si>
    <t>Donna Baim</t>
  </si>
  <si>
    <t>Donna Bartram</t>
  </si>
  <si>
    <t>Donna Broadnax</t>
  </si>
  <si>
    <t>Donna Giordano</t>
  </si>
  <si>
    <t>Donna Hess</t>
  </si>
  <si>
    <t>Donna Johns</t>
  </si>
  <si>
    <t>Donnel Brown</t>
  </si>
  <si>
    <t>Doreen Dowling</t>
  </si>
  <si>
    <t>morton</t>
  </si>
  <si>
    <t>Dorian  Mullen</t>
  </si>
  <si>
    <t>Doris Eason</t>
  </si>
  <si>
    <t>Dorothy Campbell</t>
  </si>
  <si>
    <t>Dorothy DiGilio</t>
  </si>
  <si>
    <t>essington</t>
  </si>
  <si>
    <t>Douglas Cwienk</t>
  </si>
  <si>
    <t>quarryville</t>
  </si>
  <si>
    <t>Douglas Hicks</t>
  </si>
  <si>
    <t>Douglas Richardson</t>
  </si>
  <si>
    <t>Drew Eckert</t>
  </si>
  <si>
    <t>Drew Hudson</t>
  </si>
  <si>
    <t>Drexel Bailey</t>
  </si>
  <si>
    <t>Dustin Robinson</t>
  </si>
  <si>
    <t>Dwight Cope</t>
  </si>
  <si>
    <t>Dwight Harley</t>
  </si>
  <si>
    <t>Eartha Rivers</t>
  </si>
  <si>
    <t>Edie Ritchie</t>
  </si>
  <si>
    <t>Edmund Gibson</t>
  </si>
  <si>
    <t>Edmund Nelson</t>
  </si>
  <si>
    <t>Edward Bull</t>
  </si>
  <si>
    <t>Edward Caban</t>
  </si>
  <si>
    <t>Edward Dolison</t>
  </si>
  <si>
    <t>Edward Kirby</t>
  </si>
  <si>
    <t>Edward Ludwig</t>
  </si>
  <si>
    <t>Edward Martin</t>
  </si>
  <si>
    <t>Edward Ormsby IV</t>
  </si>
  <si>
    <t>Edward Quinn</t>
  </si>
  <si>
    <t>Edward Reyes</t>
  </si>
  <si>
    <t>Edwin Salgado</t>
  </si>
  <si>
    <t>Eileen  McAndrews</t>
  </si>
  <si>
    <t>Eileen Bone</t>
  </si>
  <si>
    <t>Eileen Kriczky</t>
  </si>
  <si>
    <t>Eileen Reising</t>
  </si>
  <si>
    <t>chalfont</t>
  </si>
  <si>
    <t>Elaine Cooper</t>
  </si>
  <si>
    <t>Elaine Goldsmith</t>
  </si>
  <si>
    <t>Elijah Vasinda</t>
  </si>
  <si>
    <t>Elix Castro-Cruz</t>
  </si>
  <si>
    <t>Elizabeth  Rizzo</t>
  </si>
  <si>
    <t>Elizabeth Andrews</t>
  </si>
  <si>
    <t>Elizabeth Arnone</t>
  </si>
  <si>
    <t>Elizabeth Chance</t>
  </si>
  <si>
    <t>Elizabeth DiRoumaldo</t>
  </si>
  <si>
    <t>Elizabeth Higgins</t>
  </si>
  <si>
    <t>Elizabeth Johnston</t>
  </si>
  <si>
    <t>Elizabeth Law</t>
  </si>
  <si>
    <t>Elizabeth Morrison</t>
  </si>
  <si>
    <t>Elizabeth Rippinger</t>
  </si>
  <si>
    <t>Elizabeth Snelling</t>
  </si>
  <si>
    <t>Elizabeth Wendt</t>
  </si>
  <si>
    <t>west point</t>
  </si>
  <si>
    <t>Elizabeth Wooldridge</t>
  </si>
  <si>
    <t>Ellington Castillo</t>
  </si>
  <si>
    <t>narberth</t>
  </si>
  <si>
    <t>Emily Avellino</t>
  </si>
  <si>
    <t>Emily Mckee</t>
  </si>
  <si>
    <t>Emily Nissley</t>
  </si>
  <si>
    <t>Emily Sexton</t>
  </si>
  <si>
    <t>Emma Whitaker</t>
  </si>
  <si>
    <t>Emmalee Smith</t>
  </si>
  <si>
    <t>Emmett Coleman</t>
  </si>
  <si>
    <t>Eric Ayers</t>
  </si>
  <si>
    <t>prospect park</t>
  </si>
  <si>
    <t>Eric Bowerman</t>
  </si>
  <si>
    <t>Eric Emerson</t>
  </si>
  <si>
    <t>Eric Francis</t>
  </si>
  <si>
    <t>Eric Gibson</t>
  </si>
  <si>
    <t>Eric Jackson</t>
  </si>
  <si>
    <t>Eric Simpson</t>
  </si>
  <si>
    <t>Eric Snyder</t>
  </si>
  <si>
    <t>Erica Grass</t>
  </si>
  <si>
    <t>Erica Hamilton</t>
  </si>
  <si>
    <t>Erica Swanson</t>
  </si>
  <si>
    <t>Erin  Hanna</t>
  </si>
  <si>
    <t>east petersburg</t>
  </si>
  <si>
    <t>Erin Fischer</t>
  </si>
  <si>
    <t>Erin McDade</t>
  </si>
  <si>
    <t>Estees Anderson</t>
  </si>
  <si>
    <t>Estelle Leach</t>
  </si>
  <si>
    <t>Ethan Saffier</t>
  </si>
  <si>
    <t>Eugene Alexander</t>
  </si>
  <si>
    <t>Eugene Walter, Jr.</t>
  </si>
  <si>
    <t>Eva-Marie  Jones</t>
  </si>
  <si>
    <t>mahanoy city</t>
  </si>
  <si>
    <t>Evan Davis</t>
  </si>
  <si>
    <t>Evan Figueroa-Vargas</t>
  </si>
  <si>
    <t>Evan Kita</t>
  </si>
  <si>
    <t>Evan McShea</t>
  </si>
  <si>
    <t>perkiomenville</t>
  </si>
  <si>
    <t>Eve Connors</t>
  </si>
  <si>
    <t>Evelyn Singleton</t>
  </si>
  <si>
    <t>Faith Moyer</t>
  </si>
  <si>
    <t>mertztown</t>
  </si>
  <si>
    <t>Felipe Mercado</t>
  </si>
  <si>
    <t>Floyd DeVine</t>
  </si>
  <si>
    <t>Frances Casey</t>
  </si>
  <si>
    <t>southampton</t>
  </si>
  <si>
    <t>Frances McDaniel</t>
  </si>
  <si>
    <t>Francine Cross</t>
  </si>
  <si>
    <t>Francis Pannulla</t>
  </si>
  <si>
    <t>Francis Zernone, Jr.</t>
  </si>
  <si>
    <t>Frank Burnside</t>
  </si>
  <si>
    <t>Frank Gaston</t>
  </si>
  <si>
    <t>east earl</t>
  </si>
  <si>
    <t>Frank Taylor</t>
  </si>
  <si>
    <t>Frankie Carl</t>
  </si>
  <si>
    <t>hegins</t>
  </si>
  <si>
    <t>Franklin Lucas</t>
  </si>
  <si>
    <t>Fred Scevoli, Jr.</t>
  </si>
  <si>
    <t>Frederick Maxson</t>
  </si>
  <si>
    <t>glenside</t>
  </si>
  <si>
    <t>Frederick Shue</t>
  </si>
  <si>
    <t>Gabriel Gonzalez</t>
  </si>
  <si>
    <t>Gabrielle Disomma</t>
  </si>
  <si>
    <t>Gale Vanselous</t>
  </si>
  <si>
    <t>Galveston Morris</t>
  </si>
  <si>
    <t>Garry Baker</t>
  </si>
  <si>
    <t>Gary Craig</t>
  </si>
  <si>
    <t>Gary Gioioso</t>
  </si>
  <si>
    <t>Gary Hynson</t>
  </si>
  <si>
    <t>Gary Kaisinger, Jr.</t>
  </si>
  <si>
    <t>Gary Matthews, Sr.</t>
  </si>
  <si>
    <t>Gary Minggia</t>
  </si>
  <si>
    <t>denver</t>
  </si>
  <si>
    <t>Geneva Edness</t>
  </si>
  <si>
    <t>ardmore</t>
  </si>
  <si>
    <t>Genevie Longenecker</t>
  </si>
  <si>
    <t>George Barlow</t>
  </si>
  <si>
    <t>shenandoah</t>
  </si>
  <si>
    <t>George Ruiz</t>
  </si>
  <si>
    <t>George Yaeger</t>
  </si>
  <si>
    <t>Gerald Kearney</t>
  </si>
  <si>
    <t>Gerald Simmons</t>
  </si>
  <si>
    <t>Geraldine Avery</t>
  </si>
  <si>
    <t>Gerarda Shober</t>
  </si>
  <si>
    <t>reinholds</t>
  </si>
  <si>
    <t>Geremias Negron-Rivera</t>
  </si>
  <si>
    <t>Germaine Headen-Gould</t>
  </si>
  <si>
    <t>Gerri Cavanaugh</t>
  </si>
  <si>
    <t>Gianna DeMedio</t>
  </si>
  <si>
    <t>Gillian Norris</t>
  </si>
  <si>
    <t>Gina Mastrangelo</t>
  </si>
  <si>
    <t>Gina Palilonis</t>
  </si>
  <si>
    <t>feasterville</t>
  </si>
  <si>
    <t>Gina Ryan</t>
  </si>
  <si>
    <t>Gino Grosso</t>
  </si>
  <si>
    <t>Girard Robertson</t>
  </si>
  <si>
    <t>Gladys Murphy</t>
  </si>
  <si>
    <t>Gladys Shelton</t>
  </si>
  <si>
    <t>Glenn Gallo</t>
  </si>
  <si>
    <t>Glenn Gordon</t>
  </si>
  <si>
    <t>Glenn Marley</t>
  </si>
  <si>
    <t>Glenn Rose</t>
  </si>
  <si>
    <t>Glenn Wilson</t>
  </si>
  <si>
    <t>Gloria Gallagher</t>
  </si>
  <si>
    <t>Graham Sayles</t>
  </si>
  <si>
    <t>Greg Schmalhofer</t>
  </si>
  <si>
    <t>Gregory Broughton, Jr.</t>
  </si>
  <si>
    <t>Gregory Collazo</t>
  </si>
  <si>
    <t>Gregory Pettway</t>
  </si>
  <si>
    <t>Gregory Scott</t>
  </si>
  <si>
    <t>frackville</t>
  </si>
  <si>
    <t>Gregory Young</t>
  </si>
  <si>
    <t>Guillermo Martinez</t>
  </si>
  <si>
    <t>Guy Bruhl</t>
  </si>
  <si>
    <t>Gwendolyn Bowers</t>
  </si>
  <si>
    <t>kirkwood</t>
  </si>
  <si>
    <t>Gwendolyn Eckert</t>
  </si>
  <si>
    <t>Gwendolyn Fogle-Hodges</t>
  </si>
  <si>
    <t>Gwendolyn Garbini</t>
  </si>
  <si>
    <t>Hagop Voskanian</t>
  </si>
  <si>
    <t>Haley Sippel</t>
  </si>
  <si>
    <t>friedensburg</t>
  </si>
  <si>
    <t>Hamilton Newton</t>
  </si>
  <si>
    <t>Hannah Panfile</t>
  </si>
  <si>
    <t>eagleville</t>
  </si>
  <si>
    <t>Harlando Matthews</t>
  </si>
  <si>
    <t>Heather  Diottavio</t>
  </si>
  <si>
    <t>Heather Aspero</t>
  </si>
  <si>
    <t>Heather Boher</t>
  </si>
  <si>
    <t>Heather Fechtenburg</t>
  </si>
  <si>
    <t>Heather Jacobs</t>
  </si>
  <si>
    <t>Heidi Quimby</t>
  </si>
  <si>
    <t>Heleena Savage</t>
  </si>
  <si>
    <t>Helen Wooten</t>
  </si>
  <si>
    <t>Henry Owens, Jr.</t>
  </si>
  <si>
    <t>Herman Scott</t>
  </si>
  <si>
    <t>Hewitt Coward</t>
  </si>
  <si>
    <t>Hilary Mowrer</t>
  </si>
  <si>
    <t>Holly Brennan</t>
  </si>
  <si>
    <t>Holly Harkins</t>
  </si>
  <si>
    <t>Hope O'Brien</t>
  </si>
  <si>
    <t>Humble Reid</t>
  </si>
  <si>
    <t>Hye-Sun Kim</t>
  </si>
  <si>
    <t>bryn mawr</t>
  </si>
  <si>
    <t>Ian  Harris</t>
  </si>
  <si>
    <t>Ian Endy</t>
  </si>
  <si>
    <t>Ian McCoy</t>
  </si>
  <si>
    <t>Ian Schneider</t>
  </si>
  <si>
    <t>Idella Hopkins</t>
  </si>
  <si>
    <t>Iliana Strauss</t>
  </si>
  <si>
    <t>villanova</t>
  </si>
  <si>
    <t>Imani Shaw</t>
  </si>
  <si>
    <t>Inez Williams</t>
  </si>
  <si>
    <t>Irene Lisinski</t>
  </si>
  <si>
    <t>Iris Guzman</t>
  </si>
  <si>
    <t>Isa Allende-Averette</t>
  </si>
  <si>
    <t>Ishmael  Taylor</t>
  </si>
  <si>
    <t>Ivan Reyes Ayala</t>
  </si>
  <si>
    <t>Ivan Rosa</t>
  </si>
  <si>
    <t>Jacen Spelman</t>
  </si>
  <si>
    <t>Jacinthe Ndanu</t>
  </si>
  <si>
    <t>Jack Land</t>
  </si>
  <si>
    <t>Jaclyn Dougherty</t>
  </si>
  <si>
    <t>Jaclyn Dugan</t>
  </si>
  <si>
    <t>Jaclyn Ferrer</t>
  </si>
  <si>
    <t>Jaclyn Somes</t>
  </si>
  <si>
    <t>Jacqualine Morales</t>
  </si>
  <si>
    <t>Jacqueline Donahue</t>
  </si>
  <si>
    <t>Jacqueline Firestine</t>
  </si>
  <si>
    <t>tremont</t>
  </si>
  <si>
    <t>Jacqueline Gruhler</t>
  </si>
  <si>
    <t>Jacqueline Holloway</t>
  </si>
  <si>
    <t>Jacqueline Johnston</t>
  </si>
  <si>
    <t>Jacqueline ter Kuile</t>
  </si>
  <si>
    <t>Jacquelyn Perez-Rocha</t>
  </si>
  <si>
    <t>Jaime Lane</t>
  </si>
  <si>
    <t>Jaime Morris</t>
  </si>
  <si>
    <t>James  VanGerve</t>
  </si>
  <si>
    <t>James Barry</t>
  </si>
  <si>
    <t>James Bollinger</t>
  </si>
  <si>
    <t>James Brock</t>
  </si>
  <si>
    <t>James Duffy</t>
  </si>
  <si>
    <t>hatfield</t>
  </si>
  <si>
    <t>James Gallop</t>
  </si>
  <si>
    <t>James Geronemo</t>
  </si>
  <si>
    <t>morrisville</t>
  </si>
  <si>
    <t>James Harris</t>
  </si>
  <si>
    <t>James Horn, III</t>
  </si>
  <si>
    <t>James Hubert</t>
  </si>
  <si>
    <t>James Ivery</t>
  </si>
  <si>
    <t>James Johnson</t>
  </si>
  <si>
    <t>James Klasen</t>
  </si>
  <si>
    <t>James Krieger</t>
  </si>
  <si>
    <t>James Kuney</t>
  </si>
  <si>
    <t>James Lockowitz</t>
  </si>
  <si>
    <t>James Major, Jr.</t>
  </si>
  <si>
    <t>James Mallett</t>
  </si>
  <si>
    <t>James McCauley</t>
  </si>
  <si>
    <t>James Pfizenmayer</t>
  </si>
  <si>
    <t>James Schlegel</t>
  </si>
  <si>
    <t>James Seldon</t>
  </si>
  <si>
    <t>James Severson</t>
  </si>
  <si>
    <t>James Sherman</t>
  </si>
  <si>
    <t>James Sigg</t>
  </si>
  <si>
    <t>James Somerville</t>
  </si>
  <si>
    <t>James Steinard</t>
  </si>
  <si>
    <t>James White</t>
  </si>
  <si>
    <t>James Williams</t>
  </si>
  <si>
    <t>James Wright</t>
  </si>
  <si>
    <t>Jami Geist</t>
  </si>
  <si>
    <t>Jami Hooper</t>
  </si>
  <si>
    <t>shoemakersville</t>
  </si>
  <si>
    <t>Jamie  Morris</t>
  </si>
  <si>
    <t>Jamie D'Amico</t>
  </si>
  <si>
    <t>pennsburg</t>
  </si>
  <si>
    <t>Jamie Howard</t>
  </si>
  <si>
    <t>Jamie Johnson</t>
  </si>
  <si>
    <t>Jamie Mondesir</t>
  </si>
  <si>
    <t>Jamie Swick</t>
  </si>
  <si>
    <t>Jamie Ueberroth</t>
  </si>
  <si>
    <t>Jamie Zabilowicz</t>
  </si>
  <si>
    <t>chester</t>
  </si>
  <si>
    <t>Jamila Harris</t>
  </si>
  <si>
    <t>Jamilah Boyd</t>
  </si>
  <si>
    <t>Jan Landis</t>
  </si>
  <si>
    <t>Janice Potter</t>
  </si>
  <si>
    <t>Janine Bonanni</t>
  </si>
  <si>
    <t>Jannette Aguila</t>
  </si>
  <si>
    <t>Jared Knauss</t>
  </si>
  <si>
    <t>Jarrett Swartz</t>
  </si>
  <si>
    <t>zieglerville</t>
  </si>
  <si>
    <t>Jasmin Arroyo</t>
  </si>
  <si>
    <t>Jasmine Colligan</t>
  </si>
  <si>
    <t>Jasmine Heisey</t>
  </si>
  <si>
    <t>Jason Cerrato</t>
  </si>
  <si>
    <t>Jason Feldman</t>
  </si>
  <si>
    <t>Jason Homlish</t>
  </si>
  <si>
    <t>Jason Oxenberg</t>
  </si>
  <si>
    <t>Jason Whittle</t>
  </si>
  <si>
    <t>Jason Williams</t>
  </si>
  <si>
    <t>Jay Berger</t>
  </si>
  <si>
    <t>Jaya Simmons</t>
  </si>
  <si>
    <t>Jean Amy</t>
  </si>
  <si>
    <t>Jean Purdy-Koral</t>
  </si>
  <si>
    <t>Jean Schaller</t>
  </si>
  <si>
    <t>gladwyne</t>
  </si>
  <si>
    <t>Jeanine Maestrale-Boerner</t>
  </si>
  <si>
    <t>Jeanne Good</t>
  </si>
  <si>
    <t>Jeanne McDermott</t>
  </si>
  <si>
    <t>Jeff Balthaser</t>
  </si>
  <si>
    <t>Jefferine Mitchell</t>
  </si>
  <si>
    <t>Jeffrey Clark</t>
  </si>
  <si>
    <t>Jeffrey Coddington, Jr.</t>
  </si>
  <si>
    <t>Jeffrey Conklin</t>
  </si>
  <si>
    <t>Jeffrey Erikson</t>
  </si>
  <si>
    <t>Jeffrey Grumbling</t>
  </si>
  <si>
    <t>Jeffrey Hunsberger</t>
  </si>
  <si>
    <t>Jeffrey Levin</t>
  </si>
  <si>
    <t>Jeffrey Lucas</t>
  </si>
  <si>
    <t>Jeffrey Mayberry</t>
  </si>
  <si>
    <t>Jeffrey Simone</t>
  </si>
  <si>
    <t>Jeffrey Stahl</t>
  </si>
  <si>
    <t>Jeffrey Tucker</t>
  </si>
  <si>
    <t>Jena Weller</t>
  </si>
  <si>
    <t>Jennie Hill</t>
  </si>
  <si>
    <t>Jennie Trout</t>
  </si>
  <si>
    <t>Jennifer Brinton</t>
  </si>
  <si>
    <t>Jennifer Carr</t>
  </si>
  <si>
    <t>Jennifer Carroll</t>
  </si>
  <si>
    <t>Jennifer Craig</t>
  </si>
  <si>
    <t>Jennifer Essery</t>
  </si>
  <si>
    <t>Jennifer Fisher</t>
  </si>
  <si>
    <t>Jennifer Fulcher</t>
  </si>
  <si>
    <t>Jennifer Glatthorn</t>
  </si>
  <si>
    <t>Jennifer Gock</t>
  </si>
  <si>
    <t>Jennifer Goldeck</t>
  </si>
  <si>
    <t>pine grove</t>
  </si>
  <si>
    <t>Jennifer Grob</t>
  </si>
  <si>
    <t>Jennifer Hirsch</t>
  </si>
  <si>
    <t>Jennifer Hunter</t>
  </si>
  <si>
    <t>Jennifer Koziol</t>
  </si>
  <si>
    <t>Jennifer Larkin</t>
  </si>
  <si>
    <t>Jennifer Lentz</t>
  </si>
  <si>
    <t>Jennifer McBride</t>
  </si>
  <si>
    <t>Jennifer Murphy</t>
  </si>
  <si>
    <t>Jennifer Nelson</t>
  </si>
  <si>
    <t>Jennifer Provost</t>
  </si>
  <si>
    <t>Jennifer Wasco</t>
  </si>
  <si>
    <t>Jennifer Watts</t>
  </si>
  <si>
    <t>Jennifer Weissberg</t>
  </si>
  <si>
    <t>Jennifer Williams</t>
  </si>
  <si>
    <t>Jeremy Baxter</t>
  </si>
  <si>
    <t>Jeri Thompson</t>
  </si>
  <si>
    <t>haverford</t>
  </si>
  <si>
    <t>Jerome Griffith</t>
  </si>
  <si>
    <t>Jerome Mitchell</t>
  </si>
  <si>
    <t>Jerry Brown</t>
  </si>
  <si>
    <t>Jerry Rocks, Sr.</t>
  </si>
  <si>
    <t>Jess Toth</t>
  </si>
  <si>
    <t>Jesse Brajuha</t>
  </si>
  <si>
    <t>Jesse Johnson</t>
  </si>
  <si>
    <t>Jesse Logue</t>
  </si>
  <si>
    <t>Jesse Teti</t>
  </si>
  <si>
    <t>Jessica  Maginnis</t>
  </si>
  <si>
    <t>Jessica Bennett</t>
  </si>
  <si>
    <t>Jessica Brobst</t>
  </si>
  <si>
    <t>Jessica Crocker</t>
  </si>
  <si>
    <t>Jessica Kolodziejek</t>
  </si>
  <si>
    <t>Jessica Leighton</t>
  </si>
  <si>
    <t>Jessica Popper</t>
  </si>
  <si>
    <t>Jessica Ramirez</t>
  </si>
  <si>
    <t>Jill Gorman</t>
  </si>
  <si>
    <t>Jillian DeMaio</t>
  </si>
  <si>
    <t>Jillian Harbison</t>
  </si>
  <si>
    <t>Jillian Ingram</t>
  </si>
  <si>
    <t>Jimmie Jones</t>
  </si>
  <si>
    <t>Joan Premich</t>
  </si>
  <si>
    <t>Joan Vieldhouse</t>
  </si>
  <si>
    <t>Joann Kerns</t>
  </si>
  <si>
    <t>conshohocken</t>
  </si>
  <si>
    <t>JoAnn Mills-Johnson</t>
  </si>
  <si>
    <t>Joanna Bellinger</t>
  </si>
  <si>
    <t>JoAnne  Dascher</t>
  </si>
  <si>
    <t>avondale</t>
  </si>
  <si>
    <t>Joanne Johnson</t>
  </si>
  <si>
    <t>JoAnne Martell</t>
  </si>
  <si>
    <t>Joanne Toomey</t>
  </si>
  <si>
    <t>Joanne Washington</t>
  </si>
  <si>
    <t>Jodi Holland</t>
  </si>
  <si>
    <t>Joel Lopez</t>
  </si>
  <si>
    <t>Joel Maslonka</t>
  </si>
  <si>
    <t>Joel Shafer-Harris</t>
  </si>
  <si>
    <t>Joelle  Biango</t>
  </si>
  <si>
    <t>Joe'Nell Williams</t>
  </si>
  <si>
    <t>John  Killelea</t>
  </si>
  <si>
    <t>John Carlson</t>
  </si>
  <si>
    <t>John Chidester, III</t>
  </si>
  <si>
    <t>John Danks</t>
  </si>
  <si>
    <t>John Elburn, III</t>
  </si>
  <si>
    <t>John Faiola</t>
  </si>
  <si>
    <t>John Flanagan, Jr.</t>
  </si>
  <si>
    <t>John Gilette</t>
  </si>
  <si>
    <t>John Gray</t>
  </si>
  <si>
    <t>John Hoyt</t>
  </si>
  <si>
    <t>John Janiszewski</t>
  </si>
  <si>
    <t>John Kronbar</t>
  </si>
  <si>
    <t>John Lamond</t>
  </si>
  <si>
    <t>John Lawlor</t>
  </si>
  <si>
    <t>John McNeal</t>
  </si>
  <si>
    <t>John Minger</t>
  </si>
  <si>
    <t>John Morales</t>
  </si>
  <si>
    <t>John Pacewicz</t>
  </si>
  <si>
    <t>leola</t>
  </si>
  <si>
    <t>John Reese</t>
  </si>
  <si>
    <t>John Rushton</t>
  </si>
  <si>
    <t>John Sienkiewicz</t>
  </si>
  <si>
    <t>John Viggiano</t>
  </si>
  <si>
    <t>John Welfel, Jr.</t>
  </si>
  <si>
    <t>Jolene McCoy</t>
  </si>
  <si>
    <t>landisville</t>
  </si>
  <si>
    <t>Jonah Modesto</t>
  </si>
  <si>
    <t>Jonathan  Eddings</t>
  </si>
  <si>
    <t>Jonathan Erdman</t>
  </si>
  <si>
    <t>Jonathan Fine</t>
  </si>
  <si>
    <t>Jonathan Gerber</t>
  </si>
  <si>
    <t>Jonathan Jackson</t>
  </si>
  <si>
    <t>Jonathan Murphy</t>
  </si>
  <si>
    <t>Jonathan Xu</t>
  </si>
  <si>
    <t>Jonathon Todd</t>
  </si>
  <si>
    <t>Jon-David Hodgdon</t>
  </si>
  <si>
    <t>Jordan Henning</t>
  </si>
  <si>
    <t>Jordan Moran</t>
  </si>
  <si>
    <t>Jose DeLeon</t>
  </si>
  <si>
    <t>Jose Garcia</t>
  </si>
  <si>
    <t>Jose Lebron</t>
  </si>
  <si>
    <t>Jose Lugo</t>
  </si>
  <si>
    <t>Jose Ramirez</t>
  </si>
  <si>
    <t>Jose Torres Dejesus</t>
  </si>
  <si>
    <t>Joseph  Newton</t>
  </si>
  <si>
    <t>Joseph Andracki</t>
  </si>
  <si>
    <t>Joseph Beck</t>
  </si>
  <si>
    <t>Joseph Carduff</t>
  </si>
  <si>
    <t>Joseph Cavaliere</t>
  </si>
  <si>
    <t>Joseph Colonna</t>
  </si>
  <si>
    <t>Joseph DeMilto</t>
  </si>
  <si>
    <t>Joseph DiTomo</t>
  </si>
  <si>
    <t>Joseph Goggins</t>
  </si>
  <si>
    <t>Joseph Grady</t>
  </si>
  <si>
    <t>Joseph Grieco</t>
  </si>
  <si>
    <t>Joseph Hoffman</t>
  </si>
  <si>
    <t>Joseph Marroletti, Jr.</t>
  </si>
  <si>
    <t>Joseph McLaughlin</t>
  </si>
  <si>
    <t>Joseph Montanez</t>
  </si>
  <si>
    <t>Joseph Ortiz</t>
  </si>
  <si>
    <t>conestoga</t>
  </si>
  <si>
    <t>Joseph Quinn</t>
  </si>
  <si>
    <t>Joseph Sarnak</t>
  </si>
  <si>
    <t>Joseph Stem</t>
  </si>
  <si>
    <t>Joseph Verdegem</t>
  </si>
  <si>
    <t>Josette Brower</t>
  </si>
  <si>
    <t>Josh Payne</t>
  </si>
  <si>
    <t>Joshua Dacenzo</t>
  </si>
  <si>
    <t>Joshua Easton</t>
  </si>
  <si>
    <t>blue ball</t>
  </si>
  <si>
    <t>Joshua Helwig</t>
  </si>
  <si>
    <t>Joshua Wieller</t>
  </si>
  <si>
    <t>Josue Rodriguez Santos</t>
  </si>
  <si>
    <t>Judith Hirsh</t>
  </si>
  <si>
    <t>blue bell</t>
  </si>
  <si>
    <t>Judy Ward</t>
  </si>
  <si>
    <t>Julia  Neyra</t>
  </si>
  <si>
    <t>Julia Kaplan</t>
  </si>
  <si>
    <t>Julia Leyden</t>
  </si>
  <si>
    <t>Julia Remmey</t>
  </si>
  <si>
    <t>Julia Slaymaker</t>
  </si>
  <si>
    <t>Julia Smith</t>
  </si>
  <si>
    <t>Julia Vantine</t>
  </si>
  <si>
    <t>Justin Boomer</t>
  </si>
  <si>
    <t>Justin Dettinger</t>
  </si>
  <si>
    <t>Kaitlyn Bachman</t>
  </si>
  <si>
    <t>Kaitlyn Buckley</t>
  </si>
  <si>
    <t>Kara Gannon</t>
  </si>
  <si>
    <t>Kareem Cook</t>
  </si>
  <si>
    <t>Kareem Mobley</t>
  </si>
  <si>
    <t>Karen Alldred</t>
  </si>
  <si>
    <t>Karen Deal</t>
  </si>
  <si>
    <t>Karen DelRaso</t>
  </si>
  <si>
    <t>mont clare</t>
  </si>
  <si>
    <t>Karen Foutz</t>
  </si>
  <si>
    <t>Karen Schweitzer</t>
  </si>
  <si>
    <t>Kari Mazzarelli</t>
  </si>
  <si>
    <t>Karimah Choice</t>
  </si>
  <si>
    <t>Karleen Caparro</t>
  </si>
  <si>
    <t>Karleen Okoh</t>
  </si>
  <si>
    <t>Karly Fisher</t>
  </si>
  <si>
    <t>Kasey Saunders</t>
  </si>
  <si>
    <t>Kate Parsons</t>
  </si>
  <si>
    <t>chester springs</t>
  </si>
  <si>
    <t>Katelyn Beck</t>
  </si>
  <si>
    <t>Katelyn Hibbard</t>
  </si>
  <si>
    <t>Katharine Davis-Bruno</t>
  </si>
  <si>
    <t>Katherine Artuso</t>
  </si>
  <si>
    <t>Katherine Diaz</t>
  </si>
  <si>
    <t>Katherine Everman</t>
  </si>
  <si>
    <t>Katherine Madden</t>
  </si>
  <si>
    <t>Kathleen  Robey</t>
  </si>
  <si>
    <t>Kathleen Colson</t>
  </si>
  <si>
    <t>Kathleen Epler</t>
  </si>
  <si>
    <t>Kathleen Jones</t>
  </si>
  <si>
    <t>Kathleen McCarron</t>
  </si>
  <si>
    <t>Kathleen Mills</t>
  </si>
  <si>
    <t>Kathleen Noga</t>
  </si>
  <si>
    <t>Kathleen Sims</t>
  </si>
  <si>
    <t>Kathleen Strain</t>
  </si>
  <si>
    <t>Kathleen Tierney</t>
  </si>
  <si>
    <t>Kathryn Feiler</t>
  </si>
  <si>
    <t>Kathryn Leger</t>
  </si>
  <si>
    <t>Kathy Quick</t>
  </si>
  <si>
    <t>ashland</t>
  </si>
  <si>
    <t>Katie Comer</t>
  </si>
  <si>
    <t>Katie LePera</t>
  </si>
  <si>
    <t>Katrina Valbrun</t>
  </si>
  <si>
    <t>Keah Patterson</t>
  </si>
  <si>
    <t>oley</t>
  </si>
  <si>
    <t>Kedie Ubiles</t>
  </si>
  <si>
    <t>colmar</t>
  </si>
  <si>
    <t>Keefe Lehman</t>
  </si>
  <si>
    <t>Keith Calhoun</t>
  </si>
  <si>
    <t>Keith Givens</t>
  </si>
  <si>
    <t>Keith Green</t>
  </si>
  <si>
    <t>Keith Pitts</t>
  </si>
  <si>
    <t>Keith Stoudt</t>
  </si>
  <si>
    <t>Kelli Gerth</t>
  </si>
  <si>
    <t>Kelli Hollar</t>
  </si>
  <si>
    <t>Kelli McDonald</t>
  </si>
  <si>
    <t>Kellie  Ogborn</t>
  </si>
  <si>
    <t>glenolden</t>
  </si>
  <si>
    <t>Kelly Cosden</t>
  </si>
  <si>
    <t>Kelly Fox</t>
  </si>
  <si>
    <t>washington crossing</t>
  </si>
  <si>
    <t>Kelly Garant</t>
  </si>
  <si>
    <t>Kelly Zimmerman</t>
  </si>
  <si>
    <t>douglassville</t>
  </si>
  <si>
    <t>Ken Sherwood</t>
  </si>
  <si>
    <t>Kenneth Allen</t>
  </si>
  <si>
    <t>Kenneth Harris</t>
  </si>
  <si>
    <t>Kenneth Sites</t>
  </si>
  <si>
    <t>0467</t>
  </si>
  <si>
    <t>Kent Derry</t>
  </si>
  <si>
    <t>Kenya Moore</t>
  </si>
  <si>
    <t>Kenyatte Tilley</t>
  </si>
  <si>
    <t>Kenyetta Preston-Meredith</t>
  </si>
  <si>
    <t>Keriann Meyers</t>
  </si>
  <si>
    <t>Kermin Sochorow</t>
  </si>
  <si>
    <t>Kerri Scheitrum</t>
  </si>
  <si>
    <t>Kerry Miller</t>
  </si>
  <si>
    <t>Kerry Welch</t>
  </si>
  <si>
    <t>Kevin  Friel</t>
  </si>
  <si>
    <t>Kevin Albright</t>
  </si>
  <si>
    <t>Kevin Borum</t>
  </si>
  <si>
    <t>Kevin Congdon</t>
  </si>
  <si>
    <t>Kevin Craner</t>
  </si>
  <si>
    <t>Kevin Dial</t>
  </si>
  <si>
    <t>Kevin Linder</t>
  </si>
  <si>
    <t>Kevin McGee</t>
  </si>
  <si>
    <t>Kevin Ried</t>
  </si>
  <si>
    <t>Kevin White</t>
  </si>
  <si>
    <t>Khalid Stokes</t>
  </si>
  <si>
    <t>Kia Bigelow</t>
  </si>
  <si>
    <t>Kieanna Caterisano</t>
  </si>
  <si>
    <t>Kim Porter</t>
  </si>
  <si>
    <t>Kimberley Zellers</t>
  </si>
  <si>
    <t>Kimberly  Jones</t>
  </si>
  <si>
    <t>Kimberly Brown</t>
  </si>
  <si>
    <t>Kimberly Buzzard</t>
  </si>
  <si>
    <t>Kimberly Esterline</t>
  </si>
  <si>
    <t>Kimberly Grove</t>
  </si>
  <si>
    <t>Kimberly Hunter</t>
  </si>
  <si>
    <t>Kimberly Kulp</t>
  </si>
  <si>
    <t>Kimberly Wilder</t>
  </si>
  <si>
    <t>washington boro</t>
  </si>
  <si>
    <t>Kimberly Willis</t>
  </si>
  <si>
    <t>Kirk Parsons</t>
  </si>
  <si>
    <t>Kirsten Brannen</t>
  </si>
  <si>
    <t>Kirsten Diedrich</t>
  </si>
  <si>
    <t>Kirstie Carpenter</t>
  </si>
  <si>
    <t>Kit Zimmerman</t>
  </si>
  <si>
    <t>Kris Melton</t>
  </si>
  <si>
    <t>Kristianna Rubin</t>
  </si>
  <si>
    <t>Kristie Quinn</t>
  </si>
  <si>
    <t>trumbauersville</t>
  </si>
  <si>
    <t>Kristin Schloesser</t>
  </si>
  <si>
    <t>Kristina Carroll</t>
  </si>
  <si>
    <t>Kristofer Holzworth</t>
  </si>
  <si>
    <t>upper black eddy</t>
  </si>
  <si>
    <t>Kristy Davis</t>
  </si>
  <si>
    <t>Krysta Arthur</t>
  </si>
  <si>
    <t>Krysta Kulesa</t>
  </si>
  <si>
    <t>Krystal Propper</t>
  </si>
  <si>
    <t>Kurt Vivaldi</t>
  </si>
  <si>
    <t>Kyle Meister</t>
  </si>
  <si>
    <t>Kyle Schreffler</t>
  </si>
  <si>
    <t>Lael Ravenscroft</t>
  </si>
  <si>
    <t>Lamar McLean</t>
  </si>
  <si>
    <t>Lana Sample</t>
  </si>
  <si>
    <t>Larry Fisher, Jr.</t>
  </si>
  <si>
    <t>Larry Rice</t>
  </si>
  <si>
    <t>Latifa Aboumousa</t>
  </si>
  <si>
    <t>Latisha Kelly</t>
  </si>
  <si>
    <t>Laura Buzzell</t>
  </si>
  <si>
    <t>Laura Craig</t>
  </si>
  <si>
    <t>Laura Eliason-D'Uva</t>
  </si>
  <si>
    <t>Laura Keck</t>
  </si>
  <si>
    <t>barnesville</t>
  </si>
  <si>
    <t>Laura Klapper</t>
  </si>
  <si>
    <t>Laura Lewis</t>
  </si>
  <si>
    <t>Laura Moses-DeGele</t>
  </si>
  <si>
    <t>Lauren Anderson</t>
  </si>
  <si>
    <t>Lauren Hollinsworth</t>
  </si>
  <si>
    <t>Lauren Kowaleski</t>
  </si>
  <si>
    <t>Lauren Riebel</t>
  </si>
  <si>
    <t>Lauren Steinbrunn</t>
  </si>
  <si>
    <t>Lauren Szczepanik</t>
  </si>
  <si>
    <t>Lauren Walden</t>
  </si>
  <si>
    <t>Lauren Williams</t>
  </si>
  <si>
    <t>Lauren Wirzberger</t>
  </si>
  <si>
    <t>Laurencene Wright</t>
  </si>
  <si>
    <t>Laurie Corsack-Tester</t>
  </si>
  <si>
    <t>Lawrence  Elmore</t>
  </si>
  <si>
    <t>Lawrence  Walling</t>
  </si>
  <si>
    <t>Lawrence Worrilow, Jr.</t>
  </si>
  <si>
    <t>Lawrence Wright</t>
  </si>
  <si>
    <t>Lea Gorecki</t>
  </si>
  <si>
    <t>Leah Smith</t>
  </si>
  <si>
    <t>green lane</t>
  </si>
  <si>
    <t>Leanna Patches</t>
  </si>
  <si>
    <t>Lee Hockenbury</t>
  </si>
  <si>
    <t>Leeann Charles</t>
  </si>
  <si>
    <t>Leilany Vargas</t>
  </si>
  <si>
    <t>Leisa Walgren</t>
  </si>
  <si>
    <t>Leo Weed</t>
  </si>
  <si>
    <t>Leon Craddock</t>
  </si>
  <si>
    <t>Leonard Burnett</t>
  </si>
  <si>
    <t>Leroy Cruz</t>
  </si>
  <si>
    <t>LeRoy Haas, Jr.</t>
  </si>
  <si>
    <t>Lesley Foy</t>
  </si>
  <si>
    <t>Leslie Napolitano</t>
  </si>
  <si>
    <t>coaldale</t>
  </si>
  <si>
    <t>Letty Vazquez-Pena</t>
  </si>
  <si>
    <t>Leylanet Lopez</t>
  </si>
  <si>
    <t>Linda Geraghty</t>
  </si>
  <si>
    <t>Linda Kelly</t>
  </si>
  <si>
    <t>Linda Loughin</t>
  </si>
  <si>
    <t>Linda Rossley</t>
  </si>
  <si>
    <t>folsom</t>
  </si>
  <si>
    <t>Linda Smeltzer</t>
  </si>
  <si>
    <t>Lindsay Jackson</t>
  </si>
  <si>
    <t>Lindsey Draine</t>
  </si>
  <si>
    <t>Lindsey Forman</t>
  </si>
  <si>
    <t>Lindsey Gageby</t>
  </si>
  <si>
    <t>Lindsey Henrick</t>
  </si>
  <si>
    <t>Lisa Bickelman</t>
  </si>
  <si>
    <t>Lisa Bumm</t>
  </si>
  <si>
    <t>Lisa Dalantinow</t>
  </si>
  <si>
    <t>Lisa Fuller</t>
  </si>
  <si>
    <t>Lisa Harvey</t>
  </si>
  <si>
    <t>Lisa Hutt</t>
  </si>
  <si>
    <t>Lisa Juris</t>
  </si>
  <si>
    <t>Lisa Rogers</t>
  </si>
  <si>
    <t>croydon</t>
  </si>
  <si>
    <t>Lisa Rossano</t>
  </si>
  <si>
    <t>cheltenham</t>
  </si>
  <si>
    <t>Lisa Wright</t>
  </si>
  <si>
    <t>Lizandra Torres-Lebron</t>
  </si>
  <si>
    <t>Liznamir  Corchado Martinez</t>
  </si>
  <si>
    <t>Lois Marino</t>
  </si>
  <si>
    <t>Lorene Green</t>
  </si>
  <si>
    <t>Loretta Levy</t>
  </si>
  <si>
    <t>Loretta Mazzoni</t>
  </si>
  <si>
    <t>Lori Davidson</t>
  </si>
  <si>
    <t>Lori Fallon</t>
  </si>
  <si>
    <t>Lori Oliver</t>
  </si>
  <si>
    <t>Lori Rees</t>
  </si>
  <si>
    <t>Lorraine Beckett</t>
  </si>
  <si>
    <t>Lorraine Tortorice</t>
  </si>
  <si>
    <t>Louis Farber</t>
  </si>
  <si>
    <t>Louis Fasone</t>
  </si>
  <si>
    <t>Lovada Washington</t>
  </si>
  <si>
    <t>Lucia Rhoades</t>
  </si>
  <si>
    <t>Lucy Gehan</t>
  </si>
  <si>
    <t>Luis Planas</t>
  </si>
  <si>
    <t>Luis Quinones</t>
  </si>
  <si>
    <t>Luis Ramos Soto</t>
  </si>
  <si>
    <t>Luke  Gorman</t>
  </si>
  <si>
    <t>Luke Enge</t>
  </si>
  <si>
    <t>Luke Soriano</t>
  </si>
  <si>
    <t>Lydia Spence</t>
  </si>
  <si>
    <t>Lydia Walker</t>
  </si>
  <si>
    <t>Lynda  Jones</t>
  </si>
  <si>
    <t>richlandtown</t>
  </si>
  <si>
    <t>Lyndsey Maisey</t>
  </si>
  <si>
    <t>Lynette Smith</t>
  </si>
  <si>
    <t>Lynn Schaffer Koller</t>
  </si>
  <si>
    <t>M. Terase Boyer</t>
  </si>
  <si>
    <t>MaChere Chiles</t>
  </si>
  <si>
    <t>Makaila Davis</t>
  </si>
  <si>
    <t>Makiea Shields</t>
  </si>
  <si>
    <t>Malcolm Harris</t>
  </si>
  <si>
    <t>Malika Sanda</t>
  </si>
  <si>
    <t>Mandy Beer</t>
  </si>
  <si>
    <t>Manuel Roman</t>
  </si>
  <si>
    <t>Marc Fidler</t>
  </si>
  <si>
    <t>Marc Jackson</t>
  </si>
  <si>
    <t>Marc Palmer</t>
  </si>
  <si>
    <t>Marc Prezioso</t>
  </si>
  <si>
    <t>Marc Willig</t>
  </si>
  <si>
    <t>Marcey Canalichio</t>
  </si>
  <si>
    <t>Marcus Anderson</t>
  </si>
  <si>
    <t>Marcus Platco</t>
  </si>
  <si>
    <t>Margaret Baldwin Long</t>
  </si>
  <si>
    <t>Margaret Beavers</t>
  </si>
  <si>
    <t>Margaret Campanaro</t>
  </si>
  <si>
    <t>Margaret Doyle</t>
  </si>
  <si>
    <t>Margaret Marron</t>
  </si>
  <si>
    <t>Margaret Murphy</t>
  </si>
  <si>
    <t>Margaret O'Neill</t>
  </si>
  <si>
    <t>Margaret Spor</t>
  </si>
  <si>
    <t>Margery Craig</t>
  </si>
  <si>
    <t>Maria Cintron</t>
  </si>
  <si>
    <t>Maria Collazo</t>
  </si>
  <si>
    <t>Maria Garcia</t>
  </si>
  <si>
    <t>Maria Kelly</t>
  </si>
  <si>
    <t>Maria Monaco</t>
  </si>
  <si>
    <t>Marian Altman</t>
  </si>
  <si>
    <t>Marianne Lane</t>
  </si>
  <si>
    <t>point pleasant</t>
  </si>
  <si>
    <t>Marie Datillo</t>
  </si>
  <si>
    <t>Marie Kelly</t>
  </si>
  <si>
    <t>Marie Lewis</t>
  </si>
  <si>
    <t>Marion Martin</t>
  </si>
  <si>
    <t>Marisol Mayo</t>
  </si>
  <si>
    <t>Marjorie Rand</t>
  </si>
  <si>
    <t>Mark Cain-Walther</t>
  </si>
  <si>
    <t>Mark Copestakes</t>
  </si>
  <si>
    <t>Mark Doutt</t>
  </si>
  <si>
    <t>Mark Gosselin</t>
  </si>
  <si>
    <t>Mark Kane</t>
  </si>
  <si>
    <t>Mark McKnight</t>
  </si>
  <si>
    <t>Mark Reese</t>
  </si>
  <si>
    <t>Markecia Anderson</t>
  </si>
  <si>
    <t>Marla McNulty</t>
  </si>
  <si>
    <t>Marlene Madison</t>
  </si>
  <si>
    <t>Marlin Liggitt</t>
  </si>
  <si>
    <t>Marta Coronado</t>
  </si>
  <si>
    <t>Marta Newstat</t>
  </si>
  <si>
    <t>Martha Rich</t>
  </si>
  <si>
    <t>Martin Cunningham</t>
  </si>
  <si>
    <t>Martin Linville, II</t>
  </si>
  <si>
    <t>Martina Byrd</t>
  </si>
  <si>
    <t>Martina-Victoria Albulet</t>
  </si>
  <si>
    <t>Mary  Allen</t>
  </si>
  <si>
    <t>Mary Duck</t>
  </si>
  <si>
    <t>Mary Franzoi</t>
  </si>
  <si>
    <t>Mary Hagen</t>
  </si>
  <si>
    <t>Mary Halstead</t>
  </si>
  <si>
    <t>Mary LaCroix</t>
  </si>
  <si>
    <t>Mary McGarry</t>
  </si>
  <si>
    <t>Mary O'Donovan</t>
  </si>
  <si>
    <t>Inactive</t>
  </si>
  <si>
    <t>Mary Patricia Huhn</t>
  </si>
  <si>
    <t>Mary Rubillo</t>
  </si>
  <si>
    <t>Mary Swoyer-Larson</t>
  </si>
  <si>
    <t>Mary Taylor</t>
  </si>
  <si>
    <t>ferndale</t>
  </si>
  <si>
    <t>Mary Trimber</t>
  </si>
  <si>
    <t>Maryann DiPietro</t>
  </si>
  <si>
    <t>Maryann Nowicki</t>
  </si>
  <si>
    <t>Maryanna Freehoff</t>
  </si>
  <si>
    <t>Mary-Jo Donnelly</t>
  </si>
  <si>
    <t>Matthew Dixon</t>
  </si>
  <si>
    <t>Matthew Freda</t>
  </si>
  <si>
    <t>Matthew Helfrich</t>
  </si>
  <si>
    <t>Matthew Jacobs</t>
  </si>
  <si>
    <t>Matthew Johnson</t>
  </si>
  <si>
    <t>Matthew Mackley</t>
  </si>
  <si>
    <t>Matthew MacLaughlin</t>
  </si>
  <si>
    <t>Matthew McGahran</t>
  </si>
  <si>
    <t>Matthew Quinn</t>
  </si>
  <si>
    <t>Matthew Setley</t>
  </si>
  <si>
    <t>Matthew Shepherd</t>
  </si>
  <si>
    <t>Matthew Sloan</t>
  </si>
  <si>
    <t>Matthew Stroup</t>
  </si>
  <si>
    <t>Matthew Toth</t>
  </si>
  <si>
    <t>Maun Flanagan</t>
  </si>
  <si>
    <t>Maureen Campbell</t>
  </si>
  <si>
    <t>Maurice Murray</t>
  </si>
  <si>
    <t>Max Fick</t>
  </si>
  <si>
    <t>Maxwell Hamond</t>
  </si>
  <si>
    <t>Meagan Penrose</t>
  </si>
  <si>
    <t>Meek Rineer</t>
  </si>
  <si>
    <t>Megan  Zweifach</t>
  </si>
  <si>
    <t>Megan Bannon</t>
  </si>
  <si>
    <t>Megan Hesson</t>
  </si>
  <si>
    <t>Megan Miller</t>
  </si>
  <si>
    <t>Megan Santella</t>
  </si>
  <si>
    <t>Megan Swoboda</t>
  </si>
  <si>
    <t>oxford</t>
  </si>
  <si>
    <t>Megan Welsh</t>
  </si>
  <si>
    <t>Meghan McCullough</t>
  </si>
  <si>
    <t>Melanie  Schweser</t>
  </si>
  <si>
    <t>Melanie Avila</t>
  </si>
  <si>
    <t>Melanie Zobian</t>
  </si>
  <si>
    <t>Melissa  Clark</t>
  </si>
  <si>
    <t>Melissa  Francis</t>
  </si>
  <si>
    <t>Melissa Alivernini-Hall</t>
  </si>
  <si>
    <t>Melissa Brown</t>
  </si>
  <si>
    <t>Melissa Groden</t>
  </si>
  <si>
    <t>Melissa Harris</t>
  </si>
  <si>
    <t>Melissa McCluskey</t>
  </si>
  <si>
    <t>Melissa Parris</t>
  </si>
  <si>
    <t>Melissa Reed</t>
  </si>
  <si>
    <t>Melissa Toth</t>
  </si>
  <si>
    <t>Melissa Wallace</t>
  </si>
  <si>
    <t>Melodie Jackson</t>
  </si>
  <si>
    <t>Melodie McCredie</t>
  </si>
  <si>
    <t>Melody Schofield</t>
  </si>
  <si>
    <t>Mersadies Bonilla</t>
  </si>
  <si>
    <t>Michael  Andreacchio</t>
  </si>
  <si>
    <t>Michael Alston</t>
  </si>
  <si>
    <t>Michael Armstrong</t>
  </si>
  <si>
    <t>Michael Babij</t>
  </si>
  <si>
    <t>Michael Bentz</t>
  </si>
  <si>
    <t>Michael Brajczewski</t>
  </si>
  <si>
    <t>Michael Colbert</t>
  </si>
  <si>
    <t>Michael Dinnini</t>
  </si>
  <si>
    <t>Michael DiTommaso, Jr.</t>
  </si>
  <si>
    <t>Michael Doyle</t>
  </si>
  <si>
    <t>Michael Eller</t>
  </si>
  <si>
    <t>Michael Elmer</t>
  </si>
  <si>
    <t>adamstown</t>
  </si>
  <si>
    <t>Michael Fick</t>
  </si>
  <si>
    <t>Michael Gottschalk</t>
  </si>
  <si>
    <t>Michael Hanley</t>
  </si>
  <si>
    <t>Michael Hartley, Sr.</t>
  </si>
  <si>
    <t>Michael Hrouda</t>
  </si>
  <si>
    <t>Michael Johnson</t>
  </si>
  <si>
    <t>Michael Kennedy</t>
  </si>
  <si>
    <t>Michael Leonard</t>
  </si>
  <si>
    <t>Michael Mancuso</t>
  </si>
  <si>
    <t>Michael Mayo</t>
  </si>
  <si>
    <t>Michael Mckibbin</t>
  </si>
  <si>
    <t>Michael McLaughlin</t>
  </si>
  <si>
    <t>Michael Milbourne</t>
  </si>
  <si>
    <t>Michael Minauro</t>
  </si>
  <si>
    <t>Michael Pascale</t>
  </si>
  <si>
    <t>Michael Posivak</t>
  </si>
  <si>
    <t>Michael Reese</t>
  </si>
  <si>
    <t>Michael Rodowitz</t>
  </si>
  <si>
    <t>Michael Rowe</t>
  </si>
  <si>
    <t>Michael Schuette</t>
  </si>
  <si>
    <t>Michael Seely</t>
  </si>
  <si>
    <t>Michael Shapiro</t>
  </si>
  <si>
    <t>Michael Shaub</t>
  </si>
  <si>
    <t>Michael Smith</t>
  </si>
  <si>
    <t>Michael Tirado</t>
  </si>
  <si>
    <t>Michael White</t>
  </si>
  <si>
    <t>Michael Worthy</t>
  </si>
  <si>
    <t>Michele Fischer</t>
  </si>
  <si>
    <t>Michele Pelusi</t>
  </si>
  <si>
    <t>Michele Ryan</t>
  </si>
  <si>
    <t>Michele Simons</t>
  </si>
  <si>
    <t>Michele Symes</t>
  </si>
  <si>
    <t>Michell Weaver</t>
  </si>
  <si>
    <t>Michelle  Eib</t>
  </si>
  <si>
    <t>Michelle  Kaniuk</t>
  </si>
  <si>
    <t>Michelle Billups</t>
  </si>
  <si>
    <t>Michelle Cardillo</t>
  </si>
  <si>
    <t>Michelle Conrad</t>
  </si>
  <si>
    <t>Michelle Deavitt</t>
  </si>
  <si>
    <t>Michelle Friel</t>
  </si>
  <si>
    <t>Michelle Groff</t>
  </si>
  <si>
    <t>Michelle Kaisinger</t>
  </si>
  <si>
    <t>Michelle Leister</t>
  </si>
  <si>
    <t>trooper</t>
  </si>
  <si>
    <t>Michelle Lockhart</t>
  </si>
  <si>
    <t>Michelle Simmons</t>
  </si>
  <si>
    <t>Miguel Santana</t>
  </si>
  <si>
    <t>Miguel Santiago</t>
  </si>
  <si>
    <t>Miles Jaworski</t>
  </si>
  <si>
    <t>Milton Jones</t>
  </si>
  <si>
    <t>Milton Myers</t>
  </si>
  <si>
    <t>Mimi Frames</t>
  </si>
  <si>
    <t>Miranda Gilleo</t>
  </si>
  <si>
    <t>Miriam Zamichieli</t>
  </si>
  <si>
    <t>Mitchell Rothstein</t>
  </si>
  <si>
    <t>Monda Mwaya</t>
  </si>
  <si>
    <t>Monica Anderson</t>
  </si>
  <si>
    <t>Monica Meddaugh</t>
  </si>
  <si>
    <t>Monica Plummar</t>
  </si>
  <si>
    <t>Monica Russup</t>
  </si>
  <si>
    <t>Monica Spanninger</t>
  </si>
  <si>
    <t>Monica Thomas</t>
  </si>
  <si>
    <t>Monique Powell</t>
  </si>
  <si>
    <t>Morgan Fanning</t>
  </si>
  <si>
    <t>bridgeport</t>
  </si>
  <si>
    <t>Morgan Giampietro</t>
  </si>
  <si>
    <t>Morton Caster</t>
  </si>
  <si>
    <t>Muriel Dean-Mittig</t>
  </si>
  <si>
    <t>Murray Soss</t>
  </si>
  <si>
    <t>Nacole McCutchen</t>
  </si>
  <si>
    <t>Nada Sayed-Ahmed</t>
  </si>
  <si>
    <t>Naim Shakir</t>
  </si>
  <si>
    <t>Nancy Jacoby</t>
  </si>
  <si>
    <t>Nancy Morrison</t>
  </si>
  <si>
    <t>chadds ford</t>
  </si>
  <si>
    <t>Nancy Newman</t>
  </si>
  <si>
    <t>Nancy Pappadakis</t>
  </si>
  <si>
    <t>Natalie Rivera</t>
  </si>
  <si>
    <t>Natalie Salamone</t>
  </si>
  <si>
    <t>Natashia Fox</t>
  </si>
  <si>
    <t>Nathan Parker</t>
  </si>
  <si>
    <t>Neilson Smith</t>
  </si>
  <si>
    <t>Newton Mull</t>
  </si>
  <si>
    <t>Nicholas Dietrich</t>
  </si>
  <si>
    <t>Nicholas Dogias</t>
  </si>
  <si>
    <t>Nicholas Higgins</t>
  </si>
  <si>
    <t>Nicholas Pavlov</t>
  </si>
  <si>
    <t>Nicholas Stoltzfus</t>
  </si>
  <si>
    <t>Nicolas Greer</t>
  </si>
  <si>
    <t>Nicole Adams</t>
  </si>
  <si>
    <t>Nicole Bauer</t>
  </si>
  <si>
    <t>Nicole Brown</t>
  </si>
  <si>
    <t>Nicole Caltabiano</t>
  </si>
  <si>
    <t>Nicole Castro</t>
  </si>
  <si>
    <t>Nicole Castronova</t>
  </si>
  <si>
    <t>Nicole Davis</t>
  </si>
  <si>
    <t>Nicole Ellis</t>
  </si>
  <si>
    <t>Nicole Kirste</t>
  </si>
  <si>
    <t>Nicole Loveless</t>
  </si>
  <si>
    <t>Nicole O'Donnell</t>
  </si>
  <si>
    <t>Nicole Polit</t>
  </si>
  <si>
    <t>Nicole Ramsey</t>
  </si>
  <si>
    <t>Nicole Santon</t>
  </si>
  <si>
    <t>holmes</t>
  </si>
  <si>
    <t>Nicole Wert</t>
  </si>
  <si>
    <t>Niesha Leadum</t>
  </si>
  <si>
    <t>Nikki Bowman</t>
  </si>
  <si>
    <t>Nikki Golden-Arnold</t>
  </si>
  <si>
    <t>Nina Oplinger</t>
  </si>
  <si>
    <t>Nina Poslosky</t>
  </si>
  <si>
    <t>Nissa Spangler</t>
  </si>
  <si>
    <t>Noemi Gonzalez</t>
  </si>
  <si>
    <t>Norberto Rosa</t>
  </si>
  <si>
    <t>Norma Perez</t>
  </si>
  <si>
    <t>Orlando Vega</t>
  </si>
  <si>
    <t>Ossilee McElveen</t>
  </si>
  <si>
    <t>Paige Fern</t>
  </si>
  <si>
    <t>Paige Jellison</t>
  </si>
  <si>
    <t>Pamela  Breton</t>
  </si>
  <si>
    <t>Pamela Beck</t>
  </si>
  <si>
    <t>Pamela Dillon</t>
  </si>
  <si>
    <t>Pamela Fox</t>
  </si>
  <si>
    <t>Pamela Lewis</t>
  </si>
  <si>
    <t>Pamela Moore</t>
  </si>
  <si>
    <t>Pamela Vasquez</t>
  </si>
  <si>
    <t>line lexington</t>
  </si>
  <si>
    <t>Pamfilo Dacua, III</t>
  </si>
  <si>
    <t>Patricia  Kellar</t>
  </si>
  <si>
    <t>holicong</t>
  </si>
  <si>
    <t>Patricia Andrews</t>
  </si>
  <si>
    <t>Patricia Bailey</t>
  </si>
  <si>
    <t>Patricia Blazejewski</t>
  </si>
  <si>
    <t>Patricia Collins</t>
  </si>
  <si>
    <t>Patricia D'Alonzo</t>
  </si>
  <si>
    <t>Patricia Hamre</t>
  </si>
  <si>
    <t>Patricia Miller</t>
  </si>
  <si>
    <t>Patricia Murphy</t>
  </si>
  <si>
    <t>Patricia Nye</t>
  </si>
  <si>
    <t>Patricia Rinaldi</t>
  </si>
  <si>
    <t>Patricia Vasinda</t>
  </si>
  <si>
    <t>Patricia Ward</t>
  </si>
  <si>
    <t>Patrick  Dillon</t>
  </si>
  <si>
    <t>Patrick Dooley</t>
  </si>
  <si>
    <t>Patrick Farrell</t>
  </si>
  <si>
    <t>kempton</t>
  </si>
  <si>
    <t>Patrick Lucas</t>
  </si>
  <si>
    <t>Patrick Marison</t>
  </si>
  <si>
    <t>Patrick Montgomery</t>
  </si>
  <si>
    <t>Patrick O'Connor</t>
  </si>
  <si>
    <t>Patrick Purdie</t>
  </si>
  <si>
    <t>Patti Rich</t>
  </si>
  <si>
    <t>Paul Roberts</t>
  </si>
  <si>
    <t>Paul Rosa</t>
  </si>
  <si>
    <t>Paul Screvane</t>
  </si>
  <si>
    <t>Paul Sharrah</t>
  </si>
  <si>
    <t>Paul Van Jura</t>
  </si>
  <si>
    <t>Paul Williamson</t>
  </si>
  <si>
    <t>Paul Youngblood</t>
  </si>
  <si>
    <t>Paula Hood</t>
  </si>
  <si>
    <t>Paulann Sabatino</t>
  </si>
  <si>
    <t>Pedro Duran</t>
  </si>
  <si>
    <t>Per Hagen</t>
  </si>
  <si>
    <t>Peter  Spayde</t>
  </si>
  <si>
    <t>Peter Brizick</t>
  </si>
  <si>
    <t>Peter Duma</t>
  </si>
  <si>
    <t>Peter Edwards</t>
  </si>
  <si>
    <t>Peter Fitzgerald</t>
  </si>
  <si>
    <t>Peter Graustein</t>
  </si>
  <si>
    <t>Peter McMenamin</t>
  </si>
  <si>
    <t>Philip Staurowsky, Jr.</t>
  </si>
  <si>
    <t>Philip Visconto</t>
  </si>
  <si>
    <t>Phillip Albright</t>
  </si>
  <si>
    <t>Phillip Bennett</t>
  </si>
  <si>
    <t>Phyllis Davis</t>
  </si>
  <si>
    <t>Ponce De Leon Moss III</t>
  </si>
  <si>
    <t>Rachael Heiser</t>
  </si>
  <si>
    <t>Rachael Smith</t>
  </si>
  <si>
    <t>Rachael Wilcox</t>
  </si>
  <si>
    <t>Rachel  Reale-Adams</t>
  </si>
  <si>
    <t>Rachel Dougherty</t>
  </si>
  <si>
    <t>Rachel Leventhal</t>
  </si>
  <si>
    <t>Racquel Fetzer</t>
  </si>
  <si>
    <t>Rajpal Grewal</t>
  </si>
  <si>
    <t>Ralph Birkmire, Jr.</t>
  </si>
  <si>
    <t>Rana Gardner</t>
  </si>
  <si>
    <t>Randall Flood</t>
  </si>
  <si>
    <t>Randy Goldy</t>
  </si>
  <si>
    <t>Randy Goodman</t>
  </si>
  <si>
    <t>Randy Hawes</t>
  </si>
  <si>
    <t>Rasheeda Isley</t>
  </si>
  <si>
    <t>Rasheeda Jackson</t>
  </si>
  <si>
    <t>Rasheetta Milas</t>
  </si>
  <si>
    <t>Raul Sanchez</t>
  </si>
  <si>
    <t>Ray Newlin</t>
  </si>
  <si>
    <t>Raychel Kernicky-Jackson</t>
  </si>
  <si>
    <t>Raymond Callahan</t>
  </si>
  <si>
    <t>Raymond Hill</t>
  </si>
  <si>
    <t>Raymond Selden, III</t>
  </si>
  <si>
    <t>Reanna Martin</t>
  </si>
  <si>
    <t>Rebecca Deo</t>
  </si>
  <si>
    <t>Rebecca Earp</t>
  </si>
  <si>
    <t>Regina Higgins</t>
  </si>
  <si>
    <t>Reginald Ford</t>
  </si>
  <si>
    <t>Reinaldo Inchautegui</t>
  </si>
  <si>
    <t>Renee Faunce</t>
  </si>
  <si>
    <t>Renee Grube</t>
  </si>
  <si>
    <t>Rhoda Wilkerson</t>
  </si>
  <si>
    <t>Richard  Henderson</t>
  </si>
  <si>
    <t>Richard Arnold</t>
  </si>
  <si>
    <t>Richard Auerbach</t>
  </si>
  <si>
    <t>Richard Felty</t>
  </si>
  <si>
    <t>Richard Kuhn, Sr.</t>
  </si>
  <si>
    <t>Richard McDonald, Jr.</t>
  </si>
  <si>
    <t>Richard Petrolawicz</t>
  </si>
  <si>
    <t>Richard Reeves, Jr.</t>
  </si>
  <si>
    <t>Richard Robus</t>
  </si>
  <si>
    <t>dresher</t>
  </si>
  <si>
    <t>Richard Vogel</t>
  </si>
  <si>
    <t>Rick Kallish</t>
  </si>
  <si>
    <t>Rika Barrett</t>
  </si>
  <si>
    <t>Rina Elyce</t>
  </si>
  <si>
    <t>jenkintown</t>
  </si>
  <si>
    <t>Robert  Gattone</t>
  </si>
  <si>
    <t>Robert  Morton</t>
  </si>
  <si>
    <t>Robert Ambrose</t>
  </si>
  <si>
    <t>Robert Barber</t>
  </si>
  <si>
    <t>Robert Bedford</t>
  </si>
  <si>
    <t>Robert Blackiston</t>
  </si>
  <si>
    <t>Robert Collins</t>
  </si>
  <si>
    <t>Robert Coolbaugh</t>
  </si>
  <si>
    <t>Robert Custer</t>
  </si>
  <si>
    <t>Robert Diaz</t>
  </si>
  <si>
    <t>Robert Dill</t>
  </si>
  <si>
    <t>Robert Dott</t>
  </si>
  <si>
    <t>Robert Flood</t>
  </si>
  <si>
    <t>Robert Garrett</t>
  </si>
  <si>
    <t>Robert Jackson</t>
  </si>
  <si>
    <t>Robert Kobash</t>
  </si>
  <si>
    <t>Robert Lash</t>
  </si>
  <si>
    <t>Robert Sellers</t>
  </si>
  <si>
    <t>Robert Spencer Jr.</t>
  </si>
  <si>
    <t>Robert Strauber, Jr.</t>
  </si>
  <si>
    <t>morgantown</t>
  </si>
  <si>
    <t>Robert Weatherholtz</t>
  </si>
  <si>
    <t>Robert Williams</t>
  </si>
  <si>
    <t>Robert Wood</t>
  </si>
  <si>
    <t>Robyn Tutela-Zarli</t>
  </si>
  <si>
    <t>Rodney Brown</t>
  </si>
  <si>
    <t>Rodney Smith</t>
  </si>
  <si>
    <t>Roger Cobb</t>
  </si>
  <si>
    <t>Roger Culbreth, Sr.</t>
  </si>
  <si>
    <t>Ronald  Averette Sr</t>
  </si>
  <si>
    <t>Ronald Ford</t>
  </si>
  <si>
    <t>Ronald Richardson</t>
  </si>
  <si>
    <t>Ronald Sereny, Jr.</t>
  </si>
  <si>
    <t>Ronald Sheppard</t>
  </si>
  <si>
    <t>Rosa DiBetta</t>
  </si>
  <si>
    <t>Rosemary Velez</t>
  </si>
  <si>
    <t>Rowland Woodward IV</t>
  </si>
  <si>
    <t>Roxanne Armstead-Veasely</t>
  </si>
  <si>
    <t>Roy Kelley</t>
  </si>
  <si>
    <t>Roy Murray</t>
  </si>
  <si>
    <t>Russell  Harold</t>
  </si>
  <si>
    <t>Russell Moses</t>
  </si>
  <si>
    <t>Ryan Allen</t>
  </si>
  <si>
    <t>Ryan Anderson</t>
  </si>
  <si>
    <t>Ryan Bradley</t>
  </si>
  <si>
    <t>Ryan DuBois</t>
  </si>
  <si>
    <t>Ryan Englehart</t>
  </si>
  <si>
    <t>Ryan Schweiger</t>
  </si>
  <si>
    <t>Ryant Washington</t>
  </si>
  <si>
    <t>Saafir Ahadr</t>
  </si>
  <si>
    <t>Sabrina Dalton</t>
  </si>
  <si>
    <t>Sabrina D'Angelo</t>
  </si>
  <si>
    <t>Saia Baird</t>
  </si>
  <si>
    <t>Salisa Brantley-Seignious</t>
  </si>
  <si>
    <t>Samantha  Piotrkowski</t>
  </si>
  <si>
    <t>Samantha Burdick</t>
  </si>
  <si>
    <t>Samantha Carfagno</t>
  </si>
  <si>
    <t>Samantha Dillman</t>
  </si>
  <si>
    <t>Samantha Flaim</t>
  </si>
  <si>
    <t>Samantha Isabell</t>
  </si>
  <si>
    <t>Samantha Kaisinger</t>
  </si>
  <si>
    <t>Samantha Osterlof</t>
  </si>
  <si>
    <t>Samuel Albert, Jr.</t>
  </si>
  <si>
    <t>Samuel Haubert</t>
  </si>
  <si>
    <t>Sandra Benner</t>
  </si>
  <si>
    <t>Sandra Reedy</t>
  </si>
  <si>
    <t>Saquona  Crawford</t>
  </si>
  <si>
    <t>Sara Colvin</t>
  </si>
  <si>
    <t>Sara Cubano</t>
  </si>
  <si>
    <t>Sara Doud</t>
  </si>
  <si>
    <t>Sara Fouad</t>
  </si>
  <si>
    <t>Sara Gefvert</t>
  </si>
  <si>
    <t>Sara Groome</t>
  </si>
  <si>
    <t>Sarah Aila</t>
  </si>
  <si>
    <t>Sarah Alley</t>
  </si>
  <si>
    <t>Sarah Carroll</t>
  </si>
  <si>
    <t>Sarah Hill</t>
  </si>
  <si>
    <t>Sarah Jacobs</t>
  </si>
  <si>
    <t>Sarah Mohl</t>
  </si>
  <si>
    <t>Saulene Llanes</t>
  </si>
  <si>
    <t>Saundra Robinson</t>
  </si>
  <si>
    <t>Scott Brody</t>
  </si>
  <si>
    <t>Scott Giacomucci</t>
  </si>
  <si>
    <t>Scott Hoffman</t>
  </si>
  <si>
    <t>Scott Kimmel</t>
  </si>
  <si>
    <t>Scott Kuhn</t>
  </si>
  <si>
    <t>Scott Miller</t>
  </si>
  <si>
    <t>Scott Theurer</t>
  </si>
  <si>
    <t>Scott Tyson</t>
  </si>
  <si>
    <t>souderton</t>
  </si>
  <si>
    <t>Sean Casey</t>
  </si>
  <si>
    <t>Sean Fogler</t>
  </si>
  <si>
    <t>Sean Malak</t>
  </si>
  <si>
    <t>Sean McManus</t>
  </si>
  <si>
    <t>Seth Hornbeck</t>
  </si>
  <si>
    <t>Shahida Mimms</t>
  </si>
  <si>
    <t>ShaMar Benjamin</t>
  </si>
  <si>
    <t>Shane Curry</t>
  </si>
  <si>
    <t>Shane Evans</t>
  </si>
  <si>
    <t>Shane Madden</t>
  </si>
  <si>
    <t>Shane Nieves</t>
  </si>
  <si>
    <t>Shaniece Carroll</t>
  </si>
  <si>
    <t>Shannon Belton</t>
  </si>
  <si>
    <t>Shannon Kilner</t>
  </si>
  <si>
    <t>Shannon Opdenaker</t>
  </si>
  <si>
    <t>Sharon Bader</t>
  </si>
  <si>
    <t>Sharon Daghigh</t>
  </si>
  <si>
    <t>Sharon McCool</t>
  </si>
  <si>
    <t>Sharon Webster</t>
  </si>
  <si>
    <t>Sharon White</t>
  </si>
  <si>
    <t>Sharonda Eldridge</t>
  </si>
  <si>
    <t>Shaun Carbone</t>
  </si>
  <si>
    <t>Shaun McKenna</t>
  </si>
  <si>
    <t>Shawn Grisom</t>
  </si>
  <si>
    <t>Shawn Lauger</t>
  </si>
  <si>
    <t>Shawn McNichol</t>
  </si>
  <si>
    <t>Shawn Stankiewicz</t>
  </si>
  <si>
    <t>Shawna  Howard</t>
  </si>
  <si>
    <t>Shayla Henderson</t>
  </si>
  <si>
    <t>Shayna Thorpe</t>
  </si>
  <si>
    <t>Sheila Hall-Prioleau</t>
  </si>
  <si>
    <t>Shelby Zeller</t>
  </si>
  <si>
    <t>Shelly Bell</t>
  </si>
  <si>
    <t>Sheri Peifly</t>
  </si>
  <si>
    <t>She-Ria Bethea</t>
  </si>
  <si>
    <t>Sherita Mouzon</t>
  </si>
  <si>
    <t>Sherman Griffin</t>
  </si>
  <si>
    <t>Sherri Hutchison</t>
  </si>
  <si>
    <t>Sherry McKennie</t>
  </si>
  <si>
    <t>Shirlena Sample</t>
  </si>
  <si>
    <t>Shonda Palmer</t>
  </si>
  <si>
    <t>Shymeka Wright</t>
  </si>
  <si>
    <t>Siddeequah Felder</t>
  </si>
  <si>
    <t>Sonia Thompson</t>
  </si>
  <si>
    <t>Sophia Carabba</t>
  </si>
  <si>
    <t>roslyn</t>
  </si>
  <si>
    <t>Sophia Lombardo</t>
  </si>
  <si>
    <t>Sophie Watts</t>
  </si>
  <si>
    <t>Sousan Robinson</t>
  </si>
  <si>
    <t>Soydan Akyol</t>
  </si>
  <si>
    <t>Stacey Brown</t>
  </si>
  <si>
    <t>Stacey Huber</t>
  </si>
  <si>
    <t>Stacy Emminger</t>
  </si>
  <si>
    <t>Stanley Papademetriou</t>
  </si>
  <si>
    <t>Star Breinig</t>
  </si>
  <si>
    <t>Stasia Webster</t>
  </si>
  <si>
    <t>Stefanie Lee</t>
  </si>
  <si>
    <t>Stephanie  Blanche</t>
  </si>
  <si>
    <t>Stephanie  Butler</t>
  </si>
  <si>
    <t>Stephanie  Engleman</t>
  </si>
  <si>
    <t>Stephanie  Schultz</t>
  </si>
  <si>
    <t>Stephanie Beamer</t>
  </si>
  <si>
    <t>Stephanie DiPietro</t>
  </si>
  <si>
    <t>Stephanie Fillius</t>
  </si>
  <si>
    <t>Stephanie Presbery</t>
  </si>
  <si>
    <t>Stephanie Scully</t>
  </si>
  <si>
    <t>Stephanie Smith</t>
  </si>
  <si>
    <t>sassamansville</t>
  </si>
  <si>
    <t>Stephanie Tavares</t>
  </si>
  <si>
    <t>Stephen Bono</t>
  </si>
  <si>
    <t>Stephen Colbert II</t>
  </si>
  <si>
    <t>Stephen Gallagher</t>
  </si>
  <si>
    <t>lafayette hill</t>
  </si>
  <si>
    <t>Stephen Jackson</t>
  </si>
  <si>
    <t>Stephen Lauch</t>
  </si>
  <si>
    <t>Stephen Loffreda</t>
  </si>
  <si>
    <t>Stephen McGill</t>
  </si>
  <si>
    <t>Stephen Osborne, Jr.</t>
  </si>
  <si>
    <t>Stephen Silvestri</t>
  </si>
  <si>
    <t>Stephen Smith</t>
  </si>
  <si>
    <t>Steve Elliott</t>
  </si>
  <si>
    <t>Steven Devlin</t>
  </si>
  <si>
    <t>Steven Guido</t>
  </si>
  <si>
    <t>Steven Kerrigan</t>
  </si>
  <si>
    <t>Steven Killelea</t>
  </si>
  <si>
    <t>Steven Steel</t>
  </si>
  <si>
    <t>Susan  Conti-Corrigan</t>
  </si>
  <si>
    <t>Susan Arnold</t>
  </si>
  <si>
    <t>Susan Crathern</t>
  </si>
  <si>
    <t>oreland</t>
  </si>
  <si>
    <t>Susan Daley</t>
  </si>
  <si>
    <t>Susan Hamlin-Smith</t>
  </si>
  <si>
    <t>Susan Kaarby</t>
  </si>
  <si>
    <t>Susan Kaelin</t>
  </si>
  <si>
    <t>Susan Kline</t>
  </si>
  <si>
    <t>Susan Manney</t>
  </si>
  <si>
    <t>Susan Neiss</t>
  </si>
  <si>
    <t>Susan Shoemaker</t>
  </si>
  <si>
    <t>Suzanne  Givens</t>
  </si>
  <si>
    <t>Suzanne Accor</t>
  </si>
  <si>
    <t>Suzanne Listrani</t>
  </si>
  <si>
    <t>Sybil Hillian</t>
  </si>
  <si>
    <t>Taisha Polston</t>
  </si>
  <si>
    <t>Tajuana Destin</t>
  </si>
  <si>
    <t>Tamara Brown</t>
  </si>
  <si>
    <t>Tami Moylan</t>
  </si>
  <si>
    <t>Tammie Matthews</t>
  </si>
  <si>
    <t>Tania Patterson</t>
  </si>
  <si>
    <t>Tanisha Palmer</t>
  </si>
  <si>
    <t>Taniva Wiley</t>
  </si>
  <si>
    <t>Tanya Goodman</t>
  </si>
  <si>
    <t>Tanya Leake</t>
  </si>
  <si>
    <t>Tara Calderbank</t>
  </si>
  <si>
    <t>Tara Harshaw</t>
  </si>
  <si>
    <t>Tara Lugo</t>
  </si>
  <si>
    <t>Tasha Garman</t>
  </si>
  <si>
    <t>Taylor Burnhauser</t>
  </si>
  <si>
    <t>Taylor Chambers</t>
  </si>
  <si>
    <t>Taymiyyah Saboor</t>
  </si>
  <si>
    <t>Tee DuBose</t>
  </si>
  <si>
    <t>Teion Milbourne</t>
  </si>
  <si>
    <t>Temple Knight</t>
  </si>
  <si>
    <t>Teralynn Turner</t>
  </si>
  <si>
    <t>Tereasa  Mickens</t>
  </si>
  <si>
    <t>Terri Sorrell</t>
  </si>
  <si>
    <t>Terry  McFadden</t>
  </si>
  <si>
    <t>Terry Brownlee</t>
  </si>
  <si>
    <t>Terry Deubler</t>
  </si>
  <si>
    <t>Terry Powell</t>
  </si>
  <si>
    <t>Thea Miller</t>
  </si>
  <si>
    <t>Thelma Yancey</t>
  </si>
  <si>
    <t>Theresa Bloom</t>
  </si>
  <si>
    <t>Theresa DePlante</t>
  </si>
  <si>
    <t>Theresa Womack</t>
  </si>
  <si>
    <t>Thomas  Glinka III</t>
  </si>
  <si>
    <t>Thomas Beaufort, Jr.</t>
  </si>
  <si>
    <t>Thomas Flannery</t>
  </si>
  <si>
    <t>Thomas Furey</t>
  </si>
  <si>
    <t>Thomas Hibbs</t>
  </si>
  <si>
    <t>Thomas Ingram</t>
  </si>
  <si>
    <t>Thomas Lowman</t>
  </si>
  <si>
    <t>Thomas McKiernan</t>
  </si>
  <si>
    <t>Thomas Nightlinger</t>
  </si>
  <si>
    <t>Thomas Qualters</t>
  </si>
  <si>
    <t>Thomas Schwering</t>
  </si>
  <si>
    <t>Thomas Sheeran</t>
  </si>
  <si>
    <t>Thomas Smith</t>
  </si>
  <si>
    <t>Thomas Turner</t>
  </si>
  <si>
    <t>wyncote</t>
  </si>
  <si>
    <t>Tia Bratton</t>
  </si>
  <si>
    <t>Tiffani Jones-Montgomery</t>
  </si>
  <si>
    <t>Tiffany David</t>
  </si>
  <si>
    <t>Tiffany Merkel</t>
  </si>
  <si>
    <t>Timalynn Egan</t>
  </si>
  <si>
    <t>Timothy Bitting</t>
  </si>
  <si>
    <t>Timothy Gageby</t>
  </si>
  <si>
    <t>Timothy Muir</t>
  </si>
  <si>
    <t>Timothy Vakiener</t>
  </si>
  <si>
    <t>Timothy Verbich</t>
  </si>
  <si>
    <t>Tina Connor</t>
  </si>
  <si>
    <t>Tina Goerlach</t>
  </si>
  <si>
    <t>secane</t>
  </si>
  <si>
    <t>Tina Haynes</t>
  </si>
  <si>
    <t>Todd Shade</t>
  </si>
  <si>
    <t>Tommy Timmins</t>
  </si>
  <si>
    <t>bethel</t>
  </si>
  <si>
    <t>Toni Gogoj</t>
  </si>
  <si>
    <t>Tonia Gaskins</t>
  </si>
  <si>
    <t>Tonia Green</t>
  </si>
  <si>
    <t>Tori Roth</t>
  </si>
  <si>
    <t>branchdale</t>
  </si>
  <si>
    <t>Torri High</t>
  </si>
  <si>
    <t>Tracey Shaw</t>
  </si>
  <si>
    <t>Traci Warner</t>
  </si>
  <si>
    <t>Tracie Henry</t>
  </si>
  <si>
    <t>Tracy Kline-Stanley</t>
  </si>
  <si>
    <t>Tracy Ransom</t>
  </si>
  <si>
    <t>Tracy Smith</t>
  </si>
  <si>
    <t>Tracy Vaughn</t>
  </si>
  <si>
    <t>Travis Grimes</t>
  </si>
  <si>
    <t>Trevor Davis</t>
  </si>
  <si>
    <t>furlong</t>
  </si>
  <si>
    <t>Trisha Stover</t>
  </si>
  <si>
    <t>Tristan Schnoke</t>
  </si>
  <si>
    <t>Troy Edwards Mouzon</t>
  </si>
  <si>
    <t>Tyhearia Carroll</t>
  </si>
  <si>
    <t>Tyler Lee</t>
  </si>
  <si>
    <t>Tyler Parisi</t>
  </si>
  <si>
    <t>Tyrone Peake</t>
  </si>
  <si>
    <t>Tyrone Sherard</t>
  </si>
  <si>
    <t>Valerie Chandler</t>
  </si>
  <si>
    <t>Valerie Rhorer</t>
  </si>
  <si>
    <t>Valerie Todd-Listman</t>
  </si>
  <si>
    <t>Van Stiefel</t>
  </si>
  <si>
    <t>Vanessa Fuller</t>
  </si>
  <si>
    <t>Vera Willis</t>
  </si>
  <si>
    <t>Vern Moore</t>
  </si>
  <si>
    <t>Vernell Jones</t>
  </si>
  <si>
    <t>Veronica Kaiser</t>
  </si>
  <si>
    <t>Veronica McBride</t>
  </si>
  <si>
    <t>Victor Scott</t>
  </si>
  <si>
    <t>Victoria Fultze</t>
  </si>
  <si>
    <t>Victoria Furcht</t>
  </si>
  <si>
    <t>Victoria Lopardo</t>
  </si>
  <si>
    <t>Victoria Owens</t>
  </si>
  <si>
    <t>Victoria Papa</t>
  </si>
  <si>
    <t>Victoria Perez</t>
  </si>
  <si>
    <t>Victoria Spencer</t>
  </si>
  <si>
    <t>Victoria Tarbutton</t>
  </si>
  <si>
    <t>Vienna McGonigal</t>
  </si>
  <si>
    <t>Vincent  LeCompte</t>
  </si>
  <si>
    <t>Vincent Johnson</t>
  </si>
  <si>
    <t>Vincent Mitchell</t>
  </si>
  <si>
    <t>Virginia Bressler</t>
  </si>
  <si>
    <t>saint clair</t>
  </si>
  <si>
    <t>Virginia Ent</t>
  </si>
  <si>
    <t>Virginia Vitella</t>
  </si>
  <si>
    <t>Vivian Debro</t>
  </si>
  <si>
    <t>Wade Glenn</t>
  </si>
  <si>
    <t>Walter Wright</t>
  </si>
  <si>
    <t>Wanda Hudson</t>
  </si>
  <si>
    <t>Wanda Moore</t>
  </si>
  <si>
    <t>Warren Bernstein</t>
  </si>
  <si>
    <t>Wayne Garrett</t>
  </si>
  <si>
    <t>Wendy Hart</t>
  </si>
  <si>
    <t>Wilfredo Laboy</t>
  </si>
  <si>
    <t>Wilfredo Rodriguez</t>
  </si>
  <si>
    <t>William Blake</t>
  </si>
  <si>
    <t>William Burrell</t>
  </si>
  <si>
    <t>William Church</t>
  </si>
  <si>
    <t>William Collins</t>
  </si>
  <si>
    <t>William Gardner, Jr.</t>
  </si>
  <si>
    <t>William Harding</t>
  </si>
  <si>
    <t>William Hibbitts</t>
  </si>
  <si>
    <t>William Johnson</t>
  </si>
  <si>
    <t>William Kinkle, III</t>
  </si>
  <si>
    <t>William Marquis</t>
  </si>
  <si>
    <t>William McFadden</t>
  </si>
  <si>
    <t>William McGarry</t>
  </si>
  <si>
    <t>William Roberts</t>
  </si>
  <si>
    <t>William Stegura</t>
  </si>
  <si>
    <t>William West</t>
  </si>
  <si>
    <t>William Williams</t>
  </si>
  <si>
    <t>Willie Bullock</t>
  </si>
  <si>
    <t>Xashyl Morales</t>
  </si>
  <si>
    <t>Yannick Harris</t>
  </si>
  <si>
    <t>Yashi Maynard</t>
  </si>
  <si>
    <t>Yolanda Evans</t>
  </si>
  <si>
    <t>Yulanda Myers</t>
  </si>
  <si>
    <t>Yvette Cypress</t>
  </si>
  <si>
    <t>Yvette Kamimura-Jones</t>
  </si>
  <si>
    <t>Yvonne Flick</t>
  </si>
  <si>
    <t>Yvonne Orender</t>
  </si>
  <si>
    <t>Yvonne Stroman</t>
  </si>
  <si>
    <t>Zachary Cross</t>
  </si>
  <si>
    <t>Zachary Feaster</t>
  </si>
  <si>
    <t>Zachary Signora</t>
  </si>
  <si>
    <t>Zandra Saunders</t>
  </si>
  <si>
    <t>Zina Patton</t>
  </si>
  <si>
    <t>COUNTY</t>
  </si>
  <si>
    <t>PHILADELPHIA</t>
  </si>
  <si>
    <t>REGION 4</t>
  </si>
  <si>
    <t>TOTALS</t>
  </si>
  <si>
    <t>Row Labels</t>
  </si>
  <si>
    <t>Grand Total</t>
  </si>
  <si>
    <t>RECOVERY SPECIALIST DASHBOARD</t>
  </si>
  <si>
    <t>Recovery Specialist Data for Hub Regions 1 and 4</t>
  </si>
  <si>
    <t>Column Labels</t>
  </si>
  <si>
    <t>ID</t>
  </si>
  <si>
    <t>Count of ID</t>
  </si>
  <si>
    <t>2009</t>
  </si>
  <si>
    <t>2010</t>
  </si>
  <si>
    <t>2011</t>
  </si>
  <si>
    <t>2012</t>
  </si>
  <si>
    <t>2013</t>
  </si>
  <si>
    <t>2014</t>
  </si>
  <si>
    <t>2015</t>
  </si>
  <si>
    <t>2016</t>
  </si>
  <si>
    <t>2017</t>
  </si>
  <si>
    <t>2018</t>
  </si>
  <si>
    <t>2019</t>
  </si>
  <si>
    <t>2020</t>
  </si>
  <si>
    <t>2021</t>
  </si>
  <si>
    <t>2022</t>
  </si>
  <si>
    <t>2023</t>
  </si>
  <si>
    <t>2024</t>
  </si>
  <si>
    <t>2025</t>
  </si>
  <si>
    <t>Qtr2</t>
  </si>
  <si>
    <t>Qtr1</t>
  </si>
  <si>
    <t>Apr</t>
  </si>
  <si>
    <t>Jun</t>
  </si>
  <si>
    <t>Jan</t>
  </si>
  <si>
    <t>Feb</t>
  </si>
  <si>
    <t>Mar</t>
  </si>
  <si>
    <t>Totals</t>
  </si>
  <si>
    <t>MONTH</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</si>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</sst>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theme="1"/>
      <name val="Avenir Next LT Pro"/>
      <family val="2"/>
    </font>
    <font>
      <b/>
      <sz val="14"/>
      <color theme="0"/>
      <name val="Avenir Next LT Pro"/>
      <family val="2"/>
    </font>
    <font>
      <b/>
      <sz val="11"/>
      <color theme="0"/>
      <name val="Avenir Next LT Pro"/>
      <family val="2"/>
    </font>
    <font>
      <b/>
      <sz val="24"/>
      <color theme="0"/>
      <name val="Aptos Narrow"/>
      <family val="2"/>
      <scheme val="minor"/>
    </font>
    <font>
      <b/>
      <sz val="14"/>
      <color theme="0"/>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04E55"/>
        <bgColor indexed="64"/>
      </patternFill>
    </fill>
    <fill>
      <patternFill patternType="solid">
        <fgColor theme="0"/>
        <bgColor indexed="64"/>
      </patternFill>
    </fill>
    <fill>
      <patternFill patternType="solid">
        <fgColor rgb="FF12B2E8"/>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7">
    <xf numFmtId="0" fontId="0" fillId="0" borderId="0" xfId="0"/>
    <xf numFmtId="0" fontId="18" fillId="0" borderId="0" xfId="0" applyFont="1" applyAlignment="1">
      <alignment horizontal="left" vertical="center" indent="2"/>
    </xf>
    <xf numFmtId="0" fontId="18" fillId="0" borderId="0" xfId="0" applyFont="1" applyAlignment="1">
      <alignment horizontal="left" indent="2"/>
    </xf>
    <xf numFmtId="0" fontId="18" fillId="34" borderId="0" xfId="0" applyFont="1" applyFill="1" applyAlignment="1">
      <alignment horizontal="left" indent="2"/>
    </xf>
    <xf numFmtId="14" fontId="18" fillId="34" borderId="0" xfId="0" applyNumberFormat="1" applyFont="1" applyFill="1" applyAlignment="1">
      <alignment horizontal="left" indent="2"/>
    </xf>
    <xf numFmtId="0" fontId="18" fillId="34" borderId="12" xfId="0" applyFont="1" applyFill="1" applyBorder="1" applyAlignment="1">
      <alignment horizontal="left" indent="2"/>
    </xf>
    <xf numFmtId="0" fontId="18" fillId="34" borderId="13" xfId="0" applyFont="1" applyFill="1" applyBorder="1" applyAlignment="1">
      <alignment horizontal="left" indent="2"/>
    </xf>
    <xf numFmtId="0" fontId="18" fillId="34" borderId="14" xfId="0" applyFont="1" applyFill="1" applyBorder="1" applyAlignment="1">
      <alignment horizontal="left" indent="2"/>
    </xf>
    <xf numFmtId="0" fontId="18" fillId="34" borderId="15" xfId="0" applyFont="1" applyFill="1" applyBorder="1" applyAlignment="1">
      <alignment horizontal="left" indent="2"/>
    </xf>
    <xf numFmtId="0" fontId="0" fillId="0" borderId="0" xfId="0" pivotButton="1"/>
    <xf numFmtId="0" fontId="0" fillId="0" borderId="0" xfId="0" applyAlignment="1">
      <alignment horizontal="left"/>
    </xf>
    <xf numFmtId="0" fontId="20" fillId="33" borderId="10" xfId="0" applyFont="1" applyFill="1" applyBorder="1" applyAlignment="1">
      <alignment horizontal="center" vertical="center"/>
    </xf>
    <xf numFmtId="0" fontId="20" fillId="33" borderId="11" xfId="0" applyFont="1" applyFill="1" applyBorder="1" applyAlignment="1">
      <alignment horizontal="center" vertical="center"/>
    </xf>
    <xf numFmtId="0" fontId="18" fillId="34" borderId="12" xfId="0" applyFont="1" applyFill="1" applyBorder="1" applyAlignment="1">
      <alignment horizontal="center" vertical="center"/>
    </xf>
    <xf numFmtId="0" fontId="18" fillId="34" borderId="13" xfId="0" applyFont="1" applyFill="1" applyBorder="1" applyAlignment="1">
      <alignment horizontal="center" vertical="center"/>
    </xf>
    <xf numFmtId="0" fontId="0" fillId="33" borderId="0" xfId="0" applyFill="1"/>
    <xf numFmtId="0" fontId="21" fillId="33" borderId="0" xfId="0" applyFont="1" applyFill="1"/>
    <xf numFmtId="0" fontId="22" fillId="33" borderId="0" xfId="0" applyFont="1" applyFill="1"/>
    <xf numFmtId="0" fontId="0" fillId="34" borderId="0" xfId="0" applyFill="1"/>
    <xf numFmtId="0" fontId="0" fillId="35" borderId="0" xfId="0" applyFill="1"/>
    <xf numFmtId="0" fontId="0" fillId="0" borderId="0" xfId="0" applyAlignment="1">
      <alignment horizontal="left" indent="1"/>
    </xf>
    <xf numFmtId="0" fontId="0" fillId="0" borderId="0" xfId="0" applyNumberFormat="1"/>
    <xf numFmtId="0" fontId="0" fillId="0" borderId="0" xfId="0" applyAlignment="1">
      <alignment horizontal="left" indent="2"/>
    </xf>
    <xf numFmtId="0" fontId="19" fillId="33" borderId="0" xfId="0" applyFont="1" applyFill="1" applyBorder="1" applyAlignment="1">
      <alignment horizontal="left" vertical="center" indent="2"/>
    </xf>
    <xf numFmtId="0" fontId="18" fillId="34" borderId="0" xfId="0" applyFont="1" applyFill="1" applyBorder="1" applyAlignment="1">
      <alignment horizontal="left" indent="2"/>
    </xf>
    <xf numFmtId="14" fontId="18" fillId="34" borderId="0" xfId="0" applyNumberFormat="1" applyFont="1" applyFill="1" applyBorder="1" applyAlignment="1">
      <alignment horizontal="left" indent="2"/>
    </xf>
    <xf numFmtId="0" fontId="18" fillId="34" borderId="0" xfId="0" quotePrefix="1" applyFont="1" applyFill="1" applyBorder="1" applyAlignment="1">
      <alignment horizontal="left" indent="2"/>
    </xf>
    <xf numFmtId="0" fontId="18" fillId="35" borderId="0" xfId="0" applyFont="1" applyFill="1" applyAlignment="1">
      <alignment horizontal="left" vertical="center" indent="2"/>
    </xf>
    <xf numFmtId="0" fontId="18" fillId="35" borderId="0" xfId="0" applyFont="1" applyFill="1" applyAlignment="1">
      <alignment horizontal="left" indent="2"/>
    </xf>
    <xf numFmtId="0" fontId="18" fillId="33" borderId="0" xfId="0" applyFont="1" applyFill="1" applyAlignment="1">
      <alignment horizontal="left" indent="2"/>
    </xf>
    <xf numFmtId="0" fontId="18" fillId="35" borderId="0" xfId="0" applyFont="1" applyFill="1" applyBorder="1" applyAlignment="1">
      <alignment horizontal="left" indent="2"/>
    </xf>
    <xf numFmtId="0" fontId="18" fillId="33" borderId="0" xfId="0" applyFont="1" applyFill="1" applyBorder="1" applyAlignment="1">
      <alignment horizontal="left" indent="2"/>
    </xf>
    <xf numFmtId="0" fontId="18" fillId="0" borderId="0" xfId="0" applyFont="1" applyBorder="1" applyAlignment="1">
      <alignment horizontal="left" indent="2"/>
    </xf>
    <xf numFmtId="0" fontId="20" fillId="33" borderId="0" xfId="0" applyFont="1" applyFill="1" applyBorder="1" applyAlignment="1">
      <alignment horizontal="center" vertical="center"/>
    </xf>
    <xf numFmtId="0" fontId="0" fillId="0" borderId="0" xfId="0" applyBorder="1"/>
    <xf numFmtId="0" fontId="18" fillId="34" borderId="0" xfId="0" applyNumberFormat="1" applyFont="1" applyFill="1" applyBorder="1" applyAlignment="1">
      <alignment horizontal="left" indent="2"/>
    </xf>
    <xf numFmtId="0" fontId="18" fillId="34" borderId="0" xfId="0" applyNumberFormat="1" applyFont="1" applyFill="1" applyAlignment="1">
      <alignment horizontal="left" indent="2"/>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3">
    <dxf>
      <font>
        <b/>
        <i val="0"/>
        <strike val="0"/>
        <sz val="14"/>
        <name val="Avenir LT Std 65 Medium"/>
        <family val="2"/>
        <scheme val="none"/>
      </font>
    </dxf>
    <dxf>
      <font>
        <b/>
        <i val="0"/>
        <strike val="0"/>
        <sz val="12"/>
        <name val="Avenir LT Std 65 Medium"/>
        <family val="2"/>
        <scheme val="none"/>
      </font>
      <fill>
        <patternFill>
          <bgColor rgb="FF00B0F0"/>
        </patternFill>
      </fill>
    </dxf>
    <dxf>
      <font>
        <b val="0"/>
        <i val="0"/>
        <strike val="0"/>
        <condense val="0"/>
        <extend val="0"/>
        <outline val="0"/>
        <shadow val="0"/>
        <u val="none"/>
        <vertAlign val="baseline"/>
        <sz val="11"/>
        <color theme="1"/>
        <name val="Avenir Next LT Pro"/>
        <family val="2"/>
        <scheme val="none"/>
      </font>
      <numFmt numFmtId="0" formatCode="General"/>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numFmt numFmtId="0" formatCode="General"/>
      <fill>
        <patternFill patternType="solid">
          <fgColor indexed="64"/>
          <bgColor theme="0"/>
        </patternFill>
      </fill>
      <alignment horizontal="left" vertical="bottom" textRotation="0" wrapText="0" indent="2" justifyLastLine="0" shrinkToFit="0" readingOrder="0"/>
    </dxf>
    <dxf>
      <font>
        <b/>
        <i val="0"/>
        <strike val="0"/>
        <condense val="0"/>
        <extend val="0"/>
        <outline val="0"/>
        <shadow val="0"/>
        <u val="none"/>
        <vertAlign val="baseline"/>
        <sz val="11"/>
        <color theme="0"/>
        <name val="Avenir Next LT Pro"/>
        <family val="2"/>
        <scheme val="none"/>
      </font>
      <fill>
        <patternFill patternType="solid">
          <fgColor indexed="64"/>
          <bgColor rgb="FFF04E5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font>
        <b/>
        <color theme="1"/>
      </font>
      <border>
        <bottom style="thin">
          <color theme="4"/>
        </bottom>
        <vertical/>
        <horizontal/>
      </border>
    </dxf>
    <dxf>
      <font>
        <color theme="1"/>
      </font>
      <border diagonalUp="0" diagonalDown="0">
        <left/>
        <right/>
        <top/>
        <bottom/>
        <vertical/>
        <horizontal/>
      </border>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numFmt numFmtId="19" formatCode="m/d/yyyy"/>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numFmt numFmtId="19" formatCode="m/d/yyyy"/>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Avenir Next LT Pro"/>
        <family val="2"/>
        <scheme val="none"/>
      </font>
      <fill>
        <patternFill patternType="solid">
          <fgColor indexed="64"/>
          <bgColor theme="0"/>
        </patternFill>
      </fill>
      <alignment horizontal="left" vertical="bottom" textRotation="0" wrapText="0" indent="2" justifyLastLine="0" shrinkToFit="0" readingOrder="0"/>
    </dxf>
    <dxf>
      <font>
        <b/>
        <i val="0"/>
        <strike val="0"/>
        <condense val="0"/>
        <extend val="0"/>
        <outline val="0"/>
        <shadow val="0"/>
        <u val="none"/>
        <vertAlign val="baseline"/>
        <sz val="14"/>
        <color theme="0"/>
        <name val="Avenir Next LT Pro"/>
        <family val="2"/>
        <scheme val="none"/>
      </font>
      <fill>
        <patternFill patternType="solid">
          <fgColor indexed="64"/>
          <bgColor rgb="FFF04E55"/>
        </patternFill>
      </fill>
      <alignment horizontal="left" vertical="center" textRotation="0" wrapText="0" indent="2" justifyLastLine="0" shrinkToFit="0" readingOrder="0"/>
    </dxf>
  </dxfs>
  <tableStyles count="2" defaultTableStyle="TableStyleMedium2" defaultPivotStyle="PivotStyleLight16">
    <tableStyle name="custom_noborder_slicer" pivot="0" table="0" count="10" xr9:uid="{3080F456-0091-4F5D-97E9-3D78561719F8}">
      <tableStyleElement type="wholeTable" dxfId="11"/>
      <tableStyleElement type="headerRow" dxfId="10"/>
    </tableStyle>
    <tableStyle name="Slicer Style 1" pivot="0" table="0" count="10" xr9:uid="{F11BD847-B7AE-45F3-B272-3B016FCB1DAE}">
      <tableStyleElement type="wholeTable" dxfId="1"/>
      <tableStyleElement type="headerRow" dxfId="0"/>
    </tableStyle>
  </tableStyles>
  <colors>
    <mruColors>
      <color rgb="FFF04E55"/>
      <color rgb="FF12B2E8"/>
    </mruColors>
  </colors>
  <extLst>
    <ext xmlns:x14="http://schemas.microsoft.com/office/spreadsheetml/2009/9/main" uri="{46F421CA-312F-682f-3DD2-61675219B42D}">
      <x14:dxfs count="24">
        <dxf>
          <font>
            <b/>
            <i val="0"/>
            <strike val="0"/>
            <name val="Avenir LT Std 65 Medium"/>
            <family val="2"/>
            <scheme val="none"/>
          </font>
          <fill>
            <patternFill>
              <bgColor theme="1"/>
            </patternFill>
          </fill>
        </dxf>
        <dxf>
          <font>
            <b/>
            <i val="0"/>
            <strike val="0"/>
            <sz val="12"/>
            <name val="Avenir LT Std 65 Medium"/>
            <family val="2"/>
            <scheme val="none"/>
          </font>
        </dxf>
        <dxf>
          <font>
            <b/>
            <i val="0"/>
            <strike val="0"/>
            <sz val="12"/>
            <color theme="0"/>
            <name val="Avenir LT Std 65 Medium"/>
            <family val="2"/>
          </font>
          <fill>
            <patternFill>
              <bgColor theme="1"/>
            </patternFill>
          </fill>
        </dxf>
        <dxf>
          <font>
            <b/>
            <i val="0"/>
            <name val="Avenir LT Std 65 Medium"/>
            <family val="2"/>
            <scheme val="none"/>
          </font>
          <fill>
            <patternFill>
              <bgColor theme="1"/>
            </patternFill>
          </fill>
        </dxf>
        <dxf>
          <font>
            <b/>
            <i val="0"/>
            <strike val="0"/>
            <sz val="12"/>
            <name val="Avenir LT Std 65 Medium"/>
            <family val="2"/>
          </font>
        </dxf>
        <dxf>
          <font>
            <b/>
            <i val="0"/>
            <strike val="0"/>
            <sz val="12"/>
            <color theme="0"/>
            <name val="Avenir LT Std 65 Medium"/>
            <family val="2"/>
            <scheme val="none"/>
          </font>
          <fill>
            <patternFill>
              <bgColor rgb="FFF04E55"/>
            </patternFill>
          </fill>
        </dxf>
        <dxf>
          <font>
            <b/>
            <i val="0"/>
            <strike val="0"/>
            <sz val="12"/>
            <name val="Avenir LT Std 65 Medium"/>
            <family val="2"/>
          </font>
        </dxf>
        <dxf>
          <font>
            <b/>
            <i val="0"/>
            <strike val="0"/>
            <sz val="12"/>
            <color theme="0"/>
            <name val="Avenir LT Std 65 Medium"/>
            <family val="2"/>
            <scheme val="none"/>
          </font>
          <fill>
            <patternFill>
              <bgColor theme="4" tint="0.39994506668294322"/>
            </patternFill>
          </fill>
        </dxf>
        <dxf>
          <font>
            <b/>
            <i val="0"/>
            <strike val="0"/>
            <name val="Avenir LT Std 65 Medium"/>
            <family val="2"/>
            <scheme val="none"/>
          </font>
          <fill>
            <patternFill>
              <bgColor theme="1"/>
            </patternFill>
          </fill>
        </dxf>
        <dxf>
          <font>
            <b/>
            <i val="0"/>
            <strike val="0"/>
            <sz val="12"/>
            <name val="Avenir LT Std 65 Medium"/>
            <family val="2"/>
            <scheme val="none"/>
          </font>
        </dxf>
        <dxf>
          <font>
            <b/>
            <i val="0"/>
            <strike val="0"/>
            <sz val="12"/>
            <color theme="0"/>
            <name val="Avenir LT Std 65 Medium"/>
            <family val="2"/>
          </font>
          <fill>
            <patternFill>
              <bgColor theme="1"/>
            </patternFill>
          </fill>
        </dxf>
        <dxf>
          <font>
            <b/>
            <i val="0"/>
            <name val="Avenir LT Std 65 Medium"/>
            <family val="2"/>
            <scheme val="none"/>
          </font>
          <fill>
            <patternFill>
              <bgColor theme="1"/>
            </patternFill>
          </fill>
        </dxf>
        <dxf>
          <font>
            <b/>
            <i val="0"/>
            <strike val="0"/>
            <sz val="12"/>
            <name val="Avenir LT Std 65 Medium"/>
            <family val="2"/>
          </font>
        </dxf>
        <dxf>
          <font>
            <b/>
            <i val="0"/>
            <strike val="0"/>
            <sz val="12"/>
            <color theme="0"/>
            <name val="Avenir LT Std 65 Medium"/>
            <family val="2"/>
            <scheme val="none"/>
          </font>
          <fill>
            <patternFill>
              <bgColor rgb="FFF04E55"/>
            </patternFill>
          </fill>
        </dxf>
        <dxf>
          <font>
            <b/>
            <i val="0"/>
            <strike val="0"/>
            <sz val="12"/>
            <name val="Avenir LT Std 65 Medium"/>
            <family val="2"/>
          </font>
        </dxf>
        <dxf>
          <font>
            <b/>
            <i val="0"/>
            <strike val="0"/>
            <sz val="12"/>
            <color theme="0"/>
            <name val="Avenir LT Std 65 Medium"/>
            <family val="2"/>
            <scheme val="none"/>
          </font>
          <fill>
            <patternFill>
              <bgColor theme="4" tint="0.39994506668294322"/>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 Style 1">
        <x14:slicerStyle name="custom_noborder_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11</xdr:col>
      <xdr:colOff>30179</xdr:colOff>
      <xdr:row>1</xdr:row>
      <xdr:rowOff>29817</xdr:rowOff>
    </xdr:from>
    <xdr:to>
      <xdr:col>15</xdr:col>
      <xdr:colOff>168458</xdr:colOff>
      <xdr:row>5</xdr:row>
      <xdr:rowOff>173934</xdr:rowOff>
    </xdr:to>
    <xdr:grpSp>
      <xdr:nvGrpSpPr>
        <xdr:cNvPr id="8" name="Group 7">
          <a:extLst>
            <a:ext uri="{FF2B5EF4-FFF2-40B4-BE49-F238E27FC236}">
              <a16:creationId xmlns:a16="http://schemas.microsoft.com/office/drawing/2014/main" id="{4F08F80E-A116-4E29-AEDF-A0430C9B9D10}"/>
            </a:ext>
          </a:extLst>
        </xdr:cNvPr>
        <xdr:cNvGrpSpPr/>
      </xdr:nvGrpSpPr>
      <xdr:grpSpPr>
        <a:xfrm>
          <a:off x="5928748" y="224543"/>
          <a:ext cx="2669715" cy="1150200"/>
          <a:chOff x="5150104" y="221838"/>
          <a:chExt cx="2387635" cy="874968"/>
        </a:xfrm>
      </xdr:grpSpPr>
      <xdr:sp macro="" textlink="">
        <xdr:nvSpPr>
          <xdr:cNvPr id="9" name="Rectangle: Top Corners Rounded 8">
            <a:extLst>
              <a:ext uri="{FF2B5EF4-FFF2-40B4-BE49-F238E27FC236}">
                <a16:creationId xmlns:a16="http://schemas.microsoft.com/office/drawing/2014/main" id="{EDE8BB5A-318D-3BE7-CA21-D9D298516343}"/>
              </a:ext>
            </a:extLst>
          </xdr:cNvPr>
          <xdr:cNvSpPr/>
        </xdr:nvSpPr>
        <xdr:spPr>
          <a:xfrm rot="16200000">
            <a:off x="5854539" y="-482597"/>
            <a:ext cx="874968" cy="2283837"/>
          </a:xfrm>
          <a:prstGeom prst="round2SameRect">
            <a:avLst>
              <a:gd name="adj1" fmla="val 8706"/>
              <a:gd name="adj2" fmla="val 0"/>
            </a:avLst>
          </a:prstGeom>
          <a:solidFill>
            <a:srgbClr val="3BC6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Top Corners Rounded 9">
            <a:extLst>
              <a:ext uri="{FF2B5EF4-FFF2-40B4-BE49-F238E27FC236}">
                <a16:creationId xmlns:a16="http://schemas.microsoft.com/office/drawing/2014/main" id="{DFFDD465-862A-95C4-8A70-C8AFFBC590F8}"/>
              </a:ext>
            </a:extLst>
          </xdr:cNvPr>
          <xdr:cNvSpPr/>
        </xdr:nvSpPr>
        <xdr:spPr>
          <a:xfrm rot="5400000">
            <a:off x="5961528" y="-481176"/>
            <a:ext cx="868585" cy="2283837"/>
          </a:xfrm>
          <a:prstGeom prst="round2SameRect">
            <a:avLst>
              <a:gd name="adj1" fmla="val 8706"/>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1" name="Straight Connector 10">
            <a:extLst>
              <a:ext uri="{FF2B5EF4-FFF2-40B4-BE49-F238E27FC236}">
                <a16:creationId xmlns:a16="http://schemas.microsoft.com/office/drawing/2014/main" id="{53B267CD-A4D1-A08C-4F12-EB7026BFC617}"/>
              </a:ext>
            </a:extLst>
          </xdr:cNvPr>
          <xdr:cNvCxnSpPr/>
        </xdr:nvCxnSpPr>
        <xdr:spPr>
          <a:xfrm>
            <a:off x="6131885" y="463263"/>
            <a:ext cx="4684" cy="560788"/>
          </a:xfrm>
          <a:prstGeom prst="line">
            <a:avLst/>
          </a:prstGeom>
          <a:ln w="6350"/>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15</xdr:col>
      <xdr:colOff>547794</xdr:colOff>
      <xdr:row>1</xdr:row>
      <xdr:rowOff>36672</xdr:rowOff>
    </xdr:from>
    <xdr:to>
      <xdr:col>20</xdr:col>
      <xdr:colOff>53215</xdr:colOff>
      <xdr:row>5</xdr:row>
      <xdr:rowOff>180789</xdr:rowOff>
    </xdr:to>
    <xdr:grpSp>
      <xdr:nvGrpSpPr>
        <xdr:cNvPr id="12" name="Group 11">
          <a:extLst>
            <a:ext uri="{FF2B5EF4-FFF2-40B4-BE49-F238E27FC236}">
              <a16:creationId xmlns:a16="http://schemas.microsoft.com/office/drawing/2014/main" id="{C53F2FD1-E8E7-4C5C-9EFB-AC5097A3A0FF}"/>
            </a:ext>
          </a:extLst>
        </xdr:cNvPr>
        <xdr:cNvGrpSpPr/>
      </xdr:nvGrpSpPr>
      <xdr:grpSpPr>
        <a:xfrm>
          <a:off x="8977799" y="231398"/>
          <a:ext cx="2669716" cy="1150200"/>
          <a:chOff x="5150104" y="221838"/>
          <a:chExt cx="2387635" cy="874968"/>
        </a:xfrm>
      </xdr:grpSpPr>
      <xdr:sp macro="" textlink="">
        <xdr:nvSpPr>
          <xdr:cNvPr id="13" name="Rectangle: Top Corners Rounded 12">
            <a:extLst>
              <a:ext uri="{FF2B5EF4-FFF2-40B4-BE49-F238E27FC236}">
                <a16:creationId xmlns:a16="http://schemas.microsoft.com/office/drawing/2014/main" id="{EA11786F-47C2-4532-8B9E-CABE2C8B2FCA}"/>
              </a:ext>
            </a:extLst>
          </xdr:cNvPr>
          <xdr:cNvSpPr/>
        </xdr:nvSpPr>
        <xdr:spPr>
          <a:xfrm rot="16200000">
            <a:off x="5854539" y="-482597"/>
            <a:ext cx="874968" cy="2283837"/>
          </a:xfrm>
          <a:prstGeom prst="round2SameRect">
            <a:avLst>
              <a:gd name="adj1" fmla="val 8706"/>
              <a:gd name="adj2" fmla="val 0"/>
            </a:avLst>
          </a:prstGeom>
          <a:solidFill>
            <a:srgbClr val="3BC6F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Top Corners Rounded 13">
            <a:extLst>
              <a:ext uri="{FF2B5EF4-FFF2-40B4-BE49-F238E27FC236}">
                <a16:creationId xmlns:a16="http://schemas.microsoft.com/office/drawing/2014/main" id="{AF92E8AA-AD86-B83D-1116-D7506603D143}"/>
              </a:ext>
            </a:extLst>
          </xdr:cNvPr>
          <xdr:cNvSpPr/>
        </xdr:nvSpPr>
        <xdr:spPr>
          <a:xfrm rot="5400000">
            <a:off x="5961528" y="-481176"/>
            <a:ext cx="868585" cy="2283837"/>
          </a:xfrm>
          <a:prstGeom prst="round2SameRect">
            <a:avLst>
              <a:gd name="adj1" fmla="val 8706"/>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5" name="Straight Connector 14">
            <a:extLst>
              <a:ext uri="{FF2B5EF4-FFF2-40B4-BE49-F238E27FC236}">
                <a16:creationId xmlns:a16="http://schemas.microsoft.com/office/drawing/2014/main" id="{CBDBA2FB-B569-96F2-9130-7C79B3433CB5}"/>
              </a:ext>
            </a:extLst>
          </xdr:cNvPr>
          <xdr:cNvCxnSpPr/>
        </xdr:nvCxnSpPr>
        <xdr:spPr>
          <a:xfrm flipH="1">
            <a:off x="6136568" y="338251"/>
            <a:ext cx="4289" cy="685800"/>
          </a:xfrm>
          <a:prstGeom prst="line">
            <a:avLst/>
          </a:prstGeom>
          <a:ln w="6350"/>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22</xdr:col>
      <xdr:colOff>374966</xdr:colOff>
      <xdr:row>1</xdr:row>
      <xdr:rowOff>182850</xdr:rowOff>
    </xdr:from>
    <xdr:to>
      <xdr:col>22</xdr:col>
      <xdr:colOff>379769</xdr:colOff>
      <xdr:row>5</xdr:row>
      <xdr:rowOff>78294</xdr:rowOff>
    </xdr:to>
    <xdr:cxnSp macro="">
      <xdr:nvCxnSpPr>
        <xdr:cNvPr id="19" name="Straight Connector 18">
          <a:extLst>
            <a:ext uri="{FF2B5EF4-FFF2-40B4-BE49-F238E27FC236}">
              <a16:creationId xmlns:a16="http://schemas.microsoft.com/office/drawing/2014/main" id="{00369601-E891-3D87-2BA3-7446E458FAE7}"/>
            </a:ext>
          </a:extLst>
        </xdr:cNvPr>
        <xdr:cNvCxnSpPr/>
      </xdr:nvCxnSpPr>
      <xdr:spPr>
        <a:xfrm flipH="1">
          <a:off x="13234983" y="377576"/>
          <a:ext cx="4803" cy="901527"/>
        </a:xfrm>
        <a:prstGeom prst="line">
          <a:avLst/>
        </a:prstGeom>
        <a:ln w="6350"/>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616632</xdr:colOff>
      <xdr:row>9</xdr:row>
      <xdr:rowOff>186613</xdr:rowOff>
    </xdr:from>
    <xdr:to>
      <xdr:col>10</xdr:col>
      <xdr:colOff>559836</xdr:colOff>
      <xdr:row>11</xdr:row>
      <xdr:rowOff>97363</xdr:rowOff>
    </xdr:to>
    <xdr:sp macro="" textlink="">
      <xdr:nvSpPr>
        <xdr:cNvPr id="27" name="TextBox 26">
          <a:extLst>
            <a:ext uri="{FF2B5EF4-FFF2-40B4-BE49-F238E27FC236}">
              <a16:creationId xmlns:a16="http://schemas.microsoft.com/office/drawing/2014/main" id="{53F92FC0-FA0F-7EBA-7222-7FF4DC409A67}"/>
            </a:ext>
          </a:extLst>
        </xdr:cNvPr>
        <xdr:cNvSpPr txBox="1"/>
      </xdr:nvSpPr>
      <xdr:spPr>
        <a:xfrm>
          <a:off x="4616625" y="2166325"/>
          <a:ext cx="1208922" cy="300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500932</xdr:colOff>
      <xdr:row>1</xdr:row>
      <xdr:rowOff>63610</xdr:rowOff>
    </xdr:from>
    <xdr:to>
      <xdr:col>18</xdr:col>
      <xdr:colOff>302150</xdr:colOff>
      <xdr:row>15</xdr:row>
      <xdr:rowOff>62688</xdr:rowOff>
    </xdr:to>
    <mc:AlternateContent xmlns:mc="http://schemas.openxmlformats.org/markup-compatibility/2006">
      <mc:Choice xmlns:a14="http://schemas.microsoft.com/office/drawing/2010/main" Requires="a14">
        <xdr:graphicFrame macro="">
          <xdr:nvGraphicFramePr>
            <xdr:cNvPr id="7" name="COUNTY">
              <a:extLst>
                <a:ext uri="{FF2B5EF4-FFF2-40B4-BE49-F238E27FC236}">
                  <a16:creationId xmlns:a16="http://schemas.microsoft.com/office/drawing/2014/main" id="{05746950-C3DC-D639-ED4A-AA4E15D13172}"/>
                </a:ext>
              </a:extLst>
            </xdr:cNvPr>
            <xdr:cNvGraphicFramePr/>
          </xdr:nvGraphicFramePr>
          <xdr:xfrm>
            <a:off x="0" y="0"/>
            <a:ext cx="0" cy="0"/>
          </xdr:xfrm>
          <a:graphic>
            <a:graphicData uri="http://schemas.microsoft.com/office/drawing/2010/slicer">
              <sle:slicer xmlns:sle="http://schemas.microsoft.com/office/drawing/2010/slicer" name="COUNTY"/>
            </a:graphicData>
          </a:graphic>
        </xdr:graphicFrame>
      </mc:Choice>
      <mc:Fallback>
        <xdr:sp macro="" textlink="">
          <xdr:nvSpPr>
            <xdr:cNvPr id="0" name=""/>
            <xdr:cNvSpPr>
              <a:spLocks noTextEdit="1"/>
            </xdr:cNvSpPr>
          </xdr:nvSpPr>
          <xdr:spPr>
            <a:xfrm>
              <a:off x="14002247" y="254441"/>
              <a:ext cx="1828800" cy="26707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135172</xdr:colOff>
      <xdr:row>1</xdr:row>
      <xdr:rowOff>206734</xdr:rowOff>
    </xdr:from>
    <xdr:to>
      <xdr:col>6</xdr:col>
      <xdr:colOff>103367</xdr:colOff>
      <xdr:row>3</xdr:row>
      <xdr:rowOff>23854</xdr:rowOff>
    </xdr:to>
    <mc:AlternateContent xmlns:mc="http://schemas.openxmlformats.org/markup-compatibility/2006">
      <mc:Choice xmlns:sle15="http://schemas.microsoft.com/office/drawing/2012/slicer" Requires="sle15">
        <xdr:graphicFrame macro="">
          <xdr:nvGraphicFramePr>
            <xdr:cNvPr id="8" name="STATUS">
              <a:extLst>
                <a:ext uri="{FF2B5EF4-FFF2-40B4-BE49-F238E27FC236}">
                  <a16:creationId xmlns:a16="http://schemas.microsoft.com/office/drawing/2014/main" id="{845899F7-E9D0-4634-3A21-2B64704D4172}"/>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323847" y="894051"/>
              <a:ext cx="7339998" cy="410098"/>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606455</xdr:colOff>
      <xdr:row>5</xdr:row>
      <xdr:rowOff>128972</xdr:rowOff>
    </xdr:from>
    <xdr:to>
      <xdr:col>9</xdr:col>
      <xdr:colOff>1064665</xdr:colOff>
      <xdr:row>6</xdr:row>
      <xdr:rowOff>269535</xdr:rowOff>
    </xdr:to>
    <mc:AlternateContent xmlns:mc="http://schemas.openxmlformats.org/markup-compatibility/2006">
      <mc:Choice xmlns:sle15="http://schemas.microsoft.com/office/drawing/2012/slicer" Requires="sle15">
        <xdr:graphicFrame macro="">
          <xdr:nvGraphicFramePr>
            <xdr:cNvPr id="9" name="COUNTY 2">
              <a:extLst>
                <a:ext uri="{FF2B5EF4-FFF2-40B4-BE49-F238E27FC236}">
                  <a16:creationId xmlns:a16="http://schemas.microsoft.com/office/drawing/2014/main" id="{61E797B7-1222-BAEE-F52B-C4918AF2AF9A}"/>
                </a:ext>
              </a:extLst>
            </xdr:cNvPr>
            <xdr:cNvGraphicFramePr/>
          </xdr:nvGraphicFramePr>
          <xdr:xfrm>
            <a:off x="0" y="0"/>
            <a:ext cx="0" cy="0"/>
          </xdr:xfrm>
          <a:graphic>
            <a:graphicData uri="http://schemas.microsoft.com/office/drawing/2010/slicer">
              <sle:slicer xmlns:sle="http://schemas.microsoft.com/office/drawing/2010/slicer" name="COUNTY 2"/>
            </a:graphicData>
          </a:graphic>
        </xdr:graphicFrame>
      </mc:Choice>
      <mc:Fallback>
        <xdr:sp macro="" textlink="">
          <xdr:nvSpPr>
            <xdr:cNvPr id="0" name=""/>
            <xdr:cNvSpPr>
              <a:spLocks noTextEdit="1"/>
            </xdr:cNvSpPr>
          </xdr:nvSpPr>
          <xdr:spPr>
            <a:xfrm>
              <a:off x="795130" y="2002245"/>
              <a:ext cx="11900003" cy="4370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206733</xdr:colOff>
      <xdr:row>0</xdr:row>
      <xdr:rowOff>270346</xdr:rowOff>
    </xdr:from>
    <xdr:to>
      <xdr:col>4</xdr:col>
      <xdr:colOff>87466</xdr:colOff>
      <xdr:row>1</xdr:row>
      <xdr:rowOff>15904</xdr:rowOff>
    </xdr:to>
    <mc:AlternateContent xmlns:mc="http://schemas.openxmlformats.org/markup-compatibility/2006">
      <mc:Choice xmlns:sle15="http://schemas.microsoft.com/office/drawing/2012/slicer" Requires="sle15">
        <xdr:graphicFrame macro="">
          <xdr:nvGraphicFramePr>
            <xdr:cNvPr id="10" name="CREDENTIAL">
              <a:extLst>
                <a:ext uri="{FF2B5EF4-FFF2-40B4-BE49-F238E27FC236}">
                  <a16:creationId xmlns:a16="http://schemas.microsoft.com/office/drawing/2014/main" id="{7D6B7F50-0CC7-4C40-999C-29B6E9A9C63D}"/>
                </a:ext>
              </a:extLst>
            </xdr:cNvPr>
            <xdr:cNvGraphicFramePr/>
          </xdr:nvGraphicFramePr>
          <xdr:xfrm>
            <a:off x="0" y="0"/>
            <a:ext cx="0" cy="0"/>
          </xdr:xfrm>
          <a:graphic>
            <a:graphicData uri="http://schemas.microsoft.com/office/drawing/2010/slicer">
              <sle:slicer xmlns:sle="http://schemas.microsoft.com/office/drawing/2010/slicer" name="CREDENTIAL"/>
            </a:graphicData>
          </a:graphic>
        </xdr:graphicFrame>
      </mc:Choice>
      <mc:Fallback>
        <xdr:sp macro="" textlink="">
          <xdr:nvSpPr>
            <xdr:cNvPr id="0" name=""/>
            <xdr:cNvSpPr>
              <a:spLocks noTextEdit="1"/>
            </xdr:cNvSpPr>
          </xdr:nvSpPr>
          <xdr:spPr>
            <a:xfrm>
              <a:off x="395408" y="270346"/>
              <a:ext cx="4543702" cy="4328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1335818</xdr:colOff>
      <xdr:row>0</xdr:row>
      <xdr:rowOff>206733</xdr:rowOff>
    </xdr:from>
    <xdr:to>
      <xdr:col>10</xdr:col>
      <xdr:colOff>1311964</xdr:colOff>
      <xdr:row>8</xdr:row>
      <xdr:rowOff>118348</xdr:rowOff>
    </xdr:to>
    <mc:AlternateContent xmlns:mc="http://schemas.openxmlformats.org/markup-compatibility/2006">
      <mc:Choice xmlns:sle15="http://schemas.microsoft.com/office/drawing/2012/slicer" Requires="sle15">
        <xdr:graphicFrame macro="">
          <xdr:nvGraphicFramePr>
            <xdr:cNvPr id="11" name="MONTHYEAR">
              <a:extLst>
                <a:ext uri="{FF2B5EF4-FFF2-40B4-BE49-F238E27FC236}">
                  <a16:creationId xmlns:a16="http://schemas.microsoft.com/office/drawing/2014/main" id="{EF56E8F2-6721-A16E-4A93-C739D0BE95F1}"/>
                </a:ext>
              </a:extLst>
            </xdr:cNvPr>
            <xdr:cNvGraphicFramePr/>
          </xdr:nvGraphicFramePr>
          <xdr:xfrm>
            <a:off x="0" y="0"/>
            <a:ext cx="0" cy="0"/>
          </xdr:xfrm>
          <a:graphic>
            <a:graphicData uri="http://schemas.microsoft.com/office/drawing/2010/slicer">
              <sle:slicer xmlns:sle="http://schemas.microsoft.com/office/drawing/2010/slicer" name="MONTHYEAR"/>
            </a:graphicData>
          </a:graphic>
        </xdr:graphicFrame>
      </mc:Choice>
      <mc:Fallback>
        <xdr:sp macro="" textlink="">
          <xdr:nvSpPr>
            <xdr:cNvPr id="0" name=""/>
            <xdr:cNvSpPr>
              <a:spLocks noTextEdit="1"/>
            </xdr:cNvSpPr>
          </xdr:nvSpPr>
          <xdr:spPr>
            <a:xfrm>
              <a:off x="12966286" y="206733"/>
              <a:ext cx="1822464" cy="26743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ouncilsepa-my.sharepoint.com/personal/crodican_councilsepa_org/Documents/Desktop/phila-recoveryspecialists.xlsx" TargetMode="External"/><Relationship Id="rId1" Type="http://schemas.openxmlformats.org/officeDocument/2006/relationships/externalLinkPath" Target="/personal/crodican_councilsepa_org/Documents/Desktop/phila-recoveryspecialis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alysis"/>
      <sheetName val="Sheet3"/>
      <sheetName val="All"/>
    </sheetNames>
    <sheetDataSet>
      <sheetData sheetId="0"/>
      <sheetData sheetId="1"/>
      <sheetData sheetId="2">
        <row r="10">
          <cell r="B10" t="str">
            <v>ID</v>
          </cell>
          <cell r="C10" t="str">
            <v>NAME</v>
          </cell>
          <cell r="D10" t="str">
            <v>CITY</v>
          </cell>
          <cell r="E10" t="str">
            <v>CREDENTIAL</v>
          </cell>
          <cell r="F10" t="str">
            <v>NUMBER</v>
          </cell>
          <cell r="G10" t="str">
            <v>ISSUE DATE</v>
          </cell>
          <cell r="H10" t="str">
            <v>EXP DATE</v>
          </cell>
          <cell r="I10" t="str">
            <v>STATUS</v>
          </cell>
          <cell r="J10" t="str">
            <v>COUNTY</v>
          </cell>
          <cell r="K10" t="str">
            <v>MONTH</v>
          </cell>
        </row>
        <row r="11">
          <cell r="B11">
            <v>10</v>
          </cell>
          <cell r="C11" t="str">
            <v>Adonna Rowe</v>
          </cell>
          <cell r="D11" t="str">
            <v>philadelphia</v>
          </cell>
          <cell r="E11" t="str">
            <v>CRS</v>
          </cell>
          <cell r="F11">
            <v>19554</v>
          </cell>
          <cell r="G11">
            <v>45812</v>
          </cell>
          <cell r="H11">
            <v>46542</v>
          </cell>
          <cell r="I11" t="str">
            <v>Active</v>
          </cell>
          <cell r="J11" t="str">
            <v>Philadelphia</v>
          </cell>
          <cell r="K11" t="str">
            <v>Jun</v>
          </cell>
        </row>
        <row r="12">
          <cell r="B12">
            <v>16</v>
          </cell>
          <cell r="C12" t="str">
            <v>Albert Pickett</v>
          </cell>
          <cell r="D12" t="str">
            <v>philadelphia</v>
          </cell>
          <cell r="E12" t="str">
            <v>CRS</v>
          </cell>
          <cell r="F12">
            <v>8398</v>
          </cell>
          <cell r="G12">
            <v>41393</v>
          </cell>
          <cell r="H12">
            <v>42123</v>
          </cell>
          <cell r="I12" t="str">
            <v>Expired</v>
          </cell>
          <cell r="J12" t="str">
            <v>Philadelphia</v>
          </cell>
          <cell r="K12" t="str">
            <v>Apr</v>
          </cell>
        </row>
        <row r="13">
          <cell r="B13">
            <v>17</v>
          </cell>
          <cell r="C13" t="str">
            <v>Albert Rementer</v>
          </cell>
          <cell r="D13" t="str">
            <v>philadelphia</v>
          </cell>
          <cell r="E13" t="str">
            <v>CRS</v>
          </cell>
          <cell r="F13">
            <v>9611</v>
          </cell>
          <cell r="G13">
            <v>42513</v>
          </cell>
          <cell r="H13">
            <v>43243</v>
          </cell>
          <cell r="I13" t="str">
            <v>Expired</v>
          </cell>
          <cell r="J13" t="str">
            <v>Philadelphia</v>
          </cell>
          <cell r="K13" t="str">
            <v>May</v>
          </cell>
        </row>
        <row r="14">
          <cell r="B14">
            <v>23</v>
          </cell>
          <cell r="C14" t="str">
            <v>Alexander Brengle</v>
          </cell>
          <cell r="D14" t="str">
            <v>philadelphia</v>
          </cell>
          <cell r="E14" t="str">
            <v>CRS</v>
          </cell>
          <cell r="F14">
            <v>13594</v>
          </cell>
          <cell r="G14">
            <v>43747</v>
          </cell>
          <cell r="H14">
            <v>45939</v>
          </cell>
          <cell r="I14" t="str">
            <v>Active</v>
          </cell>
          <cell r="J14" t="str">
            <v>Philadelphia</v>
          </cell>
          <cell r="K14" t="str">
            <v>Oct</v>
          </cell>
        </row>
        <row r="15">
          <cell r="B15">
            <v>35</v>
          </cell>
          <cell r="C15" t="str">
            <v>Alicia Sanchez</v>
          </cell>
          <cell r="D15" t="str">
            <v>philadelphia</v>
          </cell>
          <cell r="E15" t="str">
            <v>CRS</v>
          </cell>
          <cell r="F15">
            <v>10011</v>
          </cell>
          <cell r="G15">
            <v>43936</v>
          </cell>
          <cell r="H15">
            <v>45397</v>
          </cell>
          <cell r="I15" t="str">
            <v>Expired</v>
          </cell>
          <cell r="J15" t="str">
            <v>Philadelphia</v>
          </cell>
          <cell r="K15" t="str">
            <v>Apr</v>
          </cell>
        </row>
        <row r="16">
          <cell r="B16">
            <v>36</v>
          </cell>
          <cell r="C16" t="str">
            <v>Alicia Sessions</v>
          </cell>
          <cell r="D16" t="str">
            <v>philadelphia</v>
          </cell>
          <cell r="E16" t="str">
            <v>CRS</v>
          </cell>
          <cell r="F16">
            <v>8076</v>
          </cell>
          <cell r="G16">
            <v>41004</v>
          </cell>
          <cell r="H16">
            <v>41734</v>
          </cell>
          <cell r="I16" t="str">
            <v>Expired</v>
          </cell>
          <cell r="J16" t="str">
            <v>Philadelphia</v>
          </cell>
          <cell r="K16" t="str">
            <v>Apr</v>
          </cell>
        </row>
        <row r="17">
          <cell r="B17">
            <v>43</v>
          </cell>
          <cell r="C17" t="str">
            <v>Alison Slickers</v>
          </cell>
          <cell r="D17" t="str">
            <v>philadelphia</v>
          </cell>
          <cell r="E17" t="str">
            <v>CRS</v>
          </cell>
          <cell r="F17">
            <v>9393</v>
          </cell>
          <cell r="G17">
            <v>42291</v>
          </cell>
          <cell r="H17">
            <v>44483</v>
          </cell>
          <cell r="I17" t="str">
            <v>Expired</v>
          </cell>
          <cell r="J17" t="str">
            <v>Philadelphia</v>
          </cell>
          <cell r="K17" t="str">
            <v>Oct</v>
          </cell>
        </row>
        <row r="18">
          <cell r="B18">
            <v>46</v>
          </cell>
          <cell r="C18" t="str">
            <v>Allen Pratt</v>
          </cell>
          <cell r="D18" t="str">
            <v>philadelphia</v>
          </cell>
          <cell r="E18" t="str">
            <v>CRS</v>
          </cell>
          <cell r="F18">
            <v>18277</v>
          </cell>
          <cell r="G18">
            <v>44961</v>
          </cell>
          <cell r="H18">
            <v>45692</v>
          </cell>
          <cell r="I18" t="str">
            <v>Lapsed</v>
          </cell>
          <cell r="J18" t="str">
            <v>Philadelphia</v>
          </cell>
          <cell r="K18" t="str">
            <v>Feb</v>
          </cell>
        </row>
        <row r="19">
          <cell r="B19">
            <v>47</v>
          </cell>
          <cell r="C19" t="str">
            <v>Allen Pratt</v>
          </cell>
          <cell r="D19" t="str">
            <v>philadelphia</v>
          </cell>
          <cell r="E19" t="str">
            <v>CFRS</v>
          </cell>
          <cell r="F19">
            <v>18277</v>
          </cell>
          <cell r="G19">
            <v>44960</v>
          </cell>
          <cell r="H19">
            <v>45691</v>
          </cell>
          <cell r="I19" t="str">
            <v>Lapsed</v>
          </cell>
          <cell r="J19" t="str">
            <v>Philadelphia</v>
          </cell>
          <cell r="K19" t="str">
            <v>Feb</v>
          </cell>
        </row>
        <row r="20">
          <cell r="B20">
            <v>50</v>
          </cell>
          <cell r="C20" t="str">
            <v>Allison Travis</v>
          </cell>
          <cell r="D20" t="str">
            <v>philadelphia</v>
          </cell>
          <cell r="E20" t="str">
            <v>CRS</v>
          </cell>
          <cell r="F20">
            <v>19873</v>
          </cell>
          <cell r="G20">
            <v>45336</v>
          </cell>
          <cell r="H20">
            <v>46067</v>
          </cell>
          <cell r="I20" t="str">
            <v>Active</v>
          </cell>
          <cell r="J20" t="str">
            <v>Philadelphia</v>
          </cell>
          <cell r="K20" t="str">
            <v>Feb</v>
          </cell>
        </row>
        <row r="21">
          <cell r="B21">
            <v>51</v>
          </cell>
          <cell r="C21" t="str">
            <v>Allison Wray</v>
          </cell>
          <cell r="D21" t="str">
            <v>philadelphia</v>
          </cell>
          <cell r="E21" t="str">
            <v>CRS</v>
          </cell>
          <cell r="F21">
            <v>10659</v>
          </cell>
          <cell r="G21">
            <v>43118</v>
          </cell>
          <cell r="H21">
            <v>46040</v>
          </cell>
          <cell r="I21" t="str">
            <v>Active</v>
          </cell>
          <cell r="J21" t="str">
            <v>Philadelphia</v>
          </cell>
          <cell r="K21" t="str">
            <v>Jan</v>
          </cell>
        </row>
        <row r="22">
          <cell r="B22">
            <v>53</v>
          </cell>
          <cell r="C22" t="str">
            <v>Alma Payne</v>
          </cell>
          <cell r="D22" t="str">
            <v>philadelphia</v>
          </cell>
          <cell r="E22" t="str">
            <v>CRS</v>
          </cell>
          <cell r="F22">
            <v>10008</v>
          </cell>
          <cell r="G22">
            <v>42753</v>
          </cell>
          <cell r="H22">
            <v>43483</v>
          </cell>
          <cell r="I22" t="str">
            <v>Expired</v>
          </cell>
          <cell r="J22" t="str">
            <v>Philadelphia</v>
          </cell>
          <cell r="K22" t="str">
            <v>Jan</v>
          </cell>
        </row>
        <row r="23">
          <cell r="B23">
            <v>58</v>
          </cell>
          <cell r="C23" t="str">
            <v>Alyssa Goodwin</v>
          </cell>
          <cell r="D23" t="str">
            <v>philadelphia</v>
          </cell>
          <cell r="E23" t="str">
            <v>CRS</v>
          </cell>
          <cell r="F23">
            <v>15697</v>
          </cell>
          <cell r="G23">
            <v>44172</v>
          </cell>
          <cell r="H23">
            <v>46363</v>
          </cell>
          <cell r="I23" t="str">
            <v>Active</v>
          </cell>
          <cell r="J23" t="str">
            <v>Philadelphia</v>
          </cell>
          <cell r="K23" t="str">
            <v>Dec</v>
          </cell>
        </row>
        <row r="24">
          <cell r="B24">
            <v>59</v>
          </cell>
          <cell r="C24" t="str">
            <v>Alyssa Hari</v>
          </cell>
          <cell r="D24" t="str">
            <v>philadelphia</v>
          </cell>
          <cell r="E24" t="str">
            <v>CRS</v>
          </cell>
          <cell r="F24">
            <v>22017</v>
          </cell>
          <cell r="G24">
            <v>45800</v>
          </cell>
          <cell r="H24">
            <v>46530</v>
          </cell>
          <cell r="I24" t="str">
            <v>Active</v>
          </cell>
          <cell r="J24" t="str">
            <v>Philadelphia</v>
          </cell>
          <cell r="K24" t="str">
            <v>May</v>
          </cell>
        </row>
        <row r="25">
          <cell r="B25">
            <v>60</v>
          </cell>
          <cell r="C25" t="str">
            <v>Alyssa Sarazin</v>
          </cell>
          <cell r="D25" t="str">
            <v>philadelphia</v>
          </cell>
          <cell r="E25" t="str">
            <v>CRS</v>
          </cell>
          <cell r="F25">
            <v>21104</v>
          </cell>
          <cell r="G25">
            <v>45605</v>
          </cell>
          <cell r="H25">
            <v>46335</v>
          </cell>
          <cell r="I25" t="str">
            <v>Active</v>
          </cell>
          <cell r="J25" t="str">
            <v>Philadelphia</v>
          </cell>
          <cell r="K25" t="str">
            <v>Nov</v>
          </cell>
        </row>
        <row r="26">
          <cell r="B26">
            <v>67</v>
          </cell>
          <cell r="C26" t="str">
            <v>Amanda Drummond</v>
          </cell>
          <cell r="D26" t="str">
            <v>philadelphia</v>
          </cell>
          <cell r="E26" t="str">
            <v>CRS</v>
          </cell>
          <cell r="F26">
            <v>9539</v>
          </cell>
          <cell r="G26">
            <v>42440</v>
          </cell>
          <cell r="H26">
            <v>43170</v>
          </cell>
          <cell r="I26" t="str">
            <v>Expired</v>
          </cell>
          <cell r="J26" t="str">
            <v>Philadelphia</v>
          </cell>
          <cell r="K26" t="str">
            <v>Mar</v>
          </cell>
        </row>
        <row r="27">
          <cell r="B27">
            <v>73</v>
          </cell>
          <cell r="C27" t="str">
            <v>Amani Gethers</v>
          </cell>
          <cell r="D27" t="str">
            <v>philadelphia</v>
          </cell>
          <cell r="E27" t="str">
            <v>CRS</v>
          </cell>
          <cell r="F27">
            <v>18466</v>
          </cell>
          <cell r="G27">
            <v>45014</v>
          </cell>
          <cell r="H27">
            <v>45745</v>
          </cell>
          <cell r="I27" t="str">
            <v>Lapsed</v>
          </cell>
          <cell r="J27" t="str">
            <v>Philadelphia</v>
          </cell>
          <cell r="K27" t="str">
            <v>Mar</v>
          </cell>
        </row>
        <row r="28">
          <cell r="B28">
            <v>77</v>
          </cell>
          <cell r="C28" t="str">
            <v>Amber Finnegan</v>
          </cell>
          <cell r="D28" t="str">
            <v>philadelphia</v>
          </cell>
          <cell r="E28" t="str">
            <v>CRS</v>
          </cell>
          <cell r="F28">
            <v>20503</v>
          </cell>
          <cell r="G28">
            <v>45469</v>
          </cell>
          <cell r="H28">
            <v>46199</v>
          </cell>
          <cell r="I28" t="str">
            <v>Active</v>
          </cell>
          <cell r="J28" t="str">
            <v>Philadelphia</v>
          </cell>
          <cell r="K28" t="str">
            <v>Jun</v>
          </cell>
        </row>
        <row r="29">
          <cell r="B29">
            <v>79</v>
          </cell>
          <cell r="C29" t="str">
            <v>Amear Mitchell</v>
          </cell>
          <cell r="D29" t="str">
            <v>philadelphia</v>
          </cell>
          <cell r="E29" t="str">
            <v>CFRS</v>
          </cell>
          <cell r="F29">
            <v>16676</v>
          </cell>
          <cell r="G29">
            <v>44392</v>
          </cell>
          <cell r="H29">
            <v>45122</v>
          </cell>
          <cell r="I29" t="str">
            <v>Expired</v>
          </cell>
          <cell r="J29" t="str">
            <v>Philadelphia</v>
          </cell>
          <cell r="K29" t="str">
            <v>Jul</v>
          </cell>
        </row>
        <row r="30">
          <cell r="B30">
            <v>80</v>
          </cell>
          <cell r="C30" t="str">
            <v>Amelia Petersen</v>
          </cell>
          <cell r="D30" t="str">
            <v>philadelphia</v>
          </cell>
          <cell r="E30" t="str">
            <v>CRS</v>
          </cell>
          <cell r="F30">
            <v>8563</v>
          </cell>
          <cell r="G30">
            <v>41485</v>
          </cell>
          <cell r="H30">
            <v>42215</v>
          </cell>
          <cell r="I30" t="str">
            <v>Expired</v>
          </cell>
          <cell r="J30" t="str">
            <v>Philadelphia</v>
          </cell>
          <cell r="K30" t="str">
            <v>Jul</v>
          </cell>
        </row>
        <row r="31">
          <cell r="B31">
            <v>94</v>
          </cell>
          <cell r="C31" t="str">
            <v>Andre'a Floyd</v>
          </cell>
          <cell r="D31" t="str">
            <v>philadelphia</v>
          </cell>
          <cell r="E31" t="str">
            <v>CRS</v>
          </cell>
          <cell r="F31">
            <v>8936</v>
          </cell>
          <cell r="G31">
            <v>41817</v>
          </cell>
          <cell r="H31">
            <v>42548</v>
          </cell>
          <cell r="I31" t="str">
            <v>Expired</v>
          </cell>
          <cell r="J31" t="str">
            <v>Philadelphia</v>
          </cell>
          <cell r="K31" t="str">
            <v>Jun</v>
          </cell>
        </row>
        <row r="32">
          <cell r="B32">
            <v>95</v>
          </cell>
          <cell r="C32" t="str">
            <v>Andrea Lamour-Harrington</v>
          </cell>
          <cell r="D32" t="str">
            <v>philadelphia</v>
          </cell>
          <cell r="E32" t="str">
            <v>CRS</v>
          </cell>
          <cell r="F32">
            <v>8332</v>
          </cell>
          <cell r="G32">
            <v>41325</v>
          </cell>
          <cell r="H32">
            <v>42055</v>
          </cell>
          <cell r="I32" t="str">
            <v>Expired</v>
          </cell>
          <cell r="J32" t="str">
            <v>Philadelphia</v>
          </cell>
          <cell r="K32" t="str">
            <v>Feb</v>
          </cell>
        </row>
        <row r="33">
          <cell r="B33">
            <v>98</v>
          </cell>
          <cell r="C33" t="str">
            <v>Andrea Rivera</v>
          </cell>
          <cell r="D33" t="str">
            <v>philadelphia</v>
          </cell>
          <cell r="E33" t="str">
            <v>CRS</v>
          </cell>
          <cell r="F33">
            <v>14422</v>
          </cell>
          <cell r="G33">
            <v>43697</v>
          </cell>
          <cell r="H33">
            <v>44428</v>
          </cell>
          <cell r="I33" t="str">
            <v>Expired</v>
          </cell>
          <cell r="J33" t="str">
            <v>Philadelphia</v>
          </cell>
          <cell r="K33" t="str">
            <v>Aug</v>
          </cell>
        </row>
        <row r="34">
          <cell r="B34">
            <v>99</v>
          </cell>
          <cell r="C34" t="str">
            <v>Andrea Rivera</v>
          </cell>
          <cell r="D34" t="str">
            <v>philadelphia</v>
          </cell>
          <cell r="E34" t="str">
            <v>CFRS</v>
          </cell>
          <cell r="F34">
            <v>14422</v>
          </cell>
          <cell r="G34">
            <v>43837</v>
          </cell>
          <cell r="H34">
            <v>44568</v>
          </cell>
          <cell r="I34" t="str">
            <v>Expired</v>
          </cell>
          <cell r="J34" t="str">
            <v>Philadelphia</v>
          </cell>
          <cell r="K34" t="str">
            <v>Jan</v>
          </cell>
        </row>
        <row r="35">
          <cell r="B35">
            <v>103</v>
          </cell>
          <cell r="C35" t="str">
            <v>Andrea Stevenson</v>
          </cell>
          <cell r="D35" t="str">
            <v>philadelphia</v>
          </cell>
          <cell r="E35" t="str">
            <v>CRS</v>
          </cell>
          <cell r="F35">
            <v>8273</v>
          </cell>
          <cell r="G35">
            <v>41255</v>
          </cell>
          <cell r="H35">
            <v>42716</v>
          </cell>
          <cell r="I35" t="str">
            <v>Expired</v>
          </cell>
          <cell r="J35" t="str">
            <v>Philadelphia</v>
          </cell>
          <cell r="K35" t="str">
            <v>Dec</v>
          </cell>
        </row>
        <row r="36">
          <cell r="B36">
            <v>112</v>
          </cell>
          <cell r="C36" t="str">
            <v>Andrew Pfleger</v>
          </cell>
          <cell r="D36" t="str">
            <v>philadelphia</v>
          </cell>
          <cell r="E36" t="str">
            <v>CRS</v>
          </cell>
          <cell r="F36">
            <v>15295</v>
          </cell>
          <cell r="G36">
            <v>44012</v>
          </cell>
          <cell r="H36">
            <v>45473</v>
          </cell>
          <cell r="I36" t="str">
            <v>Lapsed</v>
          </cell>
          <cell r="J36" t="str">
            <v>Philadelphia</v>
          </cell>
          <cell r="K36" t="str">
            <v>Jun</v>
          </cell>
        </row>
        <row r="37">
          <cell r="B37">
            <v>117</v>
          </cell>
          <cell r="C37" t="str">
            <v>Angela Mebane</v>
          </cell>
          <cell r="D37" t="str">
            <v>philadelphia</v>
          </cell>
          <cell r="E37" t="str">
            <v>CRS</v>
          </cell>
          <cell r="F37">
            <v>15345</v>
          </cell>
          <cell r="G37">
            <v>44041</v>
          </cell>
          <cell r="H37">
            <v>44771</v>
          </cell>
          <cell r="I37" t="str">
            <v>Expired</v>
          </cell>
          <cell r="J37" t="str">
            <v>Philadelphia</v>
          </cell>
          <cell r="K37" t="str">
            <v>Jul</v>
          </cell>
        </row>
        <row r="38">
          <cell r="B38">
            <v>122</v>
          </cell>
          <cell r="C38" t="str">
            <v>Angela Richardson</v>
          </cell>
          <cell r="D38" t="str">
            <v>philadelphia</v>
          </cell>
          <cell r="E38" t="str">
            <v>CRS</v>
          </cell>
          <cell r="F38">
            <v>10009</v>
          </cell>
          <cell r="G38">
            <v>42753</v>
          </cell>
          <cell r="H38">
            <v>43483</v>
          </cell>
          <cell r="I38" t="str">
            <v>Expired</v>
          </cell>
          <cell r="J38" t="str">
            <v>Philadelphia</v>
          </cell>
          <cell r="K38" t="str">
            <v>Jan</v>
          </cell>
        </row>
        <row r="39">
          <cell r="B39">
            <v>125</v>
          </cell>
          <cell r="C39" t="str">
            <v>Angela Smith</v>
          </cell>
          <cell r="D39" t="str">
            <v>philadelphia</v>
          </cell>
          <cell r="E39" t="str">
            <v>CRS</v>
          </cell>
          <cell r="F39">
            <v>8325</v>
          </cell>
          <cell r="G39">
            <v>41325</v>
          </cell>
          <cell r="H39">
            <v>44977</v>
          </cell>
          <cell r="I39" t="str">
            <v>Expired</v>
          </cell>
          <cell r="J39" t="str">
            <v>Philadelphia</v>
          </cell>
          <cell r="K39" t="str">
            <v>Feb</v>
          </cell>
        </row>
        <row r="40">
          <cell r="B40">
            <v>127</v>
          </cell>
          <cell r="C40" t="str">
            <v>Angelo Colon</v>
          </cell>
          <cell r="D40" t="str">
            <v>philadelphia</v>
          </cell>
          <cell r="E40" t="str">
            <v>CRS</v>
          </cell>
          <cell r="F40">
            <v>10373</v>
          </cell>
          <cell r="G40">
            <v>42986</v>
          </cell>
          <cell r="H40">
            <v>43716</v>
          </cell>
          <cell r="I40" t="str">
            <v>Expired</v>
          </cell>
          <cell r="J40" t="str">
            <v>Philadelphia</v>
          </cell>
          <cell r="K40" t="str">
            <v>Sep</v>
          </cell>
        </row>
        <row r="41">
          <cell r="B41">
            <v>131</v>
          </cell>
          <cell r="C41" t="str">
            <v>Anna Bonilla</v>
          </cell>
          <cell r="D41" t="str">
            <v>philadelphia</v>
          </cell>
          <cell r="E41" t="str">
            <v>CRS</v>
          </cell>
          <cell r="F41">
            <v>10780</v>
          </cell>
          <cell r="G41">
            <v>43272</v>
          </cell>
          <cell r="H41">
            <v>46194</v>
          </cell>
          <cell r="I41" t="str">
            <v>Active</v>
          </cell>
          <cell r="J41" t="str">
            <v>Philadelphia</v>
          </cell>
          <cell r="K41" t="str">
            <v>Jun</v>
          </cell>
        </row>
        <row r="42">
          <cell r="B42">
            <v>133</v>
          </cell>
          <cell r="C42" t="str">
            <v>Anna Campbell</v>
          </cell>
          <cell r="D42" t="str">
            <v>philadelphia</v>
          </cell>
          <cell r="E42" t="str">
            <v>CRS</v>
          </cell>
          <cell r="F42">
            <v>8447</v>
          </cell>
          <cell r="G42">
            <v>41412</v>
          </cell>
          <cell r="H42">
            <v>42142</v>
          </cell>
          <cell r="I42" t="str">
            <v>Expired</v>
          </cell>
          <cell r="J42" t="str">
            <v>Philadelphia</v>
          </cell>
          <cell r="K42" t="str">
            <v>May</v>
          </cell>
        </row>
        <row r="43">
          <cell r="B43">
            <v>135</v>
          </cell>
          <cell r="C43" t="str">
            <v>Anna Kolody</v>
          </cell>
          <cell r="D43" t="str">
            <v>philadelphia</v>
          </cell>
          <cell r="E43" t="str">
            <v>CRS</v>
          </cell>
          <cell r="F43">
            <v>20851</v>
          </cell>
          <cell r="G43">
            <v>45553</v>
          </cell>
          <cell r="H43">
            <v>46283</v>
          </cell>
          <cell r="I43" t="str">
            <v>Active</v>
          </cell>
          <cell r="J43" t="str">
            <v>Philadelphia</v>
          </cell>
          <cell r="K43" t="str">
            <v>Sep</v>
          </cell>
        </row>
        <row r="44">
          <cell r="B44">
            <v>140</v>
          </cell>
          <cell r="C44" t="str">
            <v>Anna Weklicz</v>
          </cell>
          <cell r="D44" t="str">
            <v>philadelphia</v>
          </cell>
          <cell r="E44" t="str">
            <v>CRS</v>
          </cell>
          <cell r="F44">
            <v>16984</v>
          </cell>
          <cell r="G44">
            <v>44515</v>
          </cell>
          <cell r="H44">
            <v>45245</v>
          </cell>
          <cell r="I44" t="str">
            <v>Expired</v>
          </cell>
          <cell r="J44" t="str">
            <v>Philadelphia</v>
          </cell>
          <cell r="K44" t="str">
            <v>Nov</v>
          </cell>
        </row>
        <row r="45">
          <cell r="B45">
            <v>141</v>
          </cell>
          <cell r="C45" t="str">
            <v>AnnaMarie Easley</v>
          </cell>
          <cell r="D45" t="str">
            <v>philadelphia</v>
          </cell>
          <cell r="E45" t="str">
            <v>CRS</v>
          </cell>
          <cell r="F45">
            <v>10000</v>
          </cell>
          <cell r="G45">
            <v>42753</v>
          </cell>
          <cell r="H45">
            <v>43483</v>
          </cell>
          <cell r="I45" t="str">
            <v>Expired</v>
          </cell>
          <cell r="J45" t="str">
            <v>Philadelphia</v>
          </cell>
          <cell r="K45" t="str">
            <v>Jan</v>
          </cell>
        </row>
        <row r="46">
          <cell r="B46">
            <v>148</v>
          </cell>
          <cell r="C46" t="str">
            <v>Anthony Bynum</v>
          </cell>
          <cell r="D46" t="str">
            <v>philadelphia</v>
          </cell>
          <cell r="E46" t="str">
            <v>CRS</v>
          </cell>
          <cell r="F46">
            <v>15696</v>
          </cell>
          <cell r="G46">
            <v>44172</v>
          </cell>
          <cell r="H46">
            <v>46363</v>
          </cell>
          <cell r="I46" t="str">
            <v>Active</v>
          </cell>
          <cell r="J46" t="str">
            <v>Philadelphia</v>
          </cell>
          <cell r="K46" t="str">
            <v>Dec</v>
          </cell>
        </row>
        <row r="47">
          <cell r="B47">
            <v>151</v>
          </cell>
          <cell r="C47" t="str">
            <v>Anthony Porter</v>
          </cell>
          <cell r="D47" t="str">
            <v>philadelphia</v>
          </cell>
          <cell r="E47" t="str">
            <v>CRS</v>
          </cell>
          <cell r="F47">
            <v>14806</v>
          </cell>
          <cell r="G47">
            <v>43787</v>
          </cell>
          <cell r="H47">
            <v>44518</v>
          </cell>
          <cell r="I47" t="str">
            <v>Expired</v>
          </cell>
          <cell r="J47" t="str">
            <v>Philadelphia</v>
          </cell>
          <cell r="K47" t="str">
            <v>Nov</v>
          </cell>
        </row>
        <row r="48">
          <cell r="B48">
            <v>152</v>
          </cell>
          <cell r="C48" t="str">
            <v>Anthony Stewart</v>
          </cell>
          <cell r="D48" t="str">
            <v>philadelphia</v>
          </cell>
          <cell r="E48" t="str">
            <v>CRS</v>
          </cell>
          <cell r="F48">
            <v>10012</v>
          </cell>
          <cell r="G48">
            <v>42753</v>
          </cell>
          <cell r="H48">
            <v>44214</v>
          </cell>
          <cell r="I48" t="str">
            <v>Expired</v>
          </cell>
          <cell r="J48" t="str">
            <v>Philadelphia</v>
          </cell>
          <cell r="K48" t="str">
            <v>Jan</v>
          </cell>
        </row>
        <row r="49">
          <cell r="B49">
            <v>153</v>
          </cell>
          <cell r="C49" t="str">
            <v>Anthony Tatro</v>
          </cell>
          <cell r="D49" t="str">
            <v>philadelphia</v>
          </cell>
          <cell r="E49" t="str">
            <v>CRS</v>
          </cell>
          <cell r="F49">
            <v>21717</v>
          </cell>
          <cell r="G49">
            <v>45728</v>
          </cell>
          <cell r="H49">
            <v>46458</v>
          </cell>
          <cell r="I49" t="str">
            <v>Active</v>
          </cell>
          <cell r="J49" t="str">
            <v>Philadelphia</v>
          </cell>
          <cell r="K49" t="str">
            <v>Mar</v>
          </cell>
        </row>
        <row r="50">
          <cell r="B50">
            <v>155</v>
          </cell>
          <cell r="C50" t="str">
            <v>Antoinette Jackson-Aziz</v>
          </cell>
          <cell r="D50" t="str">
            <v>philadelphia</v>
          </cell>
          <cell r="E50" t="str">
            <v>CRS</v>
          </cell>
          <cell r="F50">
            <v>7314</v>
          </cell>
          <cell r="G50">
            <v>40029</v>
          </cell>
          <cell r="H50">
            <v>42220</v>
          </cell>
          <cell r="I50" t="str">
            <v>Expired</v>
          </cell>
          <cell r="J50" t="str">
            <v>Philadelphia</v>
          </cell>
          <cell r="K50" t="str">
            <v>Aug</v>
          </cell>
        </row>
        <row r="51">
          <cell r="B51">
            <v>166</v>
          </cell>
          <cell r="C51" t="str">
            <v>Arthur Stewart</v>
          </cell>
          <cell r="D51" t="str">
            <v>philadelphia</v>
          </cell>
          <cell r="E51" t="str">
            <v>CRS</v>
          </cell>
          <cell r="F51">
            <v>9175</v>
          </cell>
          <cell r="G51">
            <v>42132</v>
          </cell>
          <cell r="H51">
            <v>46515</v>
          </cell>
          <cell r="I51" t="str">
            <v>Active</v>
          </cell>
          <cell r="J51" t="str">
            <v>Philadelphia</v>
          </cell>
          <cell r="K51" t="str">
            <v>May</v>
          </cell>
        </row>
        <row r="52">
          <cell r="B52">
            <v>168</v>
          </cell>
          <cell r="C52" t="str">
            <v>Ashlee  Foster</v>
          </cell>
          <cell r="D52" t="str">
            <v>philadelphia</v>
          </cell>
          <cell r="E52" t="str">
            <v>CRS</v>
          </cell>
          <cell r="F52">
            <v>20328</v>
          </cell>
          <cell r="G52">
            <v>45434</v>
          </cell>
          <cell r="H52">
            <v>46164</v>
          </cell>
          <cell r="I52" t="str">
            <v>Active</v>
          </cell>
          <cell r="J52" t="str">
            <v>Philadelphia</v>
          </cell>
          <cell r="K52" t="str">
            <v>May</v>
          </cell>
        </row>
        <row r="53">
          <cell r="B53">
            <v>170</v>
          </cell>
          <cell r="C53" t="str">
            <v>Ashley Brunstetter-McCloughy</v>
          </cell>
          <cell r="D53" t="str">
            <v>philadelphia</v>
          </cell>
          <cell r="E53" t="str">
            <v>CRS</v>
          </cell>
          <cell r="F53">
            <v>20337</v>
          </cell>
          <cell r="G53">
            <v>45435</v>
          </cell>
          <cell r="H53">
            <v>46165</v>
          </cell>
          <cell r="I53" t="str">
            <v>Active</v>
          </cell>
          <cell r="J53" t="str">
            <v>Philadelphia</v>
          </cell>
          <cell r="K53" t="str">
            <v>May</v>
          </cell>
        </row>
        <row r="54">
          <cell r="B54">
            <v>171</v>
          </cell>
          <cell r="C54" t="str">
            <v>Ashley Brunstetter-McCloughy</v>
          </cell>
          <cell r="D54" t="str">
            <v>philadelphia</v>
          </cell>
          <cell r="E54" t="str">
            <v>CFRS</v>
          </cell>
          <cell r="F54">
            <v>20337</v>
          </cell>
          <cell r="G54">
            <v>45562</v>
          </cell>
          <cell r="H54">
            <v>46292</v>
          </cell>
          <cell r="I54" t="str">
            <v>Active</v>
          </cell>
          <cell r="J54" t="str">
            <v>Philadelphia</v>
          </cell>
          <cell r="K54" t="str">
            <v>Sep</v>
          </cell>
        </row>
        <row r="55">
          <cell r="B55">
            <v>180</v>
          </cell>
          <cell r="C55" t="str">
            <v>Audrey  Macindoe</v>
          </cell>
          <cell r="D55" t="str">
            <v>philadelphia</v>
          </cell>
          <cell r="E55" t="str">
            <v>CRS</v>
          </cell>
          <cell r="F55">
            <v>21008</v>
          </cell>
          <cell r="G55">
            <v>45600</v>
          </cell>
          <cell r="H55">
            <v>46330</v>
          </cell>
          <cell r="I55" t="str">
            <v>Active</v>
          </cell>
          <cell r="J55" t="str">
            <v>Philadelphia</v>
          </cell>
          <cell r="K55" t="str">
            <v>Nov</v>
          </cell>
        </row>
        <row r="56">
          <cell r="B56">
            <v>181</v>
          </cell>
          <cell r="C56" t="str">
            <v>Audrey  Macindoe</v>
          </cell>
          <cell r="D56" t="str">
            <v>philadelphia</v>
          </cell>
          <cell r="E56" t="str">
            <v>CFRS</v>
          </cell>
          <cell r="F56">
            <v>21008</v>
          </cell>
          <cell r="G56">
            <v>45581</v>
          </cell>
          <cell r="H56">
            <v>46311</v>
          </cell>
          <cell r="I56" t="str">
            <v>Active</v>
          </cell>
          <cell r="J56" t="str">
            <v>Philadelphia</v>
          </cell>
          <cell r="K56" t="str">
            <v>Oct</v>
          </cell>
        </row>
        <row r="57">
          <cell r="B57">
            <v>183</v>
          </cell>
          <cell r="C57" t="str">
            <v>Barbara Brenny</v>
          </cell>
          <cell r="D57" t="str">
            <v>philadelphia</v>
          </cell>
          <cell r="E57" t="str">
            <v>CRS</v>
          </cell>
          <cell r="F57">
            <v>16672</v>
          </cell>
          <cell r="G57">
            <v>45227</v>
          </cell>
          <cell r="H57">
            <v>45958</v>
          </cell>
          <cell r="I57" t="str">
            <v>Active</v>
          </cell>
          <cell r="J57" t="str">
            <v>Philadelphia</v>
          </cell>
          <cell r="K57" t="str">
            <v>Oct</v>
          </cell>
        </row>
        <row r="58">
          <cell r="B58">
            <v>187</v>
          </cell>
          <cell r="C58" t="str">
            <v>Barbara Lewis</v>
          </cell>
          <cell r="D58" t="str">
            <v>philadelphia</v>
          </cell>
          <cell r="E58" t="str">
            <v>CRS</v>
          </cell>
          <cell r="F58">
            <v>14837</v>
          </cell>
          <cell r="G58">
            <v>45812</v>
          </cell>
          <cell r="H58">
            <v>46542</v>
          </cell>
          <cell r="I58" t="str">
            <v>Active</v>
          </cell>
          <cell r="J58" t="str">
            <v>Philadelphia</v>
          </cell>
          <cell r="K58" t="str">
            <v>Jun</v>
          </cell>
        </row>
        <row r="59">
          <cell r="B59">
            <v>193</v>
          </cell>
          <cell r="C59" t="str">
            <v>Benita Dixon</v>
          </cell>
          <cell r="D59" t="str">
            <v>philadelphia</v>
          </cell>
          <cell r="E59" t="str">
            <v>CRS</v>
          </cell>
          <cell r="F59">
            <v>8937</v>
          </cell>
          <cell r="G59">
            <v>43697</v>
          </cell>
          <cell r="H59">
            <v>45889</v>
          </cell>
          <cell r="I59" t="str">
            <v>Active</v>
          </cell>
          <cell r="J59" t="str">
            <v>Philadelphia</v>
          </cell>
          <cell r="K59" t="str">
            <v>Aug</v>
          </cell>
        </row>
        <row r="60">
          <cell r="B60">
            <v>195</v>
          </cell>
          <cell r="C60" t="str">
            <v>Benjamin Moore</v>
          </cell>
          <cell r="D60" t="str">
            <v>philadelphia</v>
          </cell>
          <cell r="E60" t="str">
            <v>CRS</v>
          </cell>
          <cell r="F60">
            <v>17676</v>
          </cell>
          <cell r="G60">
            <v>44840</v>
          </cell>
          <cell r="H60">
            <v>46301</v>
          </cell>
          <cell r="I60" t="str">
            <v>Active</v>
          </cell>
          <cell r="J60" t="str">
            <v>Philadelphia</v>
          </cell>
          <cell r="K60" t="str">
            <v>Oct</v>
          </cell>
        </row>
        <row r="61">
          <cell r="B61">
            <v>196</v>
          </cell>
          <cell r="C61" t="str">
            <v>Benjamin Moore</v>
          </cell>
          <cell r="D61" t="str">
            <v>philadelphia</v>
          </cell>
          <cell r="E61" t="str">
            <v>CFRS</v>
          </cell>
          <cell r="F61">
            <v>17676</v>
          </cell>
          <cell r="G61">
            <v>44767</v>
          </cell>
          <cell r="H61">
            <v>46228</v>
          </cell>
          <cell r="I61" t="str">
            <v>Active</v>
          </cell>
          <cell r="J61" t="str">
            <v>Philadelphia</v>
          </cell>
          <cell r="K61" t="str">
            <v>Jul</v>
          </cell>
        </row>
        <row r="62">
          <cell r="B62">
            <v>200</v>
          </cell>
          <cell r="C62" t="str">
            <v>Betsy Hernandez</v>
          </cell>
          <cell r="D62" t="str">
            <v>philadelphia</v>
          </cell>
          <cell r="E62" t="str">
            <v>CRS</v>
          </cell>
          <cell r="F62">
            <v>12218</v>
          </cell>
          <cell r="G62">
            <v>43350</v>
          </cell>
          <cell r="H62">
            <v>46272</v>
          </cell>
          <cell r="I62" t="str">
            <v>Active</v>
          </cell>
          <cell r="J62" t="str">
            <v>Philadelphia</v>
          </cell>
          <cell r="K62" t="str">
            <v>Sep</v>
          </cell>
        </row>
        <row r="63">
          <cell r="B63">
            <v>204</v>
          </cell>
          <cell r="C63" t="str">
            <v>Beverly Russell</v>
          </cell>
          <cell r="D63" t="str">
            <v>philadelphia</v>
          </cell>
          <cell r="E63" t="str">
            <v>CRS</v>
          </cell>
          <cell r="F63">
            <v>10010</v>
          </cell>
          <cell r="G63">
            <v>42753</v>
          </cell>
          <cell r="H63">
            <v>44214</v>
          </cell>
          <cell r="I63" t="str">
            <v>Expired</v>
          </cell>
          <cell r="J63" t="str">
            <v>Philadelphia</v>
          </cell>
          <cell r="K63" t="str">
            <v>Jan</v>
          </cell>
        </row>
        <row r="64">
          <cell r="B64">
            <v>205</v>
          </cell>
          <cell r="C64" t="str">
            <v>Billy Curtis</v>
          </cell>
          <cell r="D64" t="str">
            <v>philadelphia</v>
          </cell>
          <cell r="E64" t="str">
            <v>CRS</v>
          </cell>
          <cell r="F64">
            <v>9600</v>
          </cell>
          <cell r="G64">
            <v>42514</v>
          </cell>
          <cell r="H64">
            <v>43244</v>
          </cell>
          <cell r="I64" t="str">
            <v>Expired</v>
          </cell>
          <cell r="J64" t="str">
            <v>Philadelphia</v>
          </cell>
          <cell r="K64" t="str">
            <v>May</v>
          </cell>
        </row>
        <row r="65">
          <cell r="B65">
            <v>208</v>
          </cell>
          <cell r="C65" t="str">
            <v>Bolt Eichner</v>
          </cell>
          <cell r="D65" t="str">
            <v>philadelphia</v>
          </cell>
          <cell r="E65" t="str">
            <v>CRS</v>
          </cell>
          <cell r="F65">
            <v>21254</v>
          </cell>
          <cell r="G65">
            <v>45638</v>
          </cell>
          <cell r="H65">
            <v>46368</v>
          </cell>
          <cell r="I65" t="str">
            <v>Active</v>
          </cell>
          <cell r="J65" t="str">
            <v>Philadelphia</v>
          </cell>
          <cell r="K65" t="str">
            <v>Dec</v>
          </cell>
        </row>
        <row r="66">
          <cell r="B66">
            <v>209</v>
          </cell>
          <cell r="C66" t="str">
            <v>Bonita Pritchette</v>
          </cell>
          <cell r="D66" t="str">
            <v>philadelphia</v>
          </cell>
          <cell r="E66" t="str">
            <v>CRS</v>
          </cell>
          <cell r="F66">
            <v>11061</v>
          </cell>
          <cell r="G66">
            <v>43203</v>
          </cell>
          <cell r="H66">
            <v>44664</v>
          </cell>
          <cell r="I66" t="str">
            <v>Expired</v>
          </cell>
          <cell r="J66" t="str">
            <v>Philadelphia</v>
          </cell>
          <cell r="K66" t="str">
            <v>Apr</v>
          </cell>
        </row>
        <row r="67">
          <cell r="B67">
            <v>210</v>
          </cell>
          <cell r="C67" t="str">
            <v>Bonnie Liebel</v>
          </cell>
          <cell r="D67" t="str">
            <v>philadelphia</v>
          </cell>
          <cell r="E67" t="str">
            <v>CRS</v>
          </cell>
          <cell r="F67">
            <v>17304</v>
          </cell>
          <cell r="G67">
            <v>44656</v>
          </cell>
          <cell r="H67">
            <v>45387</v>
          </cell>
          <cell r="I67" t="str">
            <v>Expired</v>
          </cell>
          <cell r="J67" t="str">
            <v>Philadelphia</v>
          </cell>
          <cell r="K67" t="str">
            <v>Apr</v>
          </cell>
        </row>
        <row r="68">
          <cell r="B68">
            <v>214</v>
          </cell>
          <cell r="C68" t="str">
            <v>Bonnie Shuster</v>
          </cell>
          <cell r="D68" t="str">
            <v>philadelphia</v>
          </cell>
          <cell r="E68" t="str">
            <v>CRS</v>
          </cell>
          <cell r="F68">
            <v>14953</v>
          </cell>
          <cell r="G68">
            <v>43818</v>
          </cell>
          <cell r="H68">
            <v>44549</v>
          </cell>
          <cell r="I68" t="str">
            <v>Expired</v>
          </cell>
          <cell r="J68" t="str">
            <v>Philadelphia</v>
          </cell>
          <cell r="K68" t="str">
            <v>Dec</v>
          </cell>
        </row>
        <row r="69">
          <cell r="B69">
            <v>219</v>
          </cell>
          <cell r="C69" t="str">
            <v>Bradford Meck</v>
          </cell>
          <cell r="D69" t="str">
            <v>philadelphia</v>
          </cell>
          <cell r="E69" t="str">
            <v>CRS</v>
          </cell>
          <cell r="F69">
            <v>12693</v>
          </cell>
          <cell r="G69">
            <v>43474</v>
          </cell>
          <cell r="H69">
            <v>44205</v>
          </cell>
          <cell r="I69" t="str">
            <v>Expired</v>
          </cell>
          <cell r="J69" t="str">
            <v>Philadelphia</v>
          </cell>
          <cell r="K69" t="str">
            <v>Jan</v>
          </cell>
        </row>
        <row r="70">
          <cell r="B70">
            <v>227</v>
          </cell>
          <cell r="C70" t="str">
            <v>Brandon Riley</v>
          </cell>
          <cell r="D70" t="str">
            <v>philadelphia</v>
          </cell>
          <cell r="E70" t="str">
            <v>CRS</v>
          </cell>
          <cell r="F70">
            <v>8659</v>
          </cell>
          <cell r="G70">
            <v>41577</v>
          </cell>
          <cell r="H70">
            <v>43038</v>
          </cell>
          <cell r="I70" t="str">
            <v>Expired</v>
          </cell>
          <cell r="J70" t="str">
            <v>Philadelphia</v>
          </cell>
          <cell r="K70" t="str">
            <v>Oct</v>
          </cell>
        </row>
        <row r="71">
          <cell r="B71">
            <v>236</v>
          </cell>
          <cell r="C71" t="str">
            <v>Brent Glazer</v>
          </cell>
          <cell r="D71" t="str">
            <v>philadelphia</v>
          </cell>
          <cell r="E71" t="str">
            <v>CRS</v>
          </cell>
          <cell r="F71">
            <v>16111</v>
          </cell>
          <cell r="G71">
            <v>44293</v>
          </cell>
          <cell r="H71">
            <v>46471</v>
          </cell>
          <cell r="I71" t="str">
            <v>Active</v>
          </cell>
          <cell r="J71" t="str">
            <v>Philadelphia</v>
          </cell>
          <cell r="K71" t="str">
            <v>Apr</v>
          </cell>
        </row>
        <row r="72">
          <cell r="B72">
            <v>237</v>
          </cell>
          <cell r="C72" t="str">
            <v>Brent Glazer</v>
          </cell>
          <cell r="D72" t="str">
            <v>philadelphia</v>
          </cell>
          <cell r="E72" t="str">
            <v>CFRS</v>
          </cell>
          <cell r="F72">
            <v>16111</v>
          </cell>
          <cell r="G72">
            <v>44280</v>
          </cell>
          <cell r="H72">
            <v>46471</v>
          </cell>
          <cell r="I72" t="str">
            <v>Active</v>
          </cell>
          <cell r="J72" t="str">
            <v>Philadelphia</v>
          </cell>
          <cell r="K72" t="str">
            <v>Mar</v>
          </cell>
        </row>
        <row r="73">
          <cell r="B73">
            <v>240</v>
          </cell>
          <cell r="C73" t="str">
            <v>Brett Ford</v>
          </cell>
          <cell r="D73" t="str">
            <v>philadelphia</v>
          </cell>
          <cell r="E73" t="str">
            <v>CRS</v>
          </cell>
          <cell r="F73">
            <v>22094</v>
          </cell>
          <cell r="G73">
            <v>45812</v>
          </cell>
          <cell r="H73">
            <v>46542</v>
          </cell>
          <cell r="I73" t="str">
            <v>Active</v>
          </cell>
          <cell r="J73" t="str">
            <v>Philadelphia</v>
          </cell>
          <cell r="K73" t="str">
            <v>Jun</v>
          </cell>
        </row>
        <row r="74">
          <cell r="B74">
            <v>247</v>
          </cell>
          <cell r="C74" t="str">
            <v>Brian Linson</v>
          </cell>
          <cell r="D74" t="str">
            <v>philadelphia</v>
          </cell>
          <cell r="E74" t="str">
            <v>CRS</v>
          </cell>
          <cell r="F74">
            <v>8161</v>
          </cell>
          <cell r="G74">
            <v>41111</v>
          </cell>
          <cell r="H74">
            <v>41841</v>
          </cell>
          <cell r="I74" t="str">
            <v>Expired</v>
          </cell>
          <cell r="J74" t="str">
            <v>Philadelphia</v>
          </cell>
          <cell r="K74" t="str">
            <v>Jul</v>
          </cell>
        </row>
        <row r="75">
          <cell r="B75">
            <v>251</v>
          </cell>
          <cell r="C75" t="str">
            <v>Brian Tobin</v>
          </cell>
          <cell r="D75" t="str">
            <v>philadelphia</v>
          </cell>
          <cell r="E75" t="str">
            <v>CRS</v>
          </cell>
          <cell r="F75">
            <v>20927</v>
          </cell>
          <cell r="G75">
            <v>45567</v>
          </cell>
          <cell r="H75">
            <v>46297</v>
          </cell>
          <cell r="I75" t="str">
            <v>Active</v>
          </cell>
          <cell r="J75" t="str">
            <v>Philadelphia</v>
          </cell>
          <cell r="K75" t="str">
            <v>Oct</v>
          </cell>
        </row>
        <row r="76">
          <cell r="B76">
            <v>254</v>
          </cell>
          <cell r="C76" t="str">
            <v>Brianna Barbii Duncan</v>
          </cell>
          <cell r="D76" t="str">
            <v>philadelphia</v>
          </cell>
          <cell r="E76" t="str">
            <v>CRS</v>
          </cell>
          <cell r="F76">
            <v>21091</v>
          </cell>
          <cell r="G76">
            <v>45603</v>
          </cell>
          <cell r="H76">
            <v>46333</v>
          </cell>
          <cell r="I76" t="str">
            <v>Active</v>
          </cell>
          <cell r="J76" t="str">
            <v>Philadelphia</v>
          </cell>
          <cell r="K76" t="str">
            <v>Nov</v>
          </cell>
        </row>
        <row r="77">
          <cell r="B77">
            <v>260</v>
          </cell>
          <cell r="C77" t="str">
            <v>Brooke Feldman</v>
          </cell>
          <cell r="D77" t="str">
            <v>philadelphia</v>
          </cell>
          <cell r="E77" t="str">
            <v>CRS</v>
          </cell>
          <cell r="F77">
            <v>7344</v>
          </cell>
          <cell r="G77">
            <v>40068</v>
          </cell>
          <cell r="H77">
            <v>40798</v>
          </cell>
          <cell r="I77" t="str">
            <v>Expired</v>
          </cell>
          <cell r="J77" t="str">
            <v>Philadelphia</v>
          </cell>
          <cell r="K77" t="str">
            <v>Sep</v>
          </cell>
        </row>
        <row r="78">
          <cell r="B78">
            <v>271</v>
          </cell>
          <cell r="C78" t="str">
            <v>Cameron Jackson</v>
          </cell>
          <cell r="D78" t="str">
            <v>philadelphia</v>
          </cell>
          <cell r="E78" t="str">
            <v>CRS</v>
          </cell>
          <cell r="F78">
            <v>11047</v>
          </cell>
          <cell r="G78">
            <v>43203</v>
          </cell>
          <cell r="H78">
            <v>46125</v>
          </cell>
          <cell r="I78" t="str">
            <v>Active</v>
          </cell>
          <cell r="J78" t="str">
            <v>Philadelphia</v>
          </cell>
          <cell r="K78" t="str">
            <v>Apr</v>
          </cell>
        </row>
        <row r="79">
          <cell r="B79">
            <v>272</v>
          </cell>
          <cell r="C79" t="str">
            <v>Candace Gaston</v>
          </cell>
          <cell r="D79" t="str">
            <v>philadelphia</v>
          </cell>
          <cell r="E79" t="str">
            <v>CRS</v>
          </cell>
          <cell r="F79">
            <v>10002</v>
          </cell>
          <cell r="G79">
            <v>42753</v>
          </cell>
          <cell r="H79">
            <v>43483</v>
          </cell>
          <cell r="I79" t="str">
            <v>Expired</v>
          </cell>
          <cell r="J79" t="str">
            <v>Philadelphia</v>
          </cell>
          <cell r="K79" t="str">
            <v>Jan</v>
          </cell>
        </row>
        <row r="80">
          <cell r="B80">
            <v>275</v>
          </cell>
          <cell r="C80" t="str">
            <v>Carla Calabrese</v>
          </cell>
          <cell r="D80" t="str">
            <v>philadelphia</v>
          </cell>
          <cell r="E80" t="str">
            <v>CRS</v>
          </cell>
          <cell r="F80">
            <v>16228</v>
          </cell>
          <cell r="G80">
            <v>44372</v>
          </cell>
          <cell r="H80">
            <v>46563</v>
          </cell>
          <cell r="I80" t="str">
            <v>Active</v>
          </cell>
          <cell r="J80" t="str">
            <v>Philadelphia</v>
          </cell>
          <cell r="K80" t="str">
            <v>Jun</v>
          </cell>
        </row>
        <row r="81">
          <cell r="B81">
            <v>276</v>
          </cell>
          <cell r="C81" t="str">
            <v>Carla Calabrese</v>
          </cell>
          <cell r="D81" t="str">
            <v>philadelphia</v>
          </cell>
          <cell r="E81" t="str">
            <v>CFRS</v>
          </cell>
          <cell r="F81">
            <v>16228</v>
          </cell>
          <cell r="G81">
            <v>44326</v>
          </cell>
          <cell r="H81">
            <v>45787</v>
          </cell>
          <cell r="I81" t="str">
            <v>Lapsed</v>
          </cell>
          <cell r="J81" t="str">
            <v>Philadelphia</v>
          </cell>
          <cell r="K81" t="str">
            <v>May</v>
          </cell>
        </row>
        <row r="82">
          <cell r="B82">
            <v>279</v>
          </cell>
          <cell r="C82" t="str">
            <v>Carmen  Batista-Mejia</v>
          </cell>
          <cell r="D82" t="str">
            <v>philadelphia</v>
          </cell>
          <cell r="E82" t="str">
            <v>CRS</v>
          </cell>
          <cell r="F82">
            <v>12201</v>
          </cell>
          <cell r="G82">
            <v>45775</v>
          </cell>
          <cell r="H82">
            <v>46505</v>
          </cell>
          <cell r="I82" t="str">
            <v>Active</v>
          </cell>
          <cell r="J82" t="str">
            <v>Philadelphia</v>
          </cell>
          <cell r="K82" t="str">
            <v>Apr</v>
          </cell>
        </row>
        <row r="83">
          <cell r="B83">
            <v>280</v>
          </cell>
          <cell r="C83" t="str">
            <v>Carmen  Batista-Mejia</v>
          </cell>
          <cell r="D83" t="str">
            <v>philadelphia</v>
          </cell>
          <cell r="E83" t="str">
            <v>CFRS</v>
          </cell>
          <cell r="F83">
            <v>12201</v>
          </cell>
          <cell r="G83">
            <v>45592</v>
          </cell>
          <cell r="H83">
            <v>46322</v>
          </cell>
          <cell r="I83" t="str">
            <v>Active</v>
          </cell>
          <cell r="J83" t="str">
            <v>Philadelphia</v>
          </cell>
          <cell r="K83" t="str">
            <v>Oct</v>
          </cell>
        </row>
        <row r="84">
          <cell r="B84">
            <v>281</v>
          </cell>
          <cell r="C84" t="str">
            <v>Carmen  Lagomasini</v>
          </cell>
          <cell r="D84" t="str">
            <v>philadelphia</v>
          </cell>
          <cell r="E84" t="str">
            <v>CFRS</v>
          </cell>
          <cell r="F84">
            <v>19891</v>
          </cell>
          <cell r="G84">
            <v>45588</v>
          </cell>
          <cell r="H84">
            <v>46318</v>
          </cell>
          <cell r="I84" t="str">
            <v>Active</v>
          </cell>
          <cell r="J84" t="str">
            <v>Philadelphia</v>
          </cell>
          <cell r="K84" t="str">
            <v>Oct</v>
          </cell>
        </row>
        <row r="85">
          <cell r="B85">
            <v>287</v>
          </cell>
          <cell r="C85" t="str">
            <v>Carol Rostucher</v>
          </cell>
          <cell r="D85" t="str">
            <v>philadelphia</v>
          </cell>
          <cell r="E85" t="str">
            <v>CRS</v>
          </cell>
          <cell r="F85">
            <v>9547</v>
          </cell>
          <cell r="G85">
            <v>42446</v>
          </cell>
          <cell r="H85">
            <v>44637</v>
          </cell>
          <cell r="I85" t="str">
            <v>Expired</v>
          </cell>
          <cell r="J85" t="str">
            <v>Philadelphia</v>
          </cell>
          <cell r="K85" t="str">
            <v>Mar</v>
          </cell>
        </row>
        <row r="86">
          <cell r="B86">
            <v>296</v>
          </cell>
          <cell r="C86" t="str">
            <v>Cassandra Barnett</v>
          </cell>
          <cell r="D86" t="str">
            <v>philadelphia</v>
          </cell>
          <cell r="E86" t="str">
            <v>CRS</v>
          </cell>
          <cell r="F86">
            <v>9998</v>
          </cell>
          <cell r="G86">
            <v>44286</v>
          </cell>
          <cell r="H86">
            <v>45016</v>
          </cell>
          <cell r="I86" t="str">
            <v>Expired</v>
          </cell>
          <cell r="J86" t="str">
            <v>Philadelphia</v>
          </cell>
          <cell r="K86" t="str">
            <v>Mar</v>
          </cell>
        </row>
        <row r="87">
          <cell r="B87">
            <v>300</v>
          </cell>
          <cell r="C87" t="str">
            <v>Cathleen Mullane</v>
          </cell>
          <cell r="D87" t="str">
            <v>philadelphia</v>
          </cell>
          <cell r="E87" t="str">
            <v>CRS</v>
          </cell>
          <cell r="F87">
            <v>11410</v>
          </cell>
          <cell r="G87">
            <v>44368</v>
          </cell>
          <cell r="H87">
            <v>45829</v>
          </cell>
          <cell r="I87" t="str">
            <v>Active</v>
          </cell>
          <cell r="J87" t="str">
            <v>Philadelphia</v>
          </cell>
          <cell r="K87" t="str">
            <v>Jun</v>
          </cell>
        </row>
        <row r="88">
          <cell r="B88">
            <v>302</v>
          </cell>
          <cell r="C88" t="str">
            <v>Cecelia Bruce</v>
          </cell>
          <cell r="D88" t="str">
            <v>philadelphia</v>
          </cell>
          <cell r="E88" t="str">
            <v>CRS</v>
          </cell>
          <cell r="F88">
            <v>17443</v>
          </cell>
          <cell r="G88">
            <v>44697</v>
          </cell>
          <cell r="H88">
            <v>45428</v>
          </cell>
          <cell r="I88" t="str">
            <v>Expired</v>
          </cell>
          <cell r="J88" t="str">
            <v>Philadelphia</v>
          </cell>
          <cell r="K88" t="str">
            <v>May</v>
          </cell>
        </row>
        <row r="89">
          <cell r="B89">
            <v>303</v>
          </cell>
          <cell r="C89" t="str">
            <v>Cecil Dunmore</v>
          </cell>
          <cell r="D89" t="str">
            <v>philadelphia</v>
          </cell>
          <cell r="E89" t="str">
            <v>CRS</v>
          </cell>
          <cell r="F89">
            <v>14007</v>
          </cell>
          <cell r="G89">
            <v>43670</v>
          </cell>
          <cell r="H89">
            <v>45131</v>
          </cell>
          <cell r="I89" t="str">
            <v>Expired</v>
          </cell>
          <cell r="J89" t="str">
            <v>Philadelphia</v>
          </cell>
          <cell r="K89" t="str">
            <v>Jul</v>
          </cell>
        </row>
        <row r="90">
          <cell r="B90">
            <v>306</v>
          </cell>
          <cell r="C90" t="str">
            <v>Celestine Leavingston</v>
          </cell>
          <cell r="D90" t="str">
            <v>philadelphia</v>
          </cell>
          <cell r="E90" t="str">
            <v>CRS</v>
          </cell>
          <cell r="F90">
            <v>14804</v>
          </cell>
          <cell r="G90">
            <v>43787</v>
          </cell>
          <cell r="H90">
            <v>45979</v>
          </cell>
          <cell r="I90" t="str">
            <v>Active</v>
          </cell>
          <cell r="J90" t="str">
            <v>Philadelphia</v>
          </cell>
          <cell r="K90" t="str">
            <v>Nov</v>
          </cell>
        </row>
        <row r="91">
          <cell r="B91">
            <v>309</v>
          </cell>
          <cell r="C91" t="str">
            <v>Charlene Ison</v>
          </cell>
          <cell r="D91" t="str">
            <v>philadelphia</v>
          </cell>
          <cell r="E91" t="str">
            <v>CRS</v>
          </cell>
          <cell r="F91">
            <v>14416</v>
          </cell>
          <cell r="G91">
            <v>43697</v>
          </cell>
          <cell r="H91">
            <v>44428</v>
          </cell>
          <cell r="I91" t="str">
            <v>Expired</v>
          </cell>
          <cell r="J91" t="str">
            <v>Philadelphia</v>
          </cell>
          <cell r="K91" t="str">
            <v>Aug</v>
          </cell>
        </row>
        <row r="92">
          <cell r="B92">
            <v>311</v>
          </cell>
          <cell r="C92" t="str">
            <v>Charlene Taylor</v>
          </cell>
          <cell r="D92" t="str">
            <v>philadelphia</v>
          </cell>
          <cell r="E92" t="str">
            <v>CRS</v>
          </cell>
          <cell r="F92">
            <v>11046</v>
          </cell>
          <cell r="G92">
            <v>43203</v>
          </cell>
          <cell r="H92">
            <v>43934</v>
          </cell>
          <cell r="I92" t="str">
            <v>Expired</v>
          </cell>
          <cell r="J92" t="str">
            <v>Philadelphia</v>
          </cell>
          <cell r="K92" t="str">
            <v>Apr</v>
          </cell>
        </row>
        <row r="93">
          <cell r="B93">
            <v>316</v>
          </cell>
          <cell r="C93" t="str">
            <v>Charles Mapp, Jr.</v>
          </cell>
          <cell r="D93" t="str">
            <v>philadelphia</v>
          </cell>
          <cell r="E93" t="str">
            <v>CRS</v>
          </cell>
          <cell r="F93">
            <v>10005</v>
          </cell>
          <cell r="G93">
            <v>42753</v>
          </cell>
          <cell r="H93">
            <v>43483</v>
          </cell>
          <cell r="I93" t="str">
            <v>Expired</v>
          </cell>
          <cell r="J93" t="str">
            <v>Philadelphia</v>
          </cell>
          <cell r="K93" t="str">
            <v>Jan</v>
          </cell>
        </row>
        <row r="94">
          <cell r="B94">
            <v>318</v>
          </cell>
          <cell r="C94" t="str">
            <v>Chauncey Stokes</v>
          </cell>
          <cell r="D94" t="str">
            <v>philadelphia</v>
          </cell>
          <cell r="E94" t="str">
            <v>CFRS</v>
          </cell>
          <cell r="F94">
            <v>16683</v>
          </cell>
          <cell r="G94">
            <v>44397</v>
          </cell>
          <cell r="H94">
            <v>45858</v>
          </cell>
          <cell r="I94" t="str">
            <v>Active</v>
          </cell>
          <cell r="J94" t="str">
            <v>Philadelphia</v>
          </cell>
          <cell r="K94" t="str">
            <v>Jul</v>
          </cell>
        </row>
        <row r="95">
          <cell r="B95">
            <v>319</v>
          </cell>
          <cell r="C95" t="str">
            <v>Chavelle  Carter</v>
          </cell>
          <cell r="D95" t="str">
            <v>philadelphia</v>
          </cell>
          <cell r="E95" t="str">
            <v>CFRS</v>
          </cell>
          <cell r="F95">
            <v>20040</v>
          </cell>
          <cell r="G95">
            <v>45376</v>
          </cell>
          <cell r="H95">
            <v>46106</v>
          </cell>
          <cell r="I95" t="str">
            <v>Active</v>
          </cell>
          <cell r="J95" t="str">
            <v>Philadelphia</v>
          </cell>
          <cell r="K95" t="str">
            <v>Mar</v>
          </cell>
        </row>
        <row r="96">
          <cell r="B96">
            <v>320</v>
          </cell>
          <cell r="C96" t="str">
            <v>Chelsea Sormilich</v>
          </cell>
          <cell r="D96" t="str">
            <v>philadelphia</v>
          </cell>
          <cell r="E96" t="str">
            <v>CRS</v>
          </cell>
          <cell r="F96">
            <v>10249</v>
          </cell>
          <cell r="G96">
            <v>42908</v>
          </cell>
          <cell r="H96">
            <v>45830</v>
          </cell>
          <cell r="I96" t="str">
            <v>Active</v>
          </cell>
          <cell r="J96" t="str">
            <v>Philadelphia</v>
          </cell>
          <cell r="K96" t="str">
            <v>Jun</v>
          </cell>
        </row>
        <row r="97">
          <cell r="B97">
            <v>323</v>
          </cell>
          <cell r="C97" t="str">
            <v>Christian Terilla</v>
          </cell>
          <cell r="D97" t="str">
            <v>philadelphia</v>
          </cell>
          <cell r="E97" t="str">
            <v>CRS</v>
          </cell>
          <cell r="F97">
            <v>17048</v>
          </cell>
          <cell r="G97">
            <v>44545</v>
          </cell>
          <cell r="H97">
            <v>45275</v>
          </cell>
          <cell r="I97" t="str">
            <v>Expired</v>
          </cell>
          <cell r="J97" t="str">
            <v>Philadelphia</v>
          </cell>
          <cell r="K97" t="str">
            <v>Dec</v>
          </cell>
        </row>
        <row r="98">
          <cell r="B98">
            <v>325</v>
          </cell>
          <cell r="C98" t="str">
            <v>Christina  Robbins</v>
          </cell>
          <cell r="D98" t="str">
            <v>philadelphia</v>
          </cell>
          <cell r="E98" t="str">
            <v>CRS</v>
          </cell>
          <cell r="F98">
            <v>17774</v>
          </cell>
          <cell r="G98">
            <v>44791</v>
          </cell>
          <cell r="H98">
            <v>45522</v>
          </cell>
          <cell r="I98" t="str">
            <v>Lapsed</v>
          </cell>
          <cell r="J98" t="str">
            <v>Philadelphia</v>
          </cell>
          <cell r="K98" t="str">
            <v>Aug</v>
          </cell>
        </row>
        <row r="99">
          <cell r="B99">
            <v>329</v>
          </cell>
          <cell r="C99" t="str">
            <v>Christina Gurney</v>
          </cell>
          <cell r="D99" t="str">
            <v>philadelphia</v>
          </cell>
          <cell r="E99" t="str">
            <v>CRS</v>
          </cell>
          <cell r="F99">
            <v>8938</v>
          </cell>
          <cell r="G99">
            <v>41817</v>
          </cell>
          <cell r="H99">
            <v>42548</v>
          </cell>
          <cell r="I99" t="str">
            <v>Expired</v>
          </cell>
          <cell r="J99" t="str">
            <v>Philadelphia</v>
          </cell>
          <cell r="K99" t="str">
            <v>Jun</v>
          </cell>
        </row>
        <row r="100">
          <cell r="B100">
            <v>334</v>
          </cell>
          <cell r="C100" t="str">
            <v>Christine Harrity</v>
          </cell>
          <cell r="D100" t="str">
            <v>philadelphia</v>
          </cell>
          <cell r="E100" t="str">
            <v>CRS</v>
          </cell>
          <cell r="F100">
            <v>11342</v>
          </cell>
          <cell r="G100">
            <v>43227</v>
          </cell>
          <cell r="H100">
            <v>43958</v>
          </cell>
          <cell r="I100" t="str">
            <v>Expired</v>
          </cell>
          <cell r="J100" t="str">
            <v>Philadelphia</v>
          </cell>
          <cell r="K100" t="str">
            <v>May</v>
          </cell>
        </row>
        <row r="101">
          <cell r="B101">
            <v>335</v>
          </cell>
          <cell r="C101" t="str">
            <v>Christine Jackson</v>
          </cell>
          <cell r="D101" t="str">
            <v>philadelphia</v>
          </cell>
          <cell r="E101" t="str">
            <v>CRS</v>
          </cell>
          <cell r="F101">
            <v>9170</v>
          </cell>
          <cell r="G101">
            <v>42132</v>
          </cell>
          <cell r="H101">
            <v>42863</v>
          </cell>
          <cell r="I101" t="str">
            <v>Expired</v>
          </cell>
          <cell r="J101" t="str">
            <v>Philadelphia</v>
          </cell>
          <cell r="K101" t="str">
            <v>May</v>
          </cell>
        </row>
        <row r="102">
          <cell r="B102">
            <v>339</v>
          </cell>
          <cell r="C102" t="str">
            <v>Christine Sternberger</v>
          </cell>
          <cell r="D102" t="str">
            <v>philadelphia</v>
          </cell>
          <cell r="E102" t="str">
            <v>CFRS</v>
          </cell>
          <cell r="F102">
            <v>22056</v>
          </cell>
          <cell r="G102">
            <v>45810</v>
          </cell>
          <cell r="H102">
            <v>46540</v>
          </cell>
          <cell r="I102" t="str">
            <v>Active</v>
          </cell>
          <cell r="J102" t="str">
            <v>Philadelphia</v>
          </cell>
          <cell r="K102" t="str">
            <v>Jun</v>
          </cell>
        </row>
        <row r="103">
          <cell r="B103">
            <v>343</v>
          </cell>
          <cell r="C103" t="str">
            <v>Christine Zaengle</v>
          </cell>
          <cell r="D103" t="str">
            <v>philadelphia</v>
          </cell>
          <cell r="E103" t="str">
            <v>CRS</v>
          </cell>
          <cell r="F103">
            <v>14426</v>
          </cell>
          <cell r="G103">
            <v>43697</v>
          </cell>
          <cell r="H103">
            <v>45889</v>
          </cell>
          <cell r="I103" t="str">
            <v>Active</v>
          </cell>
          <cell r="J103" t="str">
            <v>Philadelphia</v>
          </cell>
          <cell r="K103" t="str">
            <v>Aug</v>
          </cell>
        </row>
        <row r="104">
          <cell r="B104">
            <v>348</v>
          </cell>
          <cell r="C104" t="str">
            <v>Christopher Gourley</v>
          </cell>
          <cell r="D104" t="str">
            <v>philadelphia</v>
          </cell>
          <cell r="E104" t="str">
            <v>CRS</v>
          </cell>
          <cell r="F104">
            <v>12416</v>
          </cell>
          <cell r="G104">
            <v>43770</v>
          </cell>
          <cell r="H104">
            <v>44501</v>
          </cell>
          <cell r="I104" t="str">
            <v>Expired</v>
          </cell>
          <cell r="J104" t="str">
            <v>Philadelphia</v>
          </cell>
          <cell r="K104" t="str">
            <v>Nov</v>
          </cell>
        </row>
        <row r="105">
          <cell r="B105">
            <v>349</v>
          </cell>
          <cell r="C105" t="str">
            <v>Christopher Griddle</v>
          </cell>
          <cell r="D105" t="str">
            <v>philadelphia</v>
          </cell>
          <cell r="E105" t="str">
            <v>CRS</v>
          </cell>
          <cell r="F105">
            <v>11565</v>
          </cell>
          <cell r="G105">
            <v>44265</v>
          </cell>
          <cell r="H105">
            <v>44995</v>
          </cell>
          <cell r="I105" t="str">
            <v>Expired</v>
          </cell>
          <cell r="J105" t="str">
            <v>Philadelphia</v>
          </cell>
          <cell r="K105" t="str">
            <v>Mar</v>
          </cell>
        </row>
        <row r="106">
          <cell r="B106">
            <v>351</v>
          </cell>
          <cell r="C106" t="str">
            <v>Christopher Kiesel</v>
          </cell>
          <cell r="D106" t="str">
            <v>philadelphia</v>
          </cell>
          <cell r="E106" t="str">
            <v>CRS</v>
          </cell>
          <cell r="F106">
            <v>15704</v>
          </cell>
          <cell r="G106">
            <v>44172</v>
          </cell>
          <cell r="H106">
            <v>44902</v>
          </cell>
          <cell r="I106" t="str">
            <v>Expired</v>
          </cell>
          <cell r="J106" t="str">
            <v>Philadelphia</v>
          </cell>
          <cell r="K106" t="str">
            <v>Dec</v>
          </cell>
        </row>
        <row r="107">
          <cell r="B107">
            <v>352</v>
          </cell>
          <cell r="C107" t="str">
            <v>Christopher Leidig</v>
          </cell>
          <cell r="D107" t="str">
            <v>philadelphia</v>
          </cell>
          <cell r="E107" t="str">
            <v>CRS</v>
          </cell>
          <cell r="F107">
            <v>12386</v>
          </cell>
          <cell r="G107">
            <v>43791</v>
          </cell>
          <cell r="H107">
            <v>46304</v>
          </cell>
          <cell r="I107" t="str">
            <v>Active</v>
          </cell>
          <cell r="J107" t="str">
            <v>Philadelphia</v>
          </cell>
          <cell r="K107" t="str">
            <v>Nov</v>
          </cell>
        </row>
        <row r="108">
          <cell r="B108">
            <v>363</v>
          </cell>
          <cell r="C108" t="str">
            <v>Claire Keller</v>
          </cell>
          <cell r="D108" t="str">
            <v>philadelphia</v>
          </cell>
          <cell r="E108" t="str">
            <v>CRS</v>
          </cell>
          <cell r="F108">
            <v>17584</v>
          </cell>
          <cell r="G108">
            <v>44739</v>
          </cell>
          <cell r="H108">
            <v>46200</v>
          </cell>
          <cell r="I108" t="str">
            <v>Active</v>
          </cell>
          <cell r="J108" t="str">
            <v>Philadelphia</v>
          </cell>
          <cell r="K108" t="str">
            <v>Jun</v>
          </cell>
        </row>
        <row r="109">
          <cell r="B109">
            <v>370</v>
          </cell>
          <cell r="C109" t="str">
            <v>Cody Roggio</v>
          </cell>
          <cell r="D109" t="str">
            <v>philadelphia</v>
          </cell>
          <cell r="E109" t="str">
            <v>CRS</v>
          </cell>
          <cell r="F109">
            <v>16967</v>
          </cell>
          <cell r="G109">
            <v>44504</v>
          </cell>
          <cell r="H109">
            <v>45234</v>
          </cell>
          <cell r="I109" t="str">
            <v>Expired</v>
          </cell>
          <cell r="J109" t="str">
            <v>Philadelphia</v>
          </cell>
          <cell r="K109" t="str">
            <v>Nov</v>
          </cell>
        </row>
        <row r="110">
          <cell r="B110">
            <v>381</v>
          </cell>
          <cell r="C110" t="str">
            <v>Courtney Moore</v>
          </cell>
          <cell r="D110" t="str">
            <v>philadelphia</v>
          </cell>
          <cell r="E110" t="str">
            <v>CRS</v>
          </cell>
          <cell r="F110">
            <v>10792</v>
          </cell>
          <cell r="G110">
            <v>43168</v>
          </cell>
          <cell r="H110">
            <v>43899</v>
          </cell>
          <cell r="I110" t="str">
            <v>Expired</v>
          </cell>
          <cell r="J110" t="str">
            <v>Philadelphia</v>
          </cell>
          <cell r="K110" t="str">
            <v>Mar</v>
          </cell>
        </row>
        <row r="111">
          <cell r="B111">
            <v>388</v>
          </cell>
          <cell r="C111" t="str">
            <v>Curt Eckstrom</v>
          </cell>
          <cell r="D111" t="str">
            <v>philadelphia</v>
          </cell>
          <cell r="E111" t="str">
            <v>CRS</v>
          </cell>
          <cell r="F111">
            <v>12688</v>
          </cell>
          <cell r="G111">
            <v>43474</v>
          </cell>
          <cell r="H111">
            <v>44205</v>
          </cell>
          <cell r="I111" t="str">
            <v>Expired</v>
          </cell>
          <cell r="J111" t="str">
            <v>Philadelphia</v>
          </cell>
          <cell r="K111" t="str">
            <v>Jan</v>
          </cell>
        </row>
        <row r="112">
          <cell r="B112">
            <v>389</v>
          </cell>
          <cell r="C112" t="str">
            <v>Curtis Benson</v>
          </cell>
          <cell r="D112" t="str">
            <v>philadelphia</v>
          </cell>
          <cell r="E112" t="str">
            <v>CRS</v>
          </cell>
          <cell r="F112">
            <v>16518</v>
          </cell>
          <cell r="G112">
            <v>44373</v>
          </cell>
          <cell r="H112">
            <v>45103</v>
          </cell>
          <cell r="I112" t="str">
            <v>Expired</v>
          </cell>
          <cell r="J112" t="str">
            <v>Philadelphia</v>
          </cell>
          <cell r="K112" t="str">
            <v>Jun</v>
          </cell>
        </row>
        <row r="113">
          <cell r="B113">
            <v>397</v>
          </cell>
          <cell r="C113" t="str">
            <v>Dana Heileman</v>
          </cell>
          <cell r="D113" t="str">
            <v>philadelphia</v>
          </cell>
          <cell r="E113" t="str">
            <v>CRS</v>
          </cell>
          <cell r="F113">
            <v>12002</v>
          </cell>
          <cell r="G113">
            <v>43313</v>
          </cell>
          <cell r="H113">
            <v>45505</v>
          </cell>
          <cell r="I113" t="str">
            <v>Lapsed</v>
          </cell>
          <cell r="J113" t="str">
            <v>Philadelphia</v>
          </cell>
          <cell r="K113" t="str">
            <v>Aug</v>
          </cell>
        </row>
        <row r="114">
          <cell r="B114">
            <v>399</v>
          </cell>
          <cell r="C114" t="str">
            <v>Dana Kirlin</v>
          </cell>
          <cell r="D114" t="str">
            <v>philadelphia</v>
          </cell>
          <cell r="E114" t="str">
            <v>CRS</v>
          </cell>
          <cell r="F114">
            <v>9982</v>
          </cell>
          <cell r="G114">
            <v>42746</v>
          </cell>
          <cell r="H114">
            <v>44207</v>
          </cell>
          <cell r="I114" t="str">
            <v>Expired</v>
          </cell>
          <cell r="J114" t="str">
            <v>Philadelphia</v>
          </cell>
          <cell r="K114" t="str">
            <v>Jan</v>
          </cell>
        </row>
        <row r="115">
          <cell r="B115">
            <v>400</v>
          </cell>
          <cell r="C115" t="str">
            <v>Dana Lomax-Ayler</v>
          </cell>
          <cell r="D115" t="str">
            <v>philadelphia</v>
          </cell>
          <cell r="E115" t="str">
            <v>CRS</v>
          </cell>
          <cell r="F115">
            <v>11347</v>
          </cell>
          <cell r="G115">
            <v>43227</v>
          </cell>
          <cell r="H115">
            <v>43958</v>
          </cell>
          <cell r="I115" t="str">
            <v>Expired</v>
          </cell>
          <cell r="J115" t="str">
            <v>Philadelphia</v>
          </cell>
          <cell r="K115" t="str">
            <v>May</v>
          </cell>
        </row>
        <row r="116">
          <cell r="B116">
            <v>401</v>
          </cell>
          <cell r="C116" t="str">
            <v>Daneille Bean</v>
          </cell>
          <cell r="D116" t="str">
            <v>philadelphia</v>
          </cell>
          <cell r="E116" t="str">
            <v>CRS</v>
          </cell>
          <cell r="F116">
            <v>18938</v>
          </cell>
          <cell r="G116">
            <v>45135</v>
          </cell>
          <cell r="H116">
            <v>45866</v>
          </cell>
          <cell r="I116" t="str">
            <v>Active</v>
          </cell>
          <cell r="J116" t="str">
            <v>Philadelphia</v>
          </cell>
          <cell r="K116" t="str">
            <v>Jul</v>
          </cell>
        </row>
        <row r="117">
          <cell r="B117">
            <v>423</v>
          </cell>
          <cell r="C117" t="str">
            <v>Danielle Stumbaugh</v>
          </cell>
          <cell r="D117" t="str">
            <v>philadelphia</v>
          </cell>
          <cell r="E117" t="str">
            <v>CRS</v>
          </cell>
          <cell r="F117">
            <v>17885</v>
          </cell>
          <cell r="G117">
            <v>44837</v>
          </cell>
          <cell r="H117">
            <v>46298</v>
          </cell>
          <cell r="I117" t="str">
            <v>Active</v>
          </cell>
          <cell r="J117" t="str">
            <v>Philadelphia</v>
          </cell>
          <cell r="K117" t="str">
            <v>Oct</v>
          </cell>
        </row>
        <row r="118">
          <cell r="B118">
            <v>427</v>
          </cell>
          <cell r="C118" t="str">
            <v>Darcell Watson</v>
          </cell>
          <cell r="D118" t="str">
            <v>philadelphia</v>
          </cell>
          <cell r="E118" t="str">
            <v>CRS</v>
          </cell>
          <cell r="F118">
            <v>7773</v>
          </cell>
          <cell r="G118">
            <v>40613</v>
          </cell>
          <cell r="H118">
            <v>41344</v>
          </cell>
          <cell r="I118" t="str">
            <v>Expired</v>
          </cell>
          <cell r="J118" t="str">
            <v>Philadelphia</v>
          </cell>
          <cell r="K118" t="str">
            <v>Mar</v>
          </cell>
        </row>
        <row r="119">
          <cell r="B119">
            <v>428</v>
          </cell>
          <cell r="C119" t="str">
            <v>Dariel Rojo-Irizarry</v>
          </cell>
          <cell r="D119" t="str">
            <v>philadelphia</v>
          </cell>
          <cell r="E119" t="str">
            <v>CRS</v>
          </cell>
          <cell r="F119">
            <v>13340</v>
          </cell>
          <cell r="G119">
            <v>43599</v>
          </cell>
          <cell r="H119">
            <v>44330</v>
          </cell>
          <cell r="I119" t="str">
            <v>Expired</v>
          </cell>
          <cell r="J119" t="str">
            <v>Philadelphia</v>
          </cell>
          <cell r="K119" t="str">
            <v>May</v>
          </cell>
        </row>
        <row r="120">
          <cell r="B120">
            <v>429</v>
          </cell>
          <cell r="C120" t="str">
            <v>Darish Still</v>
          </cell>
          <cell r="D120" t="str">
            <v>philadelphia</v>
          </cell>
          <cell r="E120" t="str">
            <v>CRS</v>
          </cell>
          <cell r="F120">
            <v>17102</v>
          </cell>
          <cell r="G120">
            <v>44570</v>
          </cell>
          <cell r="H120">
            <v>46031</v>
          </cell>
          <cell r="I120" t="str">
            <v>Active</v>
          </cell>
          <cell r="J120" t="str">
            <v>Philadelphia</v>
          </cell>
          <cell r="K120" t="str">
            <v>Jan</v>
          </cell>
        </row>
        <row r="121">
          <cell r="B121">
            <v>432</v>
          </cell>
          <cell r="C121" t="str">
            <v>Darryl Darden</v>
          </cell>
          <cell r="D121" t="str">
            <v>philadelphia</v>
          </cell>
          <cell r="E121" t="str">
            <v>CRS</v>
          </cell>
          <cell r="F121">
            <v>21087</v>
          </cell>
          <cell r="G121">
            <v>45601</v>
          </cell>
          <cell r="H121">
            <v>46331</v>
          </cell>
          <cell r="I121" t="str">
            <v>Active</v>
          </cell>
          <cell r="J121" t="str">
            <v>Philadelphia</v>
          </cell>
          <cell r="K121" t="str">
            <v>Nov</v>
          </cell>
        </row>
        <row r="122">
          <cell r="B122">
            <v>433</v>
          </cell>
          <cell r="C122" t="str">
            <v>Darryl Johnson</v>
          </cell>
          <cell r="D122" t="str">
            <v>philadelphia</v>
          </cell>
          <cell r="E122" t="str">
            <v>CRS</v>
          </cell>
          <cell r="F122">
            <v>21762</v>
          </cell>
          <cell r="G122">
            <v>45741</v>
          </cell>
          <cell r="H122">
            <v>46471</v>
          </cell>
          <cell r="I122" t="str">
            <v>Active</v>
          </cell>
          <cell r="J122" t="str">
            <v>Philadelphia</v>
          </cell>
          <cell r="K122" t="str">
            <v>Mar</v>
          </cell>
        </row>
        <row r="123">
          <cell r="B123">
            <v>447</v>
          </cell>
          <cell r="C123" t="str">
            <v>David Mack</v>
          </cell>
          <cell r="D123" t="str">
            <v>philadelphia</v>
          </cell>
          <cell r="E123" t="str">
            <v>CRS</v>
          </cell>
          <cell r="F123">
            <v>9349</v>
          </cell>
          <cell r="G123">
            <v>42258</v>
          </cell>
          <cell r="H123">
            <v>42989</v>
          </cell>
          <cell r="I123" t="str">
            <v>Expired</v>
          </cell>
          <cell r="J123" t="str">
            <v>Philadelphia</v>
          </cell>
          <cell r="K123" t="str">
            <v>Sep</v>
          </cell>
        </row>
        <row r="124">
          <cell r="B124">
            <v>448</v>
          </cell>
          <cell r="C124" t="str">
            <v>David Maldonado</v>
          </cell>
          <cell r="D124" t="str">
            <v>philadelphia</v>
          </cell>
          <cell r="E124" t="str">
            <v>CRS</v>
          </cell>
          <cell r="F124">
            <v>14014</v>
          </cell>
          <cell r="G124">
            <v>43670</v>
          </cell>
          <cell r="H124">
            <v>45862</v>
          </cell>
          <cell r="I124" t="str">
            <v>Active</v>
          </cell>
          <cell r="J124" t="str">
            <v>Philadelphia</v>
          </cell>
          <cell r="K124" t="str">
            <v>Jul</v>
          </cell>
        </row>
        <row r="125">
          <cell r="B125">
            <v>449</v>
          </cell>
          <cell r="C125" t="str">
            <v>David Niblick Jr.</v>
          </cell>
          <cell r="D125" t="str">
            <v>philadelphia</v>
          </cell>
          <cell r="E125" t="str">
            <v>CRS</v>
          </cell>
          <cell r="F125">
            <v>20795</v>
          </cell>
          <cell r="G125">
            <v>45541</v>
          </cell>
          <cell r="H125">
            <v>46271</v>
          </cell>
          <cell r="I125" t="str">
            <v>Active</v>
          </cell>
          <cell r="J125" t="str">
            <v>Philadelphia</v>
          </cell>
          <cell r="K125" t="str">
            <v>Sep</v>
          </cell>
        </row>
        <row r="126">
          <cell r="B126">
            <v>453</v>
          </cell>
          <cell r="C126" t="str">
            <v>David Wright</v>
          </cell>
          <cell r="D126" t="str">
            <v>philadelphia</v>
          </cell>
          <cell r="E126" t="str">
            <v>CRS</v>
          </cell>
          <cell r="F126">
            <v>8566</v>
          </cell>
          <cell r="G126">
            <v>42891</v>
          </cell>
          <cell r="H126">
            <v>46543</v>
          </cell>
          <cell r="I126" t="str">
            <v>Active</v>
          </cell>
          <cell r="J126" t="str">
            <v>Philadelphia</v>
          </cell>
          <cell r="K126" t="str">
            <v>Jun</v>
          </cell>
        </row>
        <row r="127">
          <cell r="B127">
            <v>454</v>
          </cell>
          <cell r="C127" t="str">
            <v>David Wright</v>
          </cell>
          <cell r="D127" t="str">
            <v>philadelphia</v>
          </cell>
          <cell r="E127" t="str">
            <v>CFRS</v>
          </cell>
          <cell r="F127">
            <v>8566</v>
          </cell>
          <cell r="G127">
            <v>44284</v>
          </cell>
          <cell r="H127">
            <v>46475</v>
          </cell>
          <cell r="I127" t="str">
            <v>Active</v>
          </cell>
          <cell r="J127" t="str">
            <v>Philadelphia</v>
          </cell>
          <cell r="K127" t="str">
            <v>Mar</v>
          </cell>
        </row>
        <row r="128">
          <cell r="B128">
            <v>464</v>
          </cell>
          <cell r="C128" t="str">
            <v>Dawn Smalley</v>
          </cell>
          <cell r="D128" t="str">
            <v>philadelphia</v>
          </cell>
          <cell r="E128" t="str">
            <v>CRS</v>
          </cell>
          <cell r="F128">
            <v>16104</v>
          </cell>
          <cell r="G128">
            <v>44277</v>
          </cell>
          <cell r="H128">
            <v>45007</v>
          </cell>
          <cell r="I128" t="str">
            <v>Expired</v>
          </cell>
          <cell r="J128" t="str">
            <v>Philadelphia</v>
          </cell>
          <cell r="K128" t="str">
            <v>Mar</v>
          </cell>
        </row>
        <row r="129">
          <cell r="B129">
            <v>465</v>
          </cell>
          <cell r="C129" t="str">
            <v>Dawn Williams-Walter</v>
          </cell>
          <cell r="D129" t="str">
            <v>philadelphia</v>
          </cell>
          <cell r="E129" t="str">
            <v>CRS</v>
          </cell>
          <cell r="F129">
            <v>10378</v>
          </cell>
          <cell r="G129">
            <v>42986</v>
          </cell>
          <cell r="H129">
            <v>45177</v>
          </cell>
          <cell r="I129" t="str">
            <v>Expired</v>
          </cell>
          <cell r="J129" t="str">
            <v>Philadelphia</v>
          </cell>
          <cell r="K129" t="str">
            <v>Sep</v>
          </cell>
        </row>
        <row r="130">
          <cell r="B130">
            <v>468</v>
          </cell>
          <cell r="C130" t="str">
            <v>Deanna Friend</v>
          </cell>
          <cell r="D130" t="str">
            <v>philadelphia</v>
          </cell>
          <cell r="E130" t="str">
            <v>CRS</v>
          </cell>
          <cell r="F130">
            <v>8451</v>
          </cell>
          <cell r="G130">
            <v>41412</v>
          </cell>
          <cell r="H130">
            <v>42142</v>
          </cell>
          <cell r="I130" t="str">
            <v>Expired</v>
          </cell>
          <cell r="J130" t="str">
            <v>Philadelphia</v>
          </cell>
          <cell r="K130" t="str">
            <v>May</v>
          </cell>
        </row>
        <row r="131">
          <cell r="B131">
            <v>471</v>
          </cell>
          <cell r="C131" t="str">
            <v>Deborah Turner</v>
          </cell>
          <cell r="D131" t="str">
            <v>philadelphia</v>
          </cell>
          <cell r="E131" t="str">
            <v>CRS</v>
          </cell>
          <cell r="F131">
            <v>14911</v>
          </cell>
          <cell r="G131">
            <v>43809</v>
          </cell>
          <cell r="H131">
            <v>44540</v>
          </cell>
          <cell r="I131" t="str">
            <v>Expired</v>
          </cell>
          <cell r="J131" t="str">
            <v>Philadelphia</v>
          </cell>
          <cell r="K131" t="str">
            <v>Dec</v>
          </cell>
        </row>
        <row r="132">
          <cell r="B132">
            <v>472</v>
          </cell>
          <cell r="C132" t="str">
            <v>Deborah Wilson</v>
          </cell>
          <cell r="D132" t="str">
            <v>philadelphia</v>
          </cell>
          <cell r="E132" t="str">
            <v>CRS</v>
          </cell>
          <cell r="F132">
            <v>8153</v>
          </cell>
          <cell r="G132">
            <v>41111</v>
          </cell>
          <cell r="H132">
            <v>41841</v>
          </cell>
          <cell r="I132" t="str">
            <v>Expired</v>
          </cell>
          <cell r="J132" t="str">
            <v>Philadelphia</v>
          </cell>
          <cell r="K132" t="str">
            <v>Jul</v>
          </cell>
        </row>
        <row r="133">
          <cell r="B133">
            <v>484</v>
          </cell>
          <cell r="C133" t="str">
            <v>Dennis Swift</v>
          </cell>
          <cell r="D133" t="str">
            <v>philadelphia</v>
          </cell>
          <cell r="E133" t="str">
            <v>CRS</v>
          </cell>
          <cell r="F133">
            <v>10013</v>
          </cell>
          <cell r="G133">
            <v>42753</v>
          </cell>
          <cell r="H133">
            <v>43483</v>
          </cell>
          <cell r="I133" t="str">
            <v>Expired</v>
          </cell>
          <cell r="J133" t="str">
            <v>Philadelphia</v>
          </cell>
          <cell r="K133" t="str">
            <v>Jan</v>
          </cell>
        </row>
        <row r="134">
          <cell r="B134">
            <v>489</v>
          </cell>
          <cell r="C134" t="str">
            <v>Desiree' Mather-Kelly</v>
          </cell>
          <cell r="D134" t="str">
            <v>philadelphia</v>
          </cell>
          <cell r="E134" t="str">
            <v>CRS</v>
          </cell>
          <cell r="F134">
            <v>14015</v>
          </cell>
          <cell r="G134">
            <v>43670</v>
          </cell>
          <cell r="H134">
            <v>44401</v>
          </cell>
          <cell r="I134" t="str">
            <v>Expired</v>
          </cell>
          <cell r="J134" t="str">
            <v>Philadelphia</v>
          </cell>
          <cell r="K134" t="str">
            <v>Jul</v>
          </cell>
        </row>
        <row r="135">
          <cell r="B135">
            <v>490</v>
          </cell>
          <cell r="C135" t="str">
            <v>Devin Reaves</v>
          </cell>
          <cell r="D135" t="str">
            <v>philadelphia</v>
          </cell>
          <cell r="E135" t="str">
            <v>CRS</v>
          </cell>
          <cell r="F135">
            <v>8322</v>
          </cell>
          <cell r="G135">
            <v>41325</v>
          </cell>
          <cell r="H135">
            <v>42055</v>
          </cell>
          <cell r="I135" t="str">
            <v>Expired</v>
          </cell>
          <cell r="J135" t="str">
            <v>Philadelphia</v>
          </cell>
          <cell r="K135" t="str">
            <v>Feb</v>
          </cell>
        </row>
        <row r="136">
          <cell r="B136">
            <v>493</v>
          </cell>
          <cell r="C136" t="str">
            <v>Diamond Stahl</v>
          </cell>
          <cell r="D136" t="str">
            <v>philadelphia</v>
          </cell>
          <cell r="E136" t="str">
            <v>CRS</v>
          </cell>
          <cell r="F136">
            <v>20335</v>
          </cell>
          <cell r="G136">
            <v>45436</v>
          </cell>
          <cell r="H136">
            <v>46166</v>
          </cell>
          <cell r="I136" t="str">
            <v>Active</v>
          </cell>
          <cell r="J136" t="str">
            <v>Philadelphia</v>
          </cell>
          <cell r="K136" t="str">
            <v>May</v>
          </cell>
        </row>
        <row r="137">
          <cell r="B137">
            <v>495</v>
          </cell>
          <cell r="C137" t="str">
            <v>Diana King</v>
          </cell>
          <cell r="D137" t="str">
            <v>philadelphia</v>
          </cell>
          <cell r="E137" t="str">
            <v>CRS</v>
          </cell>
          <cell r="F137">
            <v>8943</v>
          </cell>
          <cell r="G137">
            <v>41817</v>
          </cell>
          <cell r="H137">
            <v>42548</v>
          </cell>
          <cell r="I137" t="str">
            <v>Expired</v>
          </cell>
          <cell r="J137" t="str">
            <v>Philadelphia</v>
          </cell>
          <cell r="K137" t="str">
            <v>Jun</v>
          </cell>
        </row>
        <row r="138">
          <cell r="B138">
            <v>498</v>
          </cell>
          <cell r="C138" t="str">
            <v>Diane Frymoyer</v>
          </cell>
          <cell r="D138" t="str">
            <v>philadelphia</v>
          </cell>
          <cell r="E138" t="str">
            <v>CRS</v>
          </cell>
          <cell r="F138">
            <v>9119</v>
          </cell>
          <cell r="G138">
            <v>42069</v>
          </cell>
          <cell r="H138">
            <v>44261</v>
          </cell>
          <cell r="I138" t="str">
            <v>Expired</v>
          </cell>
          <cell r="J138" t="str">
            <v>Philadelphia</v>
          </cell>
          <cell r="K138" t="str">
            <v>Mar</v>
          </cell>
        </row>
        <row r="139">
          <cell r="B139">
            <v>519</v>
          </cell>
          <cell r="C139" t="str">
            <v>Donna Johns</v>
          </cell>
          <cell r="D139" t="str">
            <v>philadelphia</v>
          </cell>
          <cell r="E139" t="str">
            <v>CRS</v>
          </cell>
          <cell r="F139">
            <v>10854</v>
          </cell>
          <cell r="G139">
            <v>45342</v>
          </cell>
          <cell r="H139">
            <v>46073</v>
          </cell>
          <cell r="I139" t="str">
            <v>Active</v>
          </cell>
          <cell r="J139" t="str">
            <v>Philadelphia</v>
          </cell>
          <cell r="K139" t="str">
            <v>Feb</v>
          </cell>
        </row>
        <row r="140">
          <cell r="B140">
            <v>520</v>
          </cell>
          <cell r="C140" t="str">
            <v>Donnel Brown</v>
          </cell>
          <cell r="D140" t="str">
            <v>philadelphia</v>
          </cell>
          <cell r="E140" t="str">
            <v>CRS</v>
          </cell>
          <cell r="F140">
            <v>9897</v>
          </cell>
          <cell r="G140">
            <v>42686</v>
          </cell>
          <cell r="H140">
            <v>44877</v>
          </cell>
          <cell r="I140" t="str">
            <v>Expired</v>
          </cell>
          <cell r="J140" t="str">
            <v>Philadelphia</v>
          </cell>
          <cell r="K140" t="str">
            <v>Nov</v>
          </cell>
        </row>
        <row r="141">
          <cell r="B141">
            <v>523</v>
          </cell>
          <cell r="C141" t="str">
            <v>Doris Eason</v>
          </cell>
          <cell r="D141" t="str">
            <v>philadelphia</v>
          </cell>
          <cell r="E141" t="str">
            <v>CRS</v>
          </cell>
          <cell r="F141">
            <v>8270</v>
          </cell>
          <cell r="G141">
            <v>41255</v>
          </cell>
          <cell r="H141">
            <v>43446</v>
          </cell>
          <cell r="I141" t="str">
            <v>Expired</v>
          </cell>
          <cell r="J141" t="str">
            <v>Philadelphia</v>
          </cell>
          <cell r="K141" t="str">
            <v>Dec</v>
          </cell>
        </row>
        <row r="142">
          <cell r="B142">
            <v>528</v>
          </cell>
          <cell r="C142" t="str">
            <v>Douglas Richardson</v>
          </cell>
          <cell r="D142" t="str">
            <v>philadelphia</v>
          </cell>
          <cell r="E142" t="str">
            <v>CRS</v>
          </cell>
          <cell r="F142">
            <v>8690</v>
          </cell>
          <cell r="G142">
            <v>41603</v>
          </cell>
          <cell r="H142">
            <v>43064</v>
          </cell>
          <cell r="I142" t="str">
            <v>Expired</v>
          </cell>
          <cell r="J142" t="str">
            <v>Philadelphia</v>
          </cell>
          <cell r="K142" t="str">
            <v>Nov</v>
          </cell>
        </row>
        <row r="143">
          <cell r="B143">
            <v>532</v>
          </cell>
          <cell r="C143" t="str">
            <v>Dustin Robinson</v>
          </cell>
          <cell r="D143" t="str">
            <v>philadelphia</v>
          </cell>
          <cell r="E143" t="str">
            <v>CRS</v>
          </cell>
          <cell r="F143">
            <v>18658</v>
          </cell>
          <cell r="G143">
            <v>45267</v>
          </cell>
          <cell r="H143">
            <v>45998</v>
          </cell>
          <cell r="I143" t="str">
            <v>Active</v>
          </cell>
          <cell r="J143" t="str">
            <v>Philadelphia</v>
          </cell>
          <cell r="K143" t="str">
            <v>Dec</v>
          </cell>
        </row>
        <row r="144">
          <cell r="B144">
            <v>533</v>
          </cell>
          <cell r="C144" t="str">
            <v>Dustin Robinson</v>
          </cell>
          <cell r="D144" t="str">
            <v>philadelphia</v>
          </cell>
          <cell r="E144" t="str">
            <v>CFRS</v>
          </cell>
          <cell r="F144">
            <v>18658</v>
          </cell>
          <cell r="G144">
            <v>45327</v>
          </cell>
          <cell r="H144">
            <v>46058</v>
          </cell>
          <cell r="I144" t="str">
            <v>Active</v>
          </cell>
          <cell r="J144" t="str">
            <v>Philadelphia</v>
          </cell>
          <cell r="K144" t="str">
            <v>Feb</v>
          </cell>
        </row>
        <row r="145">
          <cell r="B145">
            <v>534</v>
          </cell>
          <cell r="C145" t="str">
            <v>Dwight Cope</v>
          </cell>
          <cell r="D145" t="str">
            <v>philadelphia</v>
          </cell>
          <cell r="E145" t="str">
            <v>CRS</v>
          </cell>
          <cell r="F145">
            <v>9021</v>
          </cell>
          <cell r="G145">
            <v>41905</v>
          </cell>
          <cell r="H145">
            <v>42636</v>
          </cell>
          <cell r="I145" t="str">
            <v>Expired</v>
          </cell>
          <cell r="J145" t="str">
            <v>Philadelphia</v>
          </cell>
          <cell r="K145" t="str">
            <v>Sep</v>
          </cell>
        </row>
        <row r="146">
          <cell r="B146">
            <v>535</v>
          </cell>
          <cell r="C146" t="str">
            <v>Dwight Harley</v>
          </cell>
          <cell r="D146" t="str">
            <v>philadelphia</v>
          </cell>
          <cell r="E146" t="str">
            <v>CRS</v>
          </cell>
          <cell r="F146">
            <v>11915</v>
          </cell>
          <cell r="G146">
            <v>43787</v>
          </cell>
          <cell r="H146">
            <v>46223</v>
          </cell>
          <cell r="I146" t="str">
            <v>Active</v>
          </cell>
          <cell r="J146" t="str">
            <v>Philadelphia</v>
          </cell>
          <cell r="K146" t="str">
            <v>Nov</v>
          </cell>
        </row>
        <row r="147">
          <cell r="B147">
            <v>536</v>
          </cell>
          <cell r="C147" t="str">
            <v>Eartha Rivers</v>
          </cell>
          <cell r="D147" t="str">
            <v>philadelphia</v>
          </cell>
          <cell r="E147" t="str">
            <v>CRS</v>
          </cell>
          <cell r="F147">
            <v>21006</v>
          </cell>
          <cell r="G147">
            <v>45679</v>
          </cell>
          <cell r="H147">
            <v>46409</v>
          </cell>
          <cell r="I147" t="str">
            <v>Active</v>
          </cell>
          <cell r="J147" t="str">
            <v>Philadelphia</v>
          </cell>
          <cell r="K147" t="str">
            <v>Jan</v>
          </cell>
        </row>
        <row r="148">
          <cell r="B148">
            <v>537</v>
          </cell>
          <cell r="C148" t="str">
            <v>Eartha Rivers</v>
          </cell>
          <cell r="D148" t="str">
            <v>philadelphia</v>
          </cell>
          <cell r="E148" t="str">
            <v>CFRS</v>
          </cell>
          <cell r="F148">
            <v>21006</v>
          </cell>
          <cell r="G148">
            <v>45581</v>
          </cell>
          <cell r="H148">
            <v>46311</v>
          </cell>
          <cell r="I148" t="str">
            <v>Active</v>
          </cell>
          <cell r="J148" t="str">
            <v>Philadelphia</v>
          </cell>
          <cell r="K148" t="str">
            <v>Oct</v>
          </cell>
        </row>
        <row r="149">
          <cell r="B149">
            <v>538</v>
          </cell>
          <cell r="C149" t="str">
            <v>Edie Ritchie</v>
          </cell>
          <cell r="D149" t="str">
            <v>philadelphia</v>
          </cell>
          <cell r="E149" t="str">
            <v>CFRS</v>
          </cell>
          <cell r="F149">
            <v>21273</v>
          </cell>
          <cell r="G149">
            <v>45643</v>
          </cell>
          <cell r="H149">
            <v>46373</v>
          </cell>
          <cell r="I149" t="str">
            <v>Active</v>
          </cell>
          <cell r="J149" t="str">
            <v>Philadelphia</v>
          </cell>
          <cell r="K149" t="str">
            <v>Dec</v>
          </cell>
        </row>
        <row r="150">
          <cell r="B150">
            <v>539</v>
          </cell>
          <cell r="C150" t="str">
            <v>Edmund Gibson</v>
          </cell>
          <cell r="D150" t="str">
            <v>philadelphia</v>
          </cell>
          <cell r="E150" t="str">
            <v>CRS</v>
          </cell>
          <cell r="F150">
            <v>10585</v>
          </cell>
          <cell r="G150">
            <v>43081</v>
          </cell>
          <cell r="H150">
            <v>43811</v>
          </cell>
          <cell r="I150" t="str">
            <v>Expired</v>
          </cell>
          <cell r="J150" t="str">
            <v>Philadelphia</v>
          </cell>
          <cell r="K150" t="str">
            <v>Dec</v>
          </cell>
        </row>
        <row r="151">
          <cell r="B151">
            <v>541</v>
          </cell>
          <cell r="C151" t="str">
            <v>Edward Bull</v>
          </cell>
          <cell r="D151" t="str">
            <v>philadelphia</v>
          </cell>
          <cell r="E151" t="str">
            <v>CRS</v>
          </cell>
          <cell r="F151">
            <v>17301</v>
          </cell>
          <cell r="G151">
            <v>44656</v>
          </cell>
          <cell r="H151">
            <v>45387</v>
          </cell>
          <cell r="I151" t="str">
            <v>Expired</v>
          </cell>
          <cell r="J151" t="str">
            <v>Philadelphia</v>
          </cell>
          <cell r="K151" t="str">
            <v>Apr</v>
          </cell>
        </row>
        <row r="152">
          <cell r="B152">
            <v>544</v>
          </cell>
          <cell r="C152" t="str">
            <v>Edward Kirby</v>
          </cell>
          <cell r="D152" t="str">
            <v>philadelphia</v>
          </cell>
          <cell r="E152" t="str">
            <v>CRS</v>
          </cell>
          <cell r="F152">
            <v>12400</v>
          </cell>
          <cell r="G152">
            <v>43474</v>
          </cell>
          <cell r="H152">
            <v>46396</v>
          </cell>
          <cell r="I152" t="str">
            <v>Active</v>
          </cell>
          <cell r="J152" t="str">
            <v>Philadelphia</v>
          </cell>
          <cell r="K152" t="str">
            <v>Jan</v>
          </cell>
        </row>
        <row r="153">
          <cell r="B153">
            <v>545</v>
          </cell>
          <cell r="C153" t="str">
            <v>Edward Ludwig</v>
          </cell>
          <cell r="D153" t="str">
            <v>philadelphia</v>
          </cell>
          <cell r="E153" t="str">
            <v>CRS</v>
          </cell>
          <cell r="F153">
            <v>17932</v>
          </cell>
          <cell r="G153">
            <v>44840</v>
          </cell>
          <cell r="H153">
            <v>45571</v>
          </cell>
          <cell r="I153" t="str">
            <v>Lapsed</v>
          </cell>
          <cell r="J153" t="str">
            <v>Philadelphia</v>
          </cell>
          <cell r="K153" t="str">
            <v>Oct</v>
          </cell>
        </row>
        <row r="154">
          <cell r="B154">
            <v>549</v>
          </cell>
          <cell r="C154" t="str">
            <v>Edward Quinn</v>
          </cell>
          <cell r="D154" t="str">
            <v>philadelphia</v>
          </cell>
          <cell r="E154" t="str">
            <v>CRS</v>
          </cell>
          <cell r="F154">
            <v>8711</v>
          </cell>
          <cell r="G154">
            <v>41620</v>
          </cell>
          <cell r="H154">
            <v>42350</v>
          </cell>
          <cell r="I154" t="str">
            <v>Expired</v>
          </cell>
          <cell r="J154" t="str">
            <v>Philadelphia</v>
          </cell>
          <cell r="K154" t="str">
            <v>Dec</v>
          </cell>
        </row>
        <row r="155">
          <cell r="B155">
            <v>550</v>
          </cell>
          <cell r="C155" t="str">
            <v>Edward Reyes</v>
          </cell>
          <cell r="D155" t="str">
            <v>philadelphia</v>
          </cell>
          <cell r="E155" t="str">
            <v>CRS</v>
          </cell>
          <cell r="F155">
            <v>9612</v>
          </cell>
          <cell r="G155">
            <v>42513</v>
          </cell>
          <cell r="H155">
            <v>46165</v>
          </cell>
          <cell r="I155" t="str">
            <v>Active</v>
          </cell>
          <cell r="J155" t="str">
            <v>Philadelphia</v>
          </cell>
          <cell r="K155" t="str">
            <v>May</v>
          </cell>
        </row>
        <row r="156">
          <cell r="B156">
            <v>558</v>
          </cell>
          <cell r="C156" t="str">
            <v>Elaine Cooper</v>
          </cell>
          <cell r="D156" t="str">
            <v>philadelphia</v>
          </cell>
          <cell r="E156" t="str">
            <v>CRS</v>
          </cell>
          <cell r="F156">
            <v>9443</v>
          </cell>
          <cell r="G156">
            <v>42346</v>
          </cell>
          <cell r="H156">
            <v>43077</v>
          </cell>
          <cell r="I156" t="str">
            <v>Expired</v>
          </cell>
          <cell r="J156" t="str">
            <v>Philadelphia</v>
          </cell>
          <cell r="K156" t="str">
            <v>Dec</v>
          </cell>
        </row>
        <row r="157">
          <cell r="B157">
            <v>560</v>
          </cell>
          <cell r="C157" t="str">
            <v>Elijah Vasinda</v>
          </cell>
          <cell r="D157" t="str">
            <v>philadelphia</v>
          </cell>
          <cell r="E157" t="str">
            <v>CFRS</v>
          </cell>
          <cell r="F157">
            <v>22055</v>
          </cell>
          <cell r="G157">
            <v>45810</v>
          </cell>
          <cell r="H157">
            <v>46540</v>
          </cell>
          <cell r="I157" t="str">
            <v>Active</v>
          </cell>
          <cell r="J157" t="str">
            <v>Philadelphia</v>
          </cell>
          <cell r="K157" t="str">
            <v>Jun</v>
          </cell>
        </row>
        <row r="158">
          <cell r="B158">
            <v>567</v>
          </cell>
          <cell r="C158" t="str">
            <v>Elizabeth Higgins</v>
          </cell>
          <cell r="D158" t="str">
            <v>philadelphia</v>
          </cell>
          <cell r="E158" t="str">
            <v>CRS</v>
          </cell>
          <cell r="F158">
            <v>17588</v>
          </cell>
          <cell r="G158">
            <v>44740</v>
          </cell>
          <cell r="H158">
            <v>46201</v>
          </cell>
          <cell r="I158" t="str">
            <v>Active</v>
          </cell>
          <cell r="J158" t="str">
            <v>Philadelphia</v>
          </cell>
          <cell r="K158" t="str">
            <v>Jun</v>
          </cell>
        </row>
        <row r="159">
          <cell r="B159">
            <v>570</v>
          </cell>
          <cell r="C159" t="str">
            <v>Elizabeth Morrison</v>
          </cell>
          <cell r="D159" t="str">
            <v>philadelphia</v>
          </cell>
          <cell r="E159" t="str">
            <v>CRS</v>
          </cell>
          <cell r="F159">
            <v>15141</v>
          </cell>
          <cell r="G159">
            <v>43887</v>
          </cell>
          <cell r="H159">
            <v>46079</v>
          </cell>
          <cell r="I159" t="str">
            <v>Active</v>
          </cell>
          <cell r="J159" t="str">
            <v>Philadelphia</v>
          </cell>
          <cell r="K159" t="str">
            <v>Feb</v>
          </cell>
        </row>
        <row r="160">
          <cell r="B160">
            <v>571</v>
          </cell>
          <cell r="C160" t="str">
            <v>Elizabeth Morrison</v>
          </cell>
          <cell r="D160" t="str">
            <v>philadelphia</v>
          </cell>
          <cell r="E160" t="str">
            <v>CRSS</v>
          </cell>
          <cell r="F160">
            <v>15141</v>
          </cell>
          <cell r="G160">
            <v>45670</v>
          </cell>
          <cell r="H160">
            <v>46400</v>
          </cell>
          <cell r="I160" t="str">
            <v>Active</v>
          </cell>
          <cell r="J160" t="str">
            <v>Philadelphia</v>
          </cell>
          <cell r="K160" t="str">
            <v>Jan</v>
          </cell>
        </row>
        <row r="161">
          <cell r="B161">
            <v>577</v>
          </cell>
          <cell r="C161" t="str">
            <v>Emily Avellino</v>
          </cell>
          <cell r="D161" t="str">
            <v>philadelphia</v>
          </cell>
          <cell r="E161" t="str">
            <v>CRS</v>
          </cell>
          <cell r="F161">
            <v>17855</v>
          </cell>
          <cell r="G161">
            <v>44830</v>
          </cell>
          <cell r="H161">
            <v>46291</v>
          </cell>
          <cell r="I161" t="str">
            <v>Active</v>
          </cell>
          <cell r="J161" t="str">
            <v>Philadelphia</v>
          </cell>
          <cell r="K161" t="str">
            <v>Sep</v>
          </cell>
        </row>
        <row r="162">
          <cell r="B162">
            <v>582</v>
          </cell>
          <cell r="C162" t="str">
            <v>Emmalee Smith</v>
          </cell>
          <cell r="D162" t="str">
            <v>philadelphia</v>
          </cell>
          <cell r="E162" t="str">
            <v>CRS</v>
          </cell>
          <cell r="F162">
            <v>11986</v>
          </cell>
          <cell r="G162">
            <v>45629</v>
          </cell>
          <cell r="H162">
            <v>46359</v>
          </cell>
          <cell r="I162" t="str">
            <v>Active</v>
          </cell>
          <cell r="J162" t="str">
            <v>Philadelphia</v>
          </cell>
          <cell r="K162" t="str">
            <v>Dec</v>
          </cell>
        </row>
        <row r="163">
          <cell r="B163">
            <v>583</v>
          </cell>
          <cell r="C163" t="str">
            <v>Emmett Coleman</v>
          </cell>
          <cell r="D163" t="str">
            <v>philadelphia</v>
          </cell>
          <cell r="E163" t="str">
            <v>CRS</v>
          </cell>
          <cell r="F163">
            <v>14801</v>
          </cell>
          <cell r="G163">
            <v>43787</v>
          </cell>
          <cell r="H163">
            <v>45248</v>
          </cell>
          <cell r="I163" t="str">
            <v>Expired</v>
          </cell>
          <cell r="J163" t="str">
            <v>Philadelphia</v>
          </cell>
          <cell r="K163" t="str">
            <v>Nov</v>
          </cell>
        </row>
        <row r="164">
          <cell r="B164">
            <v>586</v>
          </cell>
          <cell r="C164" t="str">
            <v>Eric Emerson</v>
          </cell>
          <cell r="D164" t="str">
            <v>philadelphia</v>
          </cell>
          <cell r="E164" t="str">
            <v>CRS</v>
          </cell>
          <cell r="F164">
            <v>11040</v>
          </cell>
          <cell r="G164">
            <v>43203</v>
          </cell>
          <cell r="H164">
            <v>43934</v>
          </cell>
          <cell r="I164" t="str">
            <v>Expired</v>
          </cell>
          <cell r="J164" t="str">
            <v>Philadelphia</v>
          </cell>
          <cell r="K164" t="str">
            <v>Apr</v>
          </cell>
        </row>
        <row r="165">
          <cell r="B165">
            <v>588</v>
          </cell>
          <cell r="C165" t="str">
            <v>Eric Gibson</v>
          </cell>
          <cell r="D165" t="str">
            <v>philadelphia</v>
          </cell>
          <cell r="E165" t="str">
            <v>CRS</v>
          </cell>
          <cell r="F165">
            <v>17862</v>
          </cell>
          <cell r="G165">
            <v>44831</v>
          </cell>
          <cell r="H165">
            <v>46292</v>
          </cell>
          <cell r="I165" t="str">
            <v>Active</v>
          </cell>
          <cell r="J165" t="str">
            <v>Philadelphia</v>
          </cell>
          <cell r="K165" t="str">
            <v>Sep</v>
          </cell>
        </row>
        <row r="166">
          <cell r="B166">
            <v>589</v>
          </cell>
          <cell r="C166" t="str">
            <v>Eric Gibson</v>
          </cell>
          <cell r="D166" t="str">
            <v>philadelphia</v>
          </cell>
          <cell r="E166" t="str">
            <v>CFRS</v>
          </cell>
          <cell r="F166">
            <v>17862</v>
          </cell>
          <cell r="G166">
            <v>44831</v>
          </cell>
          <cell r="H166">
            <v>45562</v>
          </cell>
          <cell r="I166" t="str">
            <v>Lapsed</v>
          </cell>
          <cell r="J166" t="str">
            <v>Philadelphia</v>
          </cell>
          <cell r="K166" t="str">
            <v>Sep</v>
          </cell>
        </row>
        <row r="167">
          <cell r="B167">
            <v>590</v>
          </cell>
          <cell r="C167" t="str">
            <v>Eric Jackson</v>
          </cell>
          <cell r="D167" t="str">
            <v>philadelphia</v>
          </cell>
          <cell r="E167" t="str">
            <v>CRS</v>
          </cell>
          <cell r="F167">
            <v>10027</v>
          </cell>
          <cell r="G167">
            <v>42766</v>
          </cell>
          <cell r="H167">
            <v>46418</v>
          </cell>
          <cell r="I167" t="str">
            <v>Active</v>
          </cell>
          <cell r="J167" t="str">
            <v>Philadelphia</v>
          </cell>
          <cell r="K167" t="str">
            <v>Jan</v>
          </cell>
        </row>
        <row r="168">
          <cell r="B168">
            <v>603</v>
          </cell>
          <cell r="C168" t="str">
            <v>Eugene Alexander</v>
          </cell>
          <cell r="D168" t="str">
            <v>philadelphia</v>
          </cell>
          <cell r="E168" t="str">
            <v>CRS</v>
          </cell>
          <cell r="F168">
            <v>8446</v>
          </cell>
          <cell r="G168">
            <v>41412</v>
          </cell>
          <cell r="H168">
            <v>42142</v>
          </cell>
          <cell r="I168" t="str">
            <v>Expired</v>
          </cell>
          <cell r="J168" t="str">
            <v>Philadelphia</v>
          </cell>
          <cell r="K168" t="str">
            <v>May</v>
          </cell>
        </row>
        <row r="169">
          <cell r="B169">
            <v>607</v>
          </cell>
          <cell r="C169" t="str">
            <v>Evan Figueroa-Vargas</v>
          </cell>
          <cell r="D169" t="str">
            <v>philadelphia</v>
          </cell>
          <cell r="E169" t="str">
            <v>CRS</v>
          </cell>
          <cell r="F169">
            <v>8196</v>
          </cell>
          <cell r="G169">
            <v>41159</v>
          </cell>
          <cell r="H169">
            <v>44081</v>
          </cell>
          <cell r="I169" t="str">
            <v>Expired</v>
          </cell>
          <cell r="J169" t="str">
            <v>Philadelphia</v>
          </cell>
          <cell r="K169" t="str">
            <v>Sep</v>
          </cell>
        </row>
        <row r="170">
          <cell r="B170">
            <v>611</v>
          </cell>
          <cell r="C170" t="str">
            <v>Evelyn Singleton</v>
          </cell>
          <cell r="D170" t="str">
            <v>philadelphia</v>
          </cell>
          <cell r="E170" t="str">
            <v>CFRS</v>
          </cell>
          <cell r="F170">
            <v>18809</v>
          </cell>
          <cell r="G170">
            <v>45106</v>
          </cell>
          <cell r="H170">
            <v>45837</v>
          </cell>
          <cell r="I170" t="str">
            <v>Active</v>
          </cell>
          <cell r="J170" t="str">
            <v>Philadelphia</v>
          </cell>
          <cell r="K170" t="str">
            <v>Jun</v>
          </cell>
        </row>
        <row r="171">
          <cell r="B171">
            <v>614</v>
          </cell>
          <cell r="C171" t="str">
            <v>Floyd DeVine</v>
          </cell>
          <cell r="D171" t="str">
            <v>philadelphia</v>
          </cell>
          <cell r="E171" t="str">
            <v>CRS</v>
          </cell>
          <cell r="F171">
            <v>14802</v>
          </cell>
          <cell r="G171">
            <v>43787</v>
          </cell>
          <cell r="H171">
            <v>45979</v>
          </cell>
          <cell r="I171" t="str">
            <v>Ethics Violation</v>
          </cell>
          <cell r="J171" t="str">
            <v>Philadelphia</v>
          </cell>
          <cell r="K171" t="str">
            <v>Nov</v>
          </cell>
        </row>
        <row r="172">
          <cell r="B172">
            <v>617</v>
          </cell>
          <cell r="C172" t="str">
            <v>Francine Cross</v>
          </cell>
          <cell r="D172" t="str">
            <v>philadelphia</v>
          </cell>
          <cell r="E172" t="str">
            <v>CRS</v>
          </cell>
          <cell r="F172">
            <v>9166</v>
          </cell>
          <cell r="G172">
            <v>42132</v>
          </cell>
          <cell r="H172">
            <v>46515</v>
          </cell>
          <cell r="I172" t="str">
            <v>Active</v>
          </cell>
          <cell r="J172" t="str">
            <v>Philadelphia</v>
          </cell>
          <cell r="K172" t="str">
            <v>May</v>
          </cell>
        </row>
        <row r="173">
          <cell r="B173">
            <v>623</v>
          </cell>
          <cell r="C173" t="str">
            <v>Frank Taylor</v>
          </cell>
          <cell r="D173" t="str">
            <v>philadelphia</v>
          </cell>
          <cell r="E173" t="str">
            <v>CRS</v>
          </cell>
          <cell r="F173">
            <v>9176</v>
          </cell>
          <cell r="G173">
            <v>42132</v>
          </cell>
          <cell r="H173">
            <v>43593</v>
          </cell>
          <cell r="I173" t="str">
            <v>Expired</v>
          </cell>
          <cell r="J173" t="str">
            <v>Philadelphia</v>
          </cell>
          <cell r="K173" t="str">
            <v>May</v>
          </cell>
        </row>
        <row r="174">
          <cell r="B174">
            <v>626</v>
          </cell>
          <cell r="C174" t="str">
            <v>Fred Scevoli, Jr.</v>
          </cell>
          <cell r="D174" t="str">
            <v>philadelphia</v>
          </cell>
          <cell r="E174" t="str">
            <v>CRS</v>
          </cell>
          <cell r="F174">
            <v>14951</v>
          </cell>
          <cell r="G174">
            <v>43818</v>
          </cell>
          <cell r="H174">
            <v>44549</v>
          </cell>
          <cell r="I174" t="str">
            <v>Expired</v>
          </cell>
          <cell r="J174" t="str">
            <v>Philadelphia</v>
          </cell>
          <cell r="K174" t="str">
            <v>Dec</v>
          </cell>
        </row>
        <row r="175">
          <cell r="B175">
            <v>630</v>
          </cell>
          <cell r="C175" t="str">
            <v>Gabriel Gonzalez</v>
          </cell>
          <cell r="D175" t="str">
            <v>philadelphia</v>
          </cell>
          <cell r="E175" t="str">
            <v>CRS</v>
          </cell>
          <cell r="F175">
            <v>11198</v>
          </cell>
          <cell r="G175">
            <v>43697</v>
          </cell>
          <cell r="H175">
            <v>45889</v>
          </cell>
          <cell r="I175" t="str">
            <v>Active</v>
          </cell>
          <cell r="J175" t="str">
            <v>Philadelphia</v>
          </cell>
          <cell r="K175" t="str">
            <v>Aug</v>
          </cell>
        </row>
        <row r="176">
          <cell r="B176">
            <v>633</v>
          </cell>
          <cell r="C176" t="str">
            <v>Galveston Morris</v>
          </cell>
          <cell r="D176" t="str">
            <v>philadelphia</v>
          </cell>
          <cell r="E176" t="str">
            <v>CRS</v>
          </cell>
          <cell r="F176">
            <v>9026</v>
          </cell>
          <cell r="G176">
            <v>41905</v>
          </cell>
          <cell r="H176">
            <v>42636</v>
          </cell>
          <cell r="I176" t="str">
            <v>Expired</v>
          </cell>
          <cell r="J176" t="str">
            <v>Philadelphia</v>
          </cell>
          <cell r="K176" t="str">
            <v>Sep</v>
          </cell>
        </row>
        <row r="177">
          <cell r="B177">
            <v>636</v>
          </cell>
          <cell r="C177" t="str">
            <v>Gary Gioioso</v>
          </cell>
          <cell r="D177" t="str">
            <v>philadelphia</v>
          </cell>
          <cell r="E177" t="str">
            <v>CRS</v>
          </cell>
          <cell r="F177">
            <v>19467</v>
          </cell>
          <cell r="G177">
            <v>45257</v>
          </cell>
          <cell r="H177">
            <v>45988</v>
          </cell>
          <cell r="I177" t="str">
            <v>Active</v>
          </cell>
          <cell r="J177" t="str">
            <v>Philadelphia</v>
          </cell>
          <cell r="K177" t="str">
            <v>Nov</v>
          </cell>
        </row>
        <row r="178">
          <cell r="B178">
            <v>645</v>
          </cell>
          <cell r="C178" t="str">
            <v>George Yaeger</v>
          </cell>
          <cell r="D178" t="str">
            <v>philadelphia</v>
          </cell>
          <cell r="E178" t="str">
            <v>CRS</v>
          </cell>
          <cell r="F178">
            <v>12561</v>
          </cell>
          <cell r="G178">
            <v>43474</v>
          </cell>
          <cell r="H178">
            <v>44935</v>
          </cell>
          <cell r="I178" t="str">
            <v>Expired</v>
          </cell>
          <cell r="J178" t="str">
            <v>Philadelphia</v>
          </cell>
          <cell r="K178" t="str">
            <v>Jan</v>
          </cell>
        </row>
        <row r="179">
          <cell r="B179">
            <v>648</v>
          </cell>
          <cell r="C179" t="str">
            <v>Geraldine Avery</v>
          </cell>
          <cell r="D179" t="str">
            <v>philadelphia</v>
          </cell>
          <cell r="E179" t="str">
            <v>CRS</v>
          </cell>
          <cell r="F179">
            <v>8679</v>
          </cell>
          <cell r="G179">
            <v>41603</v>
          </cell>
          <cell r="H179">
            <v>42333</v>
          </cell>
          <cell r="I179" t="str">
            <v>Expired</v>
          </cell>
          <cell r="J179" t="str">
            <v>Philadelphia</v>
          </cell>
          <cell r="K179" t="str">
            <v>Nov</v>
          </cell>
        </row>
        <row r="180">
          <cell r="B180">
            <v>651</v>
          </cell>
          <cell r="C180" t="str">
            <v>Germaine Headen-Gould</v>
          </cell>
          <cell r="D180" t="str">
            <v>philadelphia</v>
          </cell>
          <cell r="E180" t="str">
            <v>CRS</v>
          </cell>
          <cell r="F180">
            <v>7218</v>
          </cell>
          <cell r="G180">
            <v>43697</v>
          </cell>
          <cell r="H180">
            <v>46619</v>
          </cell>
          <cell r="I180" t="str">
            <v>Active</v>
          </cell>
          <cell r="J180" t="str">
            <v>Philadelphia</v>
          </cell>
          <cell r="K180" t="str">
            <v>Aug</v>
          </cell>
        </row>
        <row r="181">
          <cell r="B181">
            <v>659</v>
          </cell>
          <cell r="C181" t="str">
            <v>Gino Grosso</v>
          </cell>
          <cell r="D181" t="str">
            <v>philadelphia</v>
          </cell>
          <cell r="E181" t="str">
            <v>CRS</v>
          </cell>
          <cell r="F181">
            <v>10254</v>
          </cell>
          <cell r="G181">
            <v>42908</v>
          </cell>
          <cell r="H181">
            <v>43638</v>
          </cell>
          <cell r="I181" t="str">
            <v>Expired</v>
          </cell>
          <cell r="J181" t="str">
            <v>Philadelphia</v>
          </cell>
          <cell r="K181" t="str">
            <v>Jun</v>
          </cell>
        </row>
        <row r="182">
          <cell r="B182">
            <v>660</v>
          </cell>
          <cell r="C182" t="str">
            <v>Girard Robertson</v>
          </cell>
          <cell r="D182" t="str">
            <v>philadelphia</v>
          </cell>
          <cell r="E182" t="str">
            <v>CRS</v>
          </cell>
          <cell r="F182">
            <v>18015</v>
          </cell>
          <cell r="G182">
            <v>44875</v>
          </cell>
          <cell r="H182">
            <v>46336</v>
          </cell>
          <cell r="I182" t="str">
            <v>Active</v>
          </cell>
          <cell r="J182" t="str">
            <v>Philadelphia</v>
          </cell>
          <cell r="K182" t="str">
            <v>Nov</v>
          </cell>
        </row>
        <row r="183">
          <cell r="B183">
            <v>664</v>
          </cell>
          <cell r="C183" t="str">
            <v>Glenn Gordon</v>
          </cell>
          <cell r="D183" t="str">
            <v>philadelphia</v>
          </cell>
          <cell r="E183" t="str">
            <v>CRS</v>
          </cell>
          <cell r="F183">
            <v>22092</v>
          </cell>
          <cell r="G183">
            <v>45813</v>
          </cell>
          <cell r="H183">
            <v>46543</v>
          </cell>
          <cell r="I183" t="str">
            <v>Active</v>
          </cell>
          <cell r="J183" t="str">
            <v>Philadelphia</v>
          </cell>
          <cell r="K183" t="str">
            <v>Jun</v>
          </cell>
        </row>
        <row r="184">
          <cell r="B184">
            <v>665</v>
          </cell>
          <cell r="C184" t="str">
            <v>Glenn Marley</v>
          </cell>
          <cell r="D184" t="str">
            <v>philadelphia</v>
          </cell>
          <cell r="E184" t="str">
            <v>CRS</v>
          </cell>
          <cell r="F184">
            <v>19186</v>
          </cell>
          <cell r="G184">
            <v>45191</v>
          </cell>
          <cell r="H184">
            <v>45922</v>
          </cell>
          <cell r="I184" t="str">
            <v>Active</v>
          </cell>
          <cell r="J184" t="str">
            <v>Philadelphia</v>
          </cell>
          <cell r="K184" t="str">
            <v>Sep</v>
          </cell>
        </row>
        <row r="185">
          <cell r="B185">
            <v>667</v>
          </cell>
          <cell r="C185" t="str">
            <v>Glenn Wilson</v>
          </cell>
          <cell r="D185" t="str">
            <v>philadelphia</v>
          </cell>
          <cell r="E185" t="str">
            <v>CRS</v>
          </cell>
          <cell r="F185">
            <v>18565</v>
          </cell>
          <cell r="G185">
            <v>45048</v>
          </cell>
          <cell r="H185">
            <v>45779</v>
          </cell>
          <cell r="I185" t="str">
            <v>Lapsed</v>
          </cell>
          <cell r="J185" t="str">
            <v>Philadelphia</v>
          </cell>
          <cell r="K185" t="str">
            <v>May</v>
          </cell>
        </row>
        <row r="186">
          <cell r="B186">
            <v>671</v>
          </cell>
          <cell r="C186" t="str">
            <v>Gregory Broughton, Jr.</v>
          </cell>
          <cell r="D186" t="str">
            <v>philadelphia</v>
          </cell>
          <cell r="E186" t="str">
            <v>CRS</v>
          </cell>
          <cell r="F186">
            <v>13017</v>
          </cell>
          <cell r="G186">
            <v>43599</v>
          </cell>
          <cell r="H186">
            <v>44330</v>
          </cell>
          <cell r="I186" t="str">
            <v>Expired</v>
          </cell>
          <cell r="J186" t="str">
            <v>Philadelphia</v>
          </cell>
          <cell r="K186" t="str">
            <v>May</v>
          </cell>
        </row>
        <row r="187">
          <cell r="B187">
            <v>672</v>
          </cell>
          <cell r="C187" t="str">
            <v>Gregory Collazo</v>
          </cell>
          <cell r="D187" t="str">
            <v>philadelphia</v>
          </cell>
          <cell r="E187" t="str">
            <v>CRS</v>
          </cell>
          <cell r="F187">
            <v>22091</v>
          </cell>
          <cell r="G187">
            <v>45813</v>
          </cell>
          <cell r="H187">
            <v>46543</v>
          </cell>
          <cell r="I187" t="str">
            <v>Active</v>
          </cell>
          <cell r="J187" t="str">
            <v>Philadelphia</v>
          </cell>
          <cell r="K187" t="str">
            <v>Jun</v>
          </cell>
        </row>
        <row r="188">
          <cell r="B188">
            <v>673</v>
          </cell>
          <cell r="C188" t="str">
            <v>Gregory Pettway</v>
          </cell>
          <cell r="D188" t="str">
            <v>philadelphia</v>
          </cell>
          <cell r="E188" t="str">
            <v>CRS</v>
          </cell>
          <cell r="F188">
            <v>9563</v>
          </cell>
          <cell r="G188">
            <v>42466</v>
          </cell>
          <cell r="H188">
            <v>43196</v>
          </cell>
          <cell r="I188" t="str">
            <v>Expired</v>
          </cell>
          <cell r="J188" t="str">
            <v>Philadelphia</v>
          </cell>
          <cell r="K188" t="str">
            <v>Apr</v>
          </cell>
        </row>
        <row r="189">
          <cell r="B189">
            <v>677</v>
          </cell>
          <cell r="C189" t="str">
            <v>Guillermo Martinez</v>
          </cell>
          <cell r="D189" t="str">
            <v>philadelphia</v>
          </cell>
          <cell r="E189" t="str">
            <v>CRS</v>
          </cell>
          <cell r="F189">
            <v>8328</v>
          </cell>
          <cell r="G189">
            <v>41325</v>
          </cell>
          <cell r="H189">
            <v>42786</v>
          </cell>
          <cell r="I189" t="str">
            <v>Expired</v>
          </cell>
          <cell r="J189" t="str">
            <v>Philadelphia</v>
          </cell>
          <cell r="K189" t="str">
            <v>Feb</v>
          </cell>
        </row>
        <row r="190">
          <cell r="B190">
            <v>678</v>
          </cell>
          <cell r="C190" t="str">
            <v>Guy Bruhl</v>
          </cell>
          <cell r="D190" t="str">
            <v>philadelphia</v>
          </cell>
          <cell r="E190" t="str">
            <v>CRS</v>
          </cell>
          <cell r="F190">
            <v>15338</v>
          </cell>
          <cell r="G190">
            <v>44041</v>
          </cell>
          <cell r="H190">
            <v>45502</v>
          </cell>
          <cell r="I190" t="str">
            <v>Lapsed</v>
          </cell>
          <cell r="J190" t="str">
            <v>Philadelphia</v>
          </cell>
          <cell r="K190" t="str">
            <v>Jul</v>
          </cell>
        </row>
        <row r="191">
          <cell r="B191">
            <v>680</v>
          </cell>
          <cell r="C191" t="str">
            <v>Gwendolyn Eckert</v>
          </cell>
          <cell r="D191" t="str">
            <v>philadelphia</v>
          </cell>
          <cell r="E191" t="str">
            <v>CRS</v>
          </cell>
          <cell r="F191">
            <v>18062</v>
          </cell>
          <cell r="G191">
            <v>44890</v>
          </cell>
          <cell r="H191">
            <v>46351</v>
          </cell>
          <cell r="I191" t="str">
            <v>Active</v>
          </cell>
          <cell r="J191" t="str">
            <v>Philadelphia</v>
          </cell>
          <cell r="K191" t="str">
            <v>Nov</v>
          </cell>
        </row>
        <row r="192">
          <cell r="B192">
            <v>681</v>
          </cell>
          <cell r="C192" t="str">
            <v>Gwendolyn Fogle-Hodges</v>
          </cell>
          <cell r="D192" t="str">
            <v>philadelphia</v>
          </cell>
          <cell r="E192" t="str">
            <v>CRS</v>
          </cell>
          <cell r="F192">
            <v>8450</v>
          </cell>
          <cell r="G192">
            <v>41412</v>
          </cell>
          <cell r="H192">
            <v>42142</v>
          </cell>
          <cell r="I192" t="str">
            <v>Expired</v>
          </cell>
          <cell r="J192" t="str">
            <v>Philadelphia</v>
          </cell>
          <cell r="K192" t="str">
            <v>May</v>
          </cell>
        </row>
        <row r="193">
          <cell r="B193">
            <v>687</v>
          </cell>
          <cell r="C193" t="str">
            <v>Harlando Matthews</v>
          </cell>
          <cell r="D193" t="str">
            <v>philadelphia</v>
          </cell>
          <cell r="E193" t="str">
            <v>CRS</v>
          </cell>
          <cell r="F193">
            <v>18347</v>
          </cell>
          <cell r="G193">
            <v>44974</v>
          </cell>
          <cell r="H193">
            <v>46435</v>
          </cell>
          <cell r="I193" t="str">
            <v>Active</v>
          </cell>
          <cell r="J193" t="str">
            <v>Philadelphia</v>
          </cell>
          <cell r="K193" t="str">
            <v>Feb</v>
          </cell>
        </row>
        <row r="194">
          <cell r="B194">
            <v>694</v>
          </cell>
          <cell r="C194" t="str">
            <v>Heather Jacobs</v>
          </cell>
          <cell r="D194" t="str">
            <v>philadelphia</v>
          </cell>
          <cell r="E194" t="str">
            <v>CRS</v>
          </cell>
          <cell r="F194">
            <v>21574</v>
          </cell>
          <cell r="G194">
            <v>45707</v>
          </cell>
          <cell r="H194">
            <v>46437</v>
          </cell>
          <cell r="I194" t="str">
            <v>Active</v>
          </cell>
          <cell r="J194" t="str">
            <v>Philadelphia</v>
          </cell>
          <cell r="K194" t="str">
            <v>Feb</v>
          </cell>
        </row>
        <row r="195">
          <cell r="B195">
            <v>696</v>
          </cell>
          <cell r="C195" t="str">
            <v>Heleena Savage</v>
          </cell>
          <cell r="D195" t="str">
            <v>philadelphia</v>
          </cell>
          <cell r="E195" t="str">
            <v>CRS</v>
          </cell>
          <cell r="F195">
            <v>18308</v>
          </cell>
          <cell r="G195">
            <v>44971</v>
          </cell>
          <cell r="H195">
            <v>45702</v>
          </cell>
          <cell r="I195" t="str">
            <v>Lapsed</v>
          </cell>
          <cell r="J195" t="str">
            <v>Philadelphia</v>
          </cell>
          <cell r="K195" t="str">
            <v>Feb</v>
          </cell>
        </row>
        <row r="196">
          <cell r="B196">
            <v>699</v>
          </cell>
          <cell r="C196" t="str">
            <v>Henry Owens, Jr.</v>
          </cell>
          <cell r="D196" t="str">
            <v>philadelphia</v>
          </cell>
          <cell r="E196" t="str">
            <v>CRS</v>
          </cell>
          <cell r="F196">
            <v>16531</v>
          </cell>
          <cell r="G196">
            <v>44372</v>
          </cell>
          <cell r="H196">
            <v>45102</v>
          </cell>
          <cell r="I196" t="str">
            <v>Expired</v>
          </cell>
          <cell r="J196" t="str">
            <v>Philadelphia</v>
          </cell>
          <cell r="K196" t="str">
            <v>Jun</v>
          </cell>
        </row>
        <row r="197">
          <cell r="B197">
            <v>700</v>
          </cell>
          <cell r="C197" t="str">
            <v>Herman Scott</v>
          </cell>
          <cell r="D197" t="str">
            <v>philadelphia</v>
          </cell>
          <cell r="E197" t="str">
            <v>CRS</v>
          </cell>
          <cell r="F197">
            <v>8073</v>
          </cell>
          <cell r="G197">
            <v>41002</v>
          </cell>
          <cell r="H197">
            <v>41732</v>
          </cell>
          <cell r="I197" t="str">
            <v>Expired</v>
          </cell>
          <cell r="J197" t="str">
            <v>Philadelphia</v>
          </cell>
          <cell r="K197" t="str">
            <v>Apr</v>
          </cell>
        </row>
        <row r="198">
          <cell r="B198">
            <v>701</v>
          </cell>
          <cell r="C198" t="str">
            <v>Hewitt Coward</v>
          </cell>
          <cell r="D198" t="str">
            <v>philadelphia</v>
          </cell>
          <cell r="E198" t="str">
            <v>CRS</v>
          </cell>
          <cell r="F198">
            <v>8326</v>
          </cell>
          <cell r="G198">
            <v>41325</v>
          </cell>
          <cell r="H198">
            <v>43516</v>
          </cell>
          <cell r="I198" t="str">
            <v>Expired</v>
          </cell>
          <cell r="J198" t="str">
            <v>Philadelphia</v>
          </cell>
          <cell r="K198" t="str">
            <v>Feb</v>
          </cell>
        </row>
        <row r="199">
          <cell r="B199">
            <v>707</v>
          </cell>
          <cell r="C199" t="str">
            <v>Humble Reid</v>
          </cell>
          <cell r="D199" t="str">
            <v>philadelphia</v>
          </cell>
          <cell r="E199" t="str">
            <v>CRS</v>
          </cell>
          <cell r="F199">
            <v>19962</v>
          </cell>
          <cell r="G199">
            <v>45801</v>
          </cell>
          <cell r="H199">
            <v>46531</v>
          </cell>
          <cell r="I199" t="str">
            <v>Active</v>
          </cell>
          <cell r="J199" t="str">
            <v>Philadelphia</v>
          </cell>
          <cell r="K199" t="str">
            <v>May</v>
          </cell>
        </row>
        <row r="200">
          <cell r="B200">
            <v>711</v>
          </cell>
          <cell r="C200" t="str">
            <v>Ian McCoy</v>
          </cell>
          <cell r="D200" t="str">
            <v>philadelphia</v>
          </cell>
          <cell r="E200" t="str">
            <v>CRS</v>
          </cell>
          <cell r="F200">
            <v>12692</v>
          </cell>
          <cell r="G200">
            <v>43474</v>
          </cell>
          <cell r="H200">
            <v>44205</v>
          </cell>
          <cell r="I200" t="str">
            <v>Expired</v>
          </cell>
          <cell r="J200" t="str">
            <v>Philadelphia</v>
          </cell>
          <cell r="K200" t="str">
            <v>Jan</v>
          </cell>
        </row>
        <row r="201">
          <cell r="B201">
            <v>716</v>
          </cell>
          <cell r="C201" t="str">
            <v>Inez Williams</v>
          </cell>
          <cell r="D201" t="str">
            <v>philadelphia</v>
          </cell>
          <cell r="E201" t="str">
            <v>CRS</v>
          </cell>
          <cell r="F201">
            <v>8461</v>
          </cell>
          <cell r="G201">
            <v>41412</v>
          </cell>
          <cell r="H201">
            <v>42142</v>
          </cell>
          <cell r="I201" t="str">
            <v>Expired</v>
          </cell>
          <cell r="J201" t="str">
            <v>Philadelphia</v>
          </cell>
          <cell r="K201" t="str">
            <v>May</v>
          </cell>
        </row>
        <row r="202">
          <cell r="B202">
            <v>719</v>
          </cell>
          <cell r="C202" t="str">
            <v>Isa Allende-Averette</v>
          </cell>
          <cell r="D202" t="str">
            <v>philadelphia</v>
          </cell>
          <cell r="E202" t="str">
            <v>CFRS</v>
          </cell>
          <cell r="F202">
            <v>21636</v>
          </cell>
          <cell r="G202">
            <v>45719</v>
          </cell>
          <cell r="H202">
            <v>46449</v>
          </cell>
          <cell r="I202" t="str">
            <v>Active</v>
          </cell>
          <cell r="J202" t="str">
            <v>Philadelphia</v>
          </cell>
          <cell r="K202" t="str">
            <v>Mar</v>
          </cell>
        </row>
        <row r="203">
          <cell r="B203">
            <v>722</v>
          </cell>
          <cell r="C203" t="str">
            <v>Ivan Rosa</v>
          </cell>
          <cell r="D203" t="str">
            <v>philadelphia</v>
          </cell>
          <cell r="E203" t="str">
            <v>CRS</v>
          </cell>
          <cell r="F203">
            <v>12421</v>
          </cell>
          <cell r="G203">
            <v>44280</v>
          </cell>
          <cell r="H203">
            <v>46318</v>
          </cell>
          <cell r="I203" t="str">
            <v>Active</v>
          </cell>
          <cell r="J203" t="str">
            <v>Philadelphia</v>
          </cell>
          <cell r="K203" t="str">
            <v>Mar</v>
          </cell>
        </row>
        <row r="204">
          <cell r="B204">
            <v>724</v>
          </cell>
          <cell r="C204" t="str">
            <v>Jacinthe Ndanu</v>
          </cell>
          <cell r="D204" t="str">
            <v>philadelphia</v>
          </cell>
          <cell r="E204" t="str">
            <v>CRS</v>
          </cell>
          <cell r="F204">
            <v>8561</v>
          </cell>
          <cell r="G204">
            <v>41485</v>
          </cell>
          <cell r="H204">
            <v>42215</v>
          </cell>
          <cell r="I204" t="str">
            <v>Expired</v>
          </cell>
          <cell r="J204" t="str">
            <v>Philadelphia</v>
          </cell>
          <cell r="K204" t="str">
            <v>Jul</v>
          </cell>
        </row>
        <row r="205">
          <cell r="B205">
            <v>725</v>
          </cell>
          <cell r="C205" t="str">
            <v>Jack Land</v>
          </cell>
          <cell r="D205" t="str">
            <v>philadelphia</v>
          </cell>
          <cell r="E205" t="str">
            <v>CRS</v>
          </cell>
          <cell r="F205">
            <v>9445</v>
          </cell>
          <cell r="G205">
            <v>42346</v>
          </cell>
          <cell r="H205">
            <v>45999</v>
          </cell>
          <cell r="I205" t="str">
            <v>Active</v>
          </cell>
          <cell r="J205" t="str">
            <v>Philadelphia</v>
          </cell>
          <cell r="K205" t="str">
            <v>Dec</v>
          </cell>
        </row>
        <row r="206">
          <cell r="B206">
            <v>728</v>
          </cell>
          <cell r="C206" t="str">
            <v>Jaclyn Ferrer</v>
          </cell>
          <cell r="D206" t="str">
            <v>philadelphia</v>
          </cell>
          <cell r="E206" t="str">
            <v>CRS</v>
          </cell>
          <cell r="F206">
            <v>8330</v>
          </cell>
          <cell r="G206">
            <v>41325</v>
          </cell>
          <cell r="H206">
            <v>42055</v>
          </cell>
          <cell r="I206" t="str">
            <v>Expired</v>
          </cell>
          <cell r="J206" t="str">
            <v>Philadelphia</v>
          </cell>
          <cell r="K206" t="str">
            <v>Feb</v>
          </cell>
        </row>
        <row r="207">
          <cell r="B207">
            <v>738</v>
          </cell>
          <cell r="C207" t="str">
            <v>Jacqueline Holloway</v>
          </cell>
          <cell r="D207" t="str">
            <v>philadelphia</v>
          </cell>
          <cell r="E207" t="str">
            <v>CRS</v>
          </cell>
          <cell r="F207">
            <v>11414</v>
          </cell>
          <cell r="G207">
            <v>43237</v>
          </cell>
          <cell r="H207">
            <v>43968</v>
          </cell>
          <cell r="I207" t="str">
            <v>Expired</v>
          </cell>
          <cell r="J207" t="str">
            <v>Philadelphia</v>
          </cell>
          <cell r="K207" t="str">
            <v>May</v>
          </cell>
        </row>
        <row r="208">
          <cell r="B208">
            <v>742</v>
          </cell>
          <cell r="C208" t="str">
            <v>Jaime Lane</v>
          </cell>
          <cell r="D208" t="str">
            <v>philadelphia</v>
          </cell>
          <cell r="E208" t="str">
            <v>CRS</v>
          </cell>
          <cell r="F208">
            <v>10003</v>
          </cell>
          <cell r="G208">
            <v>42753</v>
          </cell>
          <cell r="H208">
            <v>43483</v>
          </cell>
          <cell r="I208" t="str">
            <v>Expired</v>
          </cell>
          <cell r="J208" t="str">
            <v>Philadelphia</v>
          </cell>
          <cell r="K208" t="str">
            <v>Jan</v>
          </cell>
        </row>
        <row r="209">
          <cell r="B209">
            <v>743</v>
          </cell>
          <cell r="C209" t="str">
            <v>Jaime Lane</v>
          </cell>
          <cell r="D209" t="str">
            <v>philadelphia</v>
          </cell>
          <cell r="E209" t="str">
            <v>CFRS</v>
          </cell>
          <cell r="F209">
            <v>10003</v>
          </cell>
          <cell r="G209">
            <v>45708</v>
          </cell>
          <cell r="H209">
            <v>46438</v>
          </cell>
          <cell r="I209" t="str">
            <v>Active</v>
          </cell>
          <cell r="J209" t="str">
            <v>Philadelphia</v>
          </cell>
          <cell r="K209" t="str">
            <v>Feb</v>
          </cell>
        </row>
        <row r="210">
          <cell r="B210">
            <v>744</v>
          </cell>
          <cell r="C210" t="str">
            <v>Jaime Morris</v>
          </cell>
          <cell r="D210" t="str">
            <v>philadelphia</v>
          </cell>
          <cell r="E210" t="str">
            <v>CRS</v>
          </cell>
          <cell r="F210">
            <v>8453</v>
          </cell>
          <cell r="G210">
            <v>43271</v>
          </cell>
          <cell r="H210">
            <v>46193</v>
          </cell>
          <cell r="I210" t="str">
            <v>Active</v>
          </cell>
          <cell r="J210" t="str">
            <v>Philadelphia</v>
          </cell>
          <cell r="K210" t="str">
            <v>Jun</v>
          </cell>
        </row>
        <row r="211">
          <cell r="B211">
            <v>745</v>
          </cell>
          <cell r="C211" t="str">
            <v>James  VanGerve</v>
          </cell>
          <cell r="D211" t="str">
            <v>philadelphia</v>
          </cell>
          <cell r="E211" t="str">
            <v>CRS</v>
          </cell>
          <cell r="F211">
            <v>17379</v>
          </cell>
          <cell r="G211">
            <v>44672</v>
          </cell>
          <cell r="H211">
            <v>45403</v>
          </cell>
          <cell r="I211" t="str">
            <v>Expired</v>
          </cell>
          <cell r="J211" t="str">
            <v>Philadelphia</v>
          </cell>
          <cell r="K211" t="str">
            <v>Apr</v>
          </cell>
        </row>
        <row r="212">
          <cell r="B212">
            <v>746</v>
          </cell>
          <cell r="C212" t="str">
            <v>James Barry</v>
          </cell>
          <cell r="D212" t="str">
            <v>philadelphia</v>
          </cell>
          <cell r="E212" t="str">
            <v>CRS</v>
          </cell>
          <cell r="F212">
            <v>16313</v>
          </cell>
          <cell r="G212">
            <v>44359</v>
          </cell>
          <cell r="H212">
            <v>45820</v>
          </cell>
          <cell r="I212" t="str">
            <v>Lapsed</v>
          </cell>
          <cell r="J212" t="str">
            <v>Philadelphia</v>
          </cell>
          <cell r="K212" t="str">
            <v>Jun</v>
          </cell>
        </row>
        <row r="213">
          <cell r="B213">
            <v>747</v>
          </cell>
          <cell r="C213" t="str">
            <v>James Barry</v>
          </cell>
          <cell r="D213" t="str">
            <v>philadelphia</v>
          </cell>
          <cell r="E213" t="str">
            <v>CFRS</v>
          </cell>
          <cell r="F213">
            <v>16313</v>
          </cell>
          <cell r="G213">
            <v>44353</v>
          </cell>
          <cell r="H213">
            <v>45814</v>
          </cell>
          <cell r="I213" t="str">
            <v>Lapsed</v>
          </cell>
          <cell r="J213" t="str">
            <v>Philadelphia</v>
          </cell>
          <cell r="K213" t="str">
            <v>Jun</v>
          </cell>
        </row>
        <row r="214">
          <cell r="B214">
            <v>748</v>
          </cell>
          <cell r="C214" t="str">
            <v>James Bollinger</v>
          </cell>
          <cell r="D214" t="str">
            <v>philadelphia</v>
          </cell>
          <cell r="E214" t="str">
            <v>CRS</v>
          </cell>
          <cell r="F214">
            <v>17526</v>
          </cell>
          <cell r="G214">
            <v>44717</v>
          </cell>
          <cell r="H214">
            <v>46178</v>
          </cell>
          <cell r="I214" t="str">
            <v>Active</v>
          </cell>
          <cell r="J214" t="str">
            <v>Philadelphia</v>
          </cell>
          <cell r="K214" t="str">
            <v>Jun</v>
          </cell>
        </row>
        <row r="215">
          <cell r="B215">
            <v>749</v>
          </cell>
          <cell r="C215" t="str">
            <v>James Bollinger</v>
          </cell>
          <cell r="D215" t="str">
            <v>philadelphia</v>
          </cell>
          <cell r="E215" t="str">
            <v>CFRS</v>
          </cell>
          <cell r="F215">
            <v>17526</v>
          </cell>
          <cell r="G215">
            <v>44960</v>
          </cell>
          <cell r="H215">
            <v>46421</v>
          </cell>
          <cell r="I215" t="str">
            <v>Active</v>
          </cell>
          <cell r="J215" t="str">
            <v>Philadelphia</v>
          </cell>
          <cell r="K215" t="str">
            <v>Feb</v>
          </cell>
        </row>
        <row r="216">
          <cell r="B216">
            <v>755</v>
          </cell>
          <cell r="C216" t="str">
            <v>James Horn, III</v>
          </cell>
          <cell r="D216" t="str">
            <v>philadelphia</v>
          </cell>
          <cell r="E216" t="str">
            <v>CRS</v>
          </cell>
          <cell r="F216">
            <v>13073</v>
          </cell>
          <cell r="G216">
            <v>43546</v>
          </cell>
          <cell r="H216">
            <v>44277</v>
          </cell>
          <cell r="I216" t="str">
            <v>Expired</v>
          </cell>
          <cell r="J216" t="str">
            <v>Philadelphia</v>
          </cell>
          <cell r="K216" t="str">
            <v>Mar</v>
          </cell>
        </row>
        <row r="217">
          <cell r="B217">
            <v>756</v>
          </cell>
          <cell r="C217" t="str">
            <v>James Hubert</v>
          </cell>
          <cell r="D217" t="str">
            <v>philadelphia</v>
          </cell>
          <cell r="E217" t="str">
            <v>CRS</v>
          </cell>
          <cell r="F217">
            <v>11346</v>
          </cell>
          <cell r="G217">
            <v>43227</v>
          </cell>
          <cell r="H217">
            <v>43958</v>
          </cell>
          <cell r="I217" t="str">
            <v>Expired</v>
          </cell>
          <cell r="J217" t="str">
            <v>Philadelphia</v>
          </cell>
          <cell r="K217" t="str">
            <v>May</v>
          </cell>
        </row>
        <row r="218">
          <cell r="B218">
            <v>758</v>
          </cell>
          <cell r="C218" t="str">
            <v>James Johnson</v>
          </cell>
          <cell r="D218" t="str">
            <v>philadelphia</v>
          </cell>
          <cell r="E218" t="str">
            <v>CRS</v>
          </cell>
          <cell r="F218">
            <v>8556</v>
          </cell>
          <cell r="G218">
            <v>41485</v>
          </cell>
          <cell r="H218">
            <v>42215</v>
          </cell>
          <cell r="I218" t="str">
            <v>Expired</v>
          </cell>
          <cell r="J218" t="str">
            <v>Philadelphia</v>
          </cell>
          <cell r="K218" t="str">
            <v>Jul</v>
          </cell>
        </row>
        <row r="219">
          <cell r="B219">
            <v>765</v>
          </cell>
          <cell r="C219" t="str">
            <v>James Mallett</v>
          </cell>
          <cell r="D219" t="str">
            <v>philadelphia</v>
          </cell>
          <cell r="E219" t="str">
            <v>CRS</v>
          </cell>
          <cell r="F219">
            <v>20336</v>
          </cell>
          <cell r="G219">
            <v>45436</v>
          </cell>
          <cell r="H219">
            <v>46166</v>
          </cell>
          <cell r="I219" t="str">
            <v>Active</v>
          </cell>
          <cell r="J219" t="str">
            <v>Philadelphia</v>
          </cell>
          <cell r="K219" t="str">
            <v>May</v>
          </cell>
        </row>
        <row r="220">
          <cell r="B220">
            <v>767</v>
          </cell>
          <cell r="C220" t="str">
            <v>James Pfizenmayer</v>
          </cell>
          <cell r="D220" t="str">
            <v>philadelphia</v>
          </cell>
          <cell r="E220" t="str">
            <v>CRS</v>
          </cell>
          <cell r="F220">
            <v>14805</v>
          </cell>
          <cell r="G220">
            <v>43787</v>
          </cell>
          <cell r="H220">
            <v>44518</v>
          </cell>
          <cell r="I220" t="str">
            <v>Expired</v>
          </cell>
          <cell r="J220" t="str">
            <v>Philadelphia</v>
          </cell>
          <cell r="K220" t="str">
            <v>Nov</v>
          </cell>
        </row>
        <row r="221">
          <cell r="B221">
            <v>769</v>
          </cell>
          <cell r="C221" t="str">
            <v>James Seldon</v>
          </cell>
          <cell r="D221" t="str">
            <v>philadelphia</v>
          </cell>
          <cell r="E221" t="str">
            <v>CRS</v>
          </cell>
          <cell r="F221">
            <v>8044</v>
          </cell>
          <cell r="G221">
            <v>40977</v>
          </cell>
          <cell r="H221">
            <v>45360</v>
          </cell>
          <cell r="I221" t="str">
            <v>Expired</v>
          </cell>
          <cell r="J221" t="str">
            <v>Philadelphia</v>
          </cell>
          <cell r="K221" t="str">
            <v>Mar</v>
          </cell>
        </row>
        <row r="222">
          <cell r="B222">
            <v>771</v>
          </cell>
          <cell r="C222" t="str">
            <v>James Sherman</v>
          </cell>
          <cell r="D222" t="str">
            <v>philadelphia</v>
          </cell>
          <cell r="E222" t="str">
            <v>CRS</v>
          </cell>
          <cell r="F222">
            <v>19871</v>
          </cell>
          <cell r="G222">
            <v>45336</v>
          </cell>
          <cell r="H222">
            <v>46067</v>
          </cell>
          <cell r="I222" t="str">
            <v>Active</v>
          </cell>
          <cell r="J222" t="str">
            <v>Philadelphia</v>
          </cell>
          <cell r="K222" t="str">
            <v>Feb</v>
          </cell>
        </row>
        <row r="223">
          <cell r="B223">
            <v>773</v>
          </cell>
          <cell r="C223" t="str">
            <v>James Somerville</v>
          </cell>
          <cell r="D223" t="str">
            <v>philadelphia</v>
          </cell>
          <cell r="E223" t="str">
            <v>CRS</v>
          </cell>
          <cell r="F223">
            <v>18286</v>
          </cell>
          <cell r="G223">
            <v>44963</v>
          </cell>
          <cell r="H223">
            <v>46424</v>
          </cell>
          <cell r="I223" t="str">
            <v>Active</v>
          </cell>
          <cell r="J223" t="str">
            <v>Philadelphia</v>
          </cell>
          <cell r="K223" t="str">
            <v>Feb</v>
          </cell>
        </row>
        <row r="224">
          <cell r="B224">
            <v>774</v>
          </cell>
          <cell r="C224" t="str">
            <v>James Steinard</v>
          </cell>
          <cell r="D224" t="str">
            <v>philadelphia</v>
          </cell>
          <cell r="E224" t="str">
            <v>CRS</v>
          </cell>
          <cell r="F224">
            <v>14808</v>
          </cell>
          <cell r="G224">
            <v>43787</v>
          </cell>
          <cell r="H224">
            <v>44518</v>
          </cell>
          <cell r="I224" t="str">
            <v>Expired</v>
          </cell>
          <cell r="J224" t="str">
            <v>Philadelphia</v>
          </cell>
          <cell r="K224" t="str">
            <v>Nov</v>
          </cell>
        </row>
        <row r="225">
          <cell r="B225">
            <v>775</v>
          </cell>
          <cell r="C225" t="str">
            <v>James White</v>
          </cell>
          <cell r="D225" t="str">
            <v>philadelphia</v>
          </cell>
          <cell r="E225" t="str">
            <v>CRS</v>
          </cell>
          <cell r="F225">
            <v>17309</v>
          </cell>
          <cell r="G225">
            <v>44656</v>
          </cell>
          <cell r="H225">
            <v>46117</v>
          </cell>
          <cell r="I225" t="str">
            <v>Active</v>
          </cell>
          <cell r="J225" t="str">
            <v>Philadelphia</v>
          </cell>
          <cell r="K225" t="str">
            <v>Apr</v>
          </cell>
        </row>
        <row r="226">
          <cell r="B226">
            <v>776</v>
          </cell>
          <cell r="C226" t="str">
            <v>James Williams</v>
          </cell>
          <cell r="D226" t="str">
            <v>philadelphia</v>
          </cell>
          <cell r="E226" t="str">
            <v>CRS</v>
          </cell>
          <cell r="F226">
            <v>8321</v>
          </cell>
          <cell r="G226">
            <v>41325</v>
          </cell>
          <cell r="H226">
            <v>42055</v>
          </cell>
          <cell r="I226" t="str">
            <v>Expired</v>
          </cell>
          <cell r="J226" t="str">
            <v>Philadelphia</v>
          </cell>
          <cell r="K226" t="str">
            <v>Feb</v>
          </cell>
        </row>
        <row r="227">
          <cell r="B227">
            <v>780</v>
          </cell>
          <cell r="C227" t="str">
            <v>Jamie  Morris</v>
          </cell>
          <cell r="D227" t="str">
            <v>philadelphia</v>
          </cell>
          <cell r="E227" t="str">
            <v>CRS</v>
          </cell>
          <cell r="F227">
            <v>20669</v>
          </cell>
          <cell r="G227">
            <v>45516</v>
          </cell>
          <cell r="H227">
            <v>46246</v>
          </cell>
          <cell r="I227" t="str">
            <v>Active</v>
          </cell>
          <cell r="J227" t="str">
            <v>Philadelphia</v>
          </cell>
          <cell r="K227" t="str">
            <v>Aug</v>
          </cell>
        </row>
        <row r="228">
          <cell r="B228">
            <v>786</v>
          </cell>
          <cell r="C228" t="str">
            <v>Jamie Swick</v>
          </cell>
          <cell r="D228" t="str">
            <v>philadelphia</v>
          </cell>
          <cell r="E228" t="str">
            <v>CRS</v>
          </cell>
          <cell r="F228">
            <v>22113</v>
          </cell>
          <cell r="G228">
            <v>45814</v>
          </cell>
          <cell r="H228">
            <v>46544</v>
          </cell>
          <cell r="I228" t="str">
            <v>Active</v>
          </cell>
          <cell r="J228" t="str">
            <v>Philadelphia</v>
          </cell>
          <cell r="K228" t="str">
            <v>Jun</v>
          </cell>
        </row>
        <row r="229">
          <cell r="B229">
            <v>787</v>
          </cell>
          <cell r="C229" t="str">
            <v>Jamie Ueberroth</v>
          </cell>
          <cell r="D229" t="str">
            <v>philadelphia</v>
          </cell>
          <cell r="E229" t="str">
            <v>CRS</v>
          </cell>
          <cell r="F229">
            <v>17935</v>
          </cell>
          <cell r="G229">
            <v>44840</v>
          </cell>
          <cell r="H229">
            <v>46301</v>
          </cell>
          <cell r="I229" t="str">
            <v>Active</v>
          </cell>
          <cell r="J229" t="str">
            <v>Philadelphia</v>
          </cell>
          <cell r="K229" t="str">
            <v>Oct</v>
          </cell>
        </row>
        <row r="230">
          <cell r="B230">
            <v>789</v>
          </cell>
          <cell r="C230" t="str">
            <v>Jamila Harris</v>
          </cell>
          <cell r="D230" t="str">
            <v>philadelphia</v>
          </cell>
          <cell r="E230" t="str">
            <v>CRS</v>
          </cell>
          <cell r="F230">
            <v>9981</v>
          </cell>
          <cell r="G230">
            <v>42746</v>
          </cell>
          <cell r="H230">
            <v>46398</v>
          </cell>
          <cell r="I230" t="str">
            <v>Active</v>
          </cell>
          <cell r="J230" t="str">
            <v>Philadelphia</v>
          </cell>
          <cell r="K230" t="str">
            <v>Jan</v>
          </cell>
        </row>
        <row r="231">
          <cell r="B231">
            <v>790</v>
          </cell>
          <cell r="C231" t="str">
            <v>Jamilah Boyd</v>
          </cell>
          <cell r="D231" t="str">
            <v>philadelphia</v>
          </cell>
          <cell r="E231" t="str">
            <v>CRS</v>
          </cell>
          <cell r="F231">
            <v>8550</v>
          </cell>
          <cell r="G231">
            <v>41485</v>
          </cell>
          <cell r="H231">
            <v>42215</v>
          </cell>
          <cell r="I231" t="str">
            <v>Expired</v>
          </cell>
          <cell r="J231" t="str">
            <v>Philadelphia</v>
          </cell>
          <cell r="K231" t="str">
            <v>Jul</v>
          </cell>
        </row>
        <row r="232">
          <cell r="B232">
            <v>794</v>
          </cell>
          <cell r="C232" t="str">
            <v>Jannette Aguila</v>
          </cell>
          <cell r="D232" t="str">
            <v>philadelphia</v>
          </cell>
          <cell r="E232" t="str">
            <v>CRS</v>
          </cell>
          <cell r="F232">
            <v>17766</v>
          </cell>
          <cell r="G232">
            <v>44791</v>
          </cell>
          <cell r="H232">
            <v>45522</v>
          </cell>
          <cell r="I232" t="str">
            <v>Lapsed</v>
          </cell>
          <cell r="J232" t="str">
            <v>Philadelphia</v>
          </cell>
          <cell r="K232" t="str">
            <v>Aug</v>
          </cell>
        </row>
        <row r="233">
          <cell r="B233">
            <v>807</v>
          </cell>
          <cell r="C233" t="str">
            <v>Jaya Simmons</v>
          </cell>
          <cell r="D233" t="str">
            <v>philadelphia</v>
          </cell>
          <cell r="E233" t="str">
            <v>CRS</v>
          </cell>
          <cell r="F233">
            <v>12638</v>
          </cell>
          <cell r="G233">
            <v>44361</v>
          </cell>
          <cell r="H233">
            <v>45091</v>
          </cell>
          <cell r="I233" t="str">
            <v>Expired</v>
          </cell>
          <cell r="J233" t="str">
            <v>Philadelphia</v>
          </cell>
          <cell r="K233" t="str">
            <v>Jun</v>
          </cell>
        </row>
        <row r="234">
          <cell r="B234">
            <v>815</v>
          </cell>
          <cell r="C234" t="str">
            <v>Jefferine Mitchell</v>
          </cell>
          <cell r="D234" t="str">
            <v>philadelphia</v>
          </cell>
          <cell r="E234" t="str">
            <v>CRS</v>
          </cell>
          <cell r="F234">
            <v>16530</v>
          </cell>
          <cell r="G234">
            <v>44372</v>
          </cell>
          <cell r="H234">
            <v>45833</v>
          </cell>
          <cell r="I234" t="str">
            <v>Active</v>
          </cell>
          <cell r="J234" t="str">
            <v>Philadelphia</v>
          </cell>
          <cell r="K234" t="str">
            <v>Jun</v>
          </cell>
        </row>
        <row r="235">
          <cell r="B235">
            <v>817</v>
          </cell>
          <cell r="C235" t="str">
            <v>Jeffrey Coddington, Jr.</v>
          </cell>
          <cell r="D235" t="str">
            <v>philadelphia</v>
          </cell>
          <cell r="E235" t="str">
            <v>CRS</v>
          </cell>
          <cell r="F235">
            <v>22090</v>
          </cell>
          <cell r="G235">
            <v>45813</v>
          </cell>
          <cell r="H235">
            <v>46543</v>
          </cell>
          <cell r="I235" t="str">
            <v>Active</v>
          </cell>
          <cell r="J235" t="str">
            <v>Philadelphia</v>
          </cell>
          <cell r="K235" t="str">
            <v>Jun</v>
          </cell>
        </row>
        <row r="236">
          <cell r="B236">
            <v>823</v>
          </cell>
          <cell r="C236" t="str">
            <v>Jeffrey Lucas</v>
          </cell>
          <cell r="D236" t="str">
            <v>philadelphia</v>
          </cell>
          <cell r="E236" t="str">
            <v>CRS</v>
          </cell>
          <cell r="F236">
            <v>8657</v>
          </cell>
          <cell r="G236">
            <v>41577</v>
          </cell>
          <cell r="H236">
            <v>42307</v>
          </cell>
          <cell r="I236" t="str">
            <v>Expired</v>
          </cell>
          <cell r="J236" t="str">
            <v>Philadelphia</v>
          </cell>
          <cell r="K236" t="str">
            <v>Oct</v>
          </cell>
        </row>
        <row r="237">
          <cell r="B237">
            <v>830</v>
          </cell>
          <cell r="C237" t="str">
            <v>Jennie Hill</v>
          </cell>
          <cell r="D237" t="str">
            <v>philadelphia</v>
          </cell>
          <cell r="E237" t="str">
            <v>CRS</v>
          </cell>
          <cell r="F237">
            <v>11345</v>
          </cell>
          <cell r="G237">
            <v>43227</v>
          </cell>
          <cell r="H237">
            <v>43958</v>
          </cell>
          <cell r="I237" t="str">
            <v>Expired</v>
          </cell>
          <cell r="J237" t="str">
            <v>Philadelphia</v>
          </cell>
          <cell r="K237" t="str">
            <v>May</v>
          </cell>
        </row>
        <row r="238">
          <cell r="B238">
            <v>832</v>
          </cell>
          <cell r="C238" t="str">
            <v>Jennifer Brinton</v>
          </cell>
          <cell r="D238" t="str">
            <v>philadelphia</v>
          </cell>
          <cell r="E238" t="str">
            <v>CRS</v>
          </cell>
          <cell r="F238">
            <v>15468</v>
          </cell>
          <cell r="G238">
            <v>44096</v>
          </cell>
          <cell r="H238">
            <v>45557</v>
          </cell>
          <cell r="I238" t="str">
            <v>Lapsed</v>
          </cell>
          <cell r="J238" t="str">
            <v>Philadelphia</v>
          </cell>
          <cell r="K238" t="str">
            <v>Sep</v>
          </cell>
        </row>
        <row r="239">
          <cell r="B239">
            <v>833</v>
          </cell>
          <cell r="C239" t="str">
            <v>Jennifer Brinton</v>
          </cell>
          <cell r="D239" t="str">
            <v>philadelphia</v>
          </cell>
          <cell r="E239" t="str">
            <v>CFRS</v>
          </cell>
          <cell r="F239">
            <v>15468</v>
          </cell>
          <cell r="G239">
            <v>44089</v>
          </cell>
          <cell r="H239">
            <v>45550</v>
          </cell>
          <cell r="I239" t="str">
            <v>Lapsed</v>
          </cell>
          <cell r="J239" t="str">
            <v>Philadelphia</v>
          </cell>
          <cell r="K239" t="str">
            <v>Sep</v>
          </cell>
        </row>
        <row r="240">
          <cell r="B240">
            <v>835</v>
          </cell>
          <cell r="C240" t="str">
            <v>Jennifer Carroll</v>
          </cell>
          <cell r="D240" t="str">
            <v>philadelphia</v>
          </cell>
          <cell r="E240" t="str">
            <v>CRS</v>
          </cell>
          <cell r="F240">
            <v>21929</v>
          </cell>
          <cell r="G240">
            <v>45784</v>
          </cell>
          <cell r="H240">
            <v>46514</v>
          </cell>
          <cell r="I240" t="str">
            <v>Active</v>
          </cell>
          <cell r="J240" t="str">
            <v>Philadelphia</v>
          </cell>
          <cell r="K240" t="str">
            <v>May</v>
          </cell>
        </row>
        <row r="241">
          <cell r="B241">
            <v>849</v>
          </cell>
          <cell r="C241" t="str">
            <v>Jennifer McBride</v>
          </cell>
          <cell r="D241" t="str">
            <v>philadelphia</v>
          </cell>
          <cell r="E241" t="str">
            <v>CRS</v>
          </cell>
          <cell r="F241">
            <v>18590</v>
          </cell>
          <cell r="G241">
            <v>45055</v>
          </cell>
          <cell r="H241">
            <v>46516</v>
          </cell>
          <cell r="I241" t="str">
            <v>Active</v>
          </cell>
          <cell r="J241" t="str">
            <v>Philadelphia</v>
          </cell>
          <cell r="K241" t="str">
            <v>May</v>
          </cell>
        </row>
        <row r="242">
          <cell r="B242">
            <v>850</v>
          </cell>
          <cell r="C242" t="str">
            <v>Jennifer Murphy</v>
          </cell>
          <cell r="D242" t="str">
            <v>philadelphia</v>
          </cell>
          <cell r="E242" t="str">
            <v>CRS</v>
          </cell>
          <cell r="F242">
            <v>16100</v>
          </cell>
          <cell r="G242">
            <v>44274</v>
          </cell>
          <cell r="H242">
            <v>45004</v>
          </cell>
          <cell r="I242" t="str">
            <v>Expired</v>
          </cell>
          <cell r="J242" t="str">
            <v>Philadelphia</v>
          </cell>
          <cell r="K242" t="str">
            <v>Mar</v>
          </cell>
        </row>
        <row r="243">
          <cell r="B243">
            <v>857</v>
          </cell>
          <cell r="C243" t="str">
            <v>Jennifer Williams</v>
          </cell>
          <cell r="D243" t="str">
            <v>philadelphia</v>
          </cell>
          <cell r="E243" t="str">
            <v>CRS</v>
          </cell>
          <cell r="F243">
            <v>18325</v>
          </cell>
          <cell r="G243">
            <v>45194</v>
          </cell>
          <cell r="H243">
            <v>45925</v>
          </cell>
          <cell r="I243" t="str">
            <v>Active</v>
          </cell>
          <cell r="J243" t="str">
            <v>Philadelphia</v>
          </cell>
          <cell r="K243" t="str">
            <v>Sep</v>
          </cell>
        </row>
        <row r="244">
          <cell r="B244">
            <v>863</v>
          </cell>
          <cell r="C244" t="str">
            <v>Jerry Brown</v>
          </cell>
          <cell r="D244" t="str">
            <v>philadelphia</v>
          </cell>
          <cell r="E244" t="str">
            <v>CRS</v>
          </cell>
          <cell r="F244">
            <v>14002</v>
          </cell>
          <cell r="G244">
            <v>43670</v>
          </cell>
          <cell r="H244">
            <v>44401</v>
          </cell>
          <cell r="I244" t="str">
            <v>Expired</v>
          </cell>
          <cell r="J244" t="str">
            <v>Philadelphia</v>
          </cell>
          <cell r="K244" t="str">
            <v>Jul</v>
          </cell>
        </row>
        <row r="245">
          <cell r="B245">
            <v>864</v>
          </cell>
          <cell r="C245" t="str">
            <v>Jerry Rocks, Sr.</v>
          </cell>
          <cell r="D245" t="str">
            <v>philadelphia</v>
          </cell>
          <cell r="E245" t="str">
            <v>CRS</v>
          </cell>
          <cell r="F245">
            <v>9248</v>
          </cell>
          <cell r="G245">
            <v>42180</v>
          </cell>
          <cell r="H245">
            <v>46563</v>
          </cell>
          <cell r="I245" t="str">
            <v>Active</v>
          </cell>
          <cell r="J245" t="str">
            <v>Philadelphia</v>
          </cell>
          <cell r="K245" t="str">
            <v>Jun</v>
          </cell>
        </row>
        <row r="246">
          <cell r="B246">
            <v>866</v>
          </cell>
          <cell r="C246" t="str">
            <v>Jesse Brajuha</v>
          </cell>
          <cell r="D246" t="str">
            <v>philadelphia</v>
          </cell>
          <cell r="E246" t="str">
            <v>CRS</v>
          </cell>
          <cell r="F246">
            <v>9596</v>
          </cell>
          <cell r="G246">
            <v>42514</v>
          </cell>
          <cell r="H246">
            <v>43244</v>
          </cell>
          <cell r="I246" t="str">
            <v>Expired</v>
          </cell>
          <cell r="J246" t="str">
            <v>Philadelphia</v>
          </cell>
          <cell r="K246" t="str">
            <v>May</v>
          </cell>
        </row>
        <row r="247">
          <cell r="B247">
            <v>877</v>
          </cell>
          <cell r="C247" t="str">
            <v>Jessica Popper</v>
          </cell>
          <cell r="D247" t="str">
            <v>philadelphia</v>
          </cell>
          <cell r="E247" t="str">
            <v>CRS</v>
          </cell>
          <cell r="F247">
            <v>16227</v>
          </cell>
          <cell r="G247">
            <v>44510</v>
          </cell>
          <cell r="H247">
            <v>45971</v>
          </cell>
          <cell r="I247" t="str">
            <v>Active</v>
          </cell>
          <cell r="J247" t="str">
            <v>Philadelphia</v>
          </cell>
          <cell r="K247" t="str">
            <v>Nov</v>
          </cell>
        </row>
        <row r="248">
          <cell r="B248">
            <v>878</v>
          </cell>
          <cell r="C248" t="str">
            <v>Jessica Popper</v>
          </cell>
          <cell r="D248" t="str">
            <v>philadelphia</v>
          </cell>
          <cell r="E248" t="str">
            <v>CFRS</v>
          </cell>
          <cell r="F248">
            <v>16227</v>
          </cell>
          <cell r="G248">
            <v>44326</v>
          </cell>
          <cell r="H248">
            <v>45056</v>
          </cell>
          <cell r="I248" t="str">
            <v>Expired</v>
          </cell>
          <cell r="J248" t="str">
            <v>Philadelphia</v>
          </cell>
          <cell r="K248" t="str">
            <v>May</v>
          </cell>
        </row>
        <row r="249">
          <cell r="B249">
            <v>879</v>
          </cell>
          <cell r="C249" t="str">
            <v>Jessica Ramirez</v>
          </cell>
          <cell r="D249" t="str">
            <v>philadelphia</v>
          </cell>
          <cell r="E249" t="str">
            <v>CRS</v>
          </cell>
          <cell r="F249">
            <v>21467</v>
          </cell>
          <cell r="G249">
            <v>45691</v>
          </cell>
          <cell r="H249">
            <v>46421</v>
          </cell>
          <cell r="I249" t="str">
            <v>Active</v>
          </cell>
          <cell r="J249" t="str">
            <v>Philadelphia</v>
          </cell>
          <cell r="K249" t="str">
            <v>Feb</v>
          </cell>
        </row>
        <row r="250">
          <cell r="B250">
            <v>881</v>
          </cell>
          <cell r="C250" t="str">
            <v>Jillian DeMaio</v>
          </cell>
          <cell r="D250" t="str">
            <v>philadelphia</v>
          </cell>
          <cell r="E250" t="str">
            <v>CFRS</v>
          </cell>
          <cell r="F250">
            <v>19533</v>
          </cell>
          <cell r="G250">
            <v>45271</v>
          </cell>
          <cell r="H250">
            <v>46002</v>
          </cell>
          <cell r="I250" t="str">
            <v>Active</v>
          </cell>
          <cell r="J250" t="str">
            <v>Philadelphia</v>
          </cell>
          <cell r="K250" t="str">
            <v>Dec</v>
          </cell>
        </row>
        <row r="251">
          <cell r="B251">
            <v>884</v>
          </cell>
          <cell r="C251" t="str">
            <v>Jimmie Jones</v>
          </cell>
          <cell r="D251" t="str">
            <v>philadelphia</v>
          </cell>
          <cell r="E251" t="str">
            <v>CRS</v>
          </cell>
          <cell r="F251">
            <v>8656</v>
          </cell>
          <cell r="G251">
            <v>41577</v>
          </cell>
          <cell r="H251">
            <v>42307</v>
          </cell>
          <cell r="I251" t="str">
            <v>Expired</v>
          </cell>
          <cell r="J251" t="str">
            <v>Philadelphia</v>
          </cell>
          <cell r="K251" t="str">
            <v>Oct</v>
          </cell>
        </row>
        <row r="252">
          <cell r="B252">
            <v>886</v>
          </cell>
          <cell r="C252" t="str">
            <v>Joan Vieldhouse</v>
          </cell>
          <cell r="D252" t="str">
            <v>philadelphia</v>
          </cell>
          <cell r="E252" t="str">
            <v>CRS</v>
          </cell>
          <cell r="F252">
            <v>8323</v>
          </cell>
          <cell r="G252">
            <v>41325</v>
          </cell>
          <cell r="H252">
            <v>46438</v>
          </cell>
          <cell r="I252" t="str">
            <v>Active</v>
          </cell>
          <cell r="J252" t="str">
            <v>Philadelphia</v>
          </cell>
          <cell r="K252" t="str">
            <v>Feb</v>
          </cell>
        </row>
        <row r="253">
          <cell r="B253">
            <v>888</v>
          </cell>
          <cell r="C253" t="str">
            <v>JoAnn Mills-Johnson</v>
          </cell>
          <cell r="D253" t="str">
            <v>philadelphia</v>
          </cell>
          <cell r="E253" t="str">
            <v>CRS</v>
          </cell>
          <cell r="F253">
            <v>10893</v>
          </cell>
          <cell r="G253">
            <v>45559</v>
          </cell>
          <cell r="H253">
            <v>46289</v>
          </cell>
          <cell r="I253" t="str">
            <v>Active</v>
          </cell>
          <cell r="J253" t="str">
            <v>Philadelphia</v>
          </cell>
          <cell r="K253" t="str">
            <v>Sep</v>
          </cell>
        </row>
        <row r="254">
          <cell r="B254">
            <v>901</v>
          </cell>
          <cell r="C254" t="str">
            <v>Joe'Nell Williams</v>
          </cell>
          <cell r="D254" t="str">
            <v>philadelphia</v>
          </cell>
          <cell r="E254" t="str">
            <v>CRS</v>
          </cell>
          <cell r="F254">
            <v>17936</v>
          </cell>
          <cell r="G254">
            <v>44840</v>
          </cell>
          <cell r="H254">
            <v>45571</v>
          </cell>
          <cell r="I254" t="str">
            <v>Lapsed</v>
          </cell>
          <cell r="J254" t="str">
            <v>Philadelphia</v>
          </cell>
          <cell r="K254" t="str">
            <v>Oct</v>
          </cell>
        </row>
        <row r="255">
          <cell r="B255">
            <v>903</v>
          </cell>
          <cell r="C255" t="str">
            <v>John Carlson</v>
          </cell>
          <cell r="D255" t="str">
            <v>philadelphia</v>
          </cell>
          <cell r="E255" t="str">
            <v>CRS</v>
          </cell>
          <cell r="F255">
            <v>8966</v>
          </cell>
          <cell r="G255">
            <v>41849</v>
          </cell>
          <cell r="H255">
            <v>45502</v>
          </cell>
          <cell r="I255" t="str">
            <v>Lapsed</v>
          </cell>
          <cell r="J255" t="str">
            <v>Philadelphia</v>
          </cell>
          <cell r="K255" t="str">
            <v>Jul</v>
          </cell>
        </row>
        <row r="256">
          <cell r="B256">
            <v>904</v>
          </cell>
          <cell r="C256" t="str">
            <v>John Chidester, III</v>
          </cell>
          <cell r="D256" t="str">
            <v>philadelphia</v>
          </cell>
          <cell r="E256" t="str">
            <v>CRS</v>
          </cell>
          <cell r="F256">
            <v>14650</v>
          </cell>
          <cell r="G256">
            <v>43714</v>
          </cell>
          <cell r="H256">
            <v>44445</v>
          </cell>
          <cell r="I256" t="str">
            <v>Expired</v>
          </cell>
          <cell r="J256" t="str">
            <v>Philadelphia</v>
          </cell>
          <cell r="K256" t="str">
            <v>Sep</v>
          </cell>
        </row>
        <row r="257">
          <cell r="B257">
            <v>906</v>
          </cell>
          <cell r="C257" t="str">
            <v>John Elburn, III</v>
          </cell>
          <cell r="D257" t="str">
            <v>philadelphia</v>
          </cell>
          <cell r="E257" t="str">
            <v>CRS</v>
          </cell>
          <cell r="F257">
            <v>13113</v>
          </cell>
          <cell r="G257">
            <v>44545</v>
          </cell>
          <cell r="H257">
            <v>46479</v>
          </cell>
          <cell r="I257" t="str">
            <v>Active</v>
          </cell>
          <cell r="J257" t="str">
            <v>Philadelphia</v>
          </cell>
          <cell r="K257" t="str">
            <v>Dec</v>
          </cell>
        </row>
        <row r="258">
          <cell r="B258">
            <v>907</v>
          </cell>
          <cell r="C258" t="str">
            <v>John Elburn, III</v>
          </cell>
          <cell r="D258" t="str">
            <v>philadelphia</v>
          </cell>
          <cell r="E258" t="str">
            <v>CRSS</v>
          </cell>
          <cell r="F258">
            <v>13113</v>
          </cell>
          <cell r="G258">
            <v>45541</v>
          </cell>
          <cell r="H258">
            <v>46271</v>
          </cell>
          <cell r="I258" t="str">
            <v>Active</v>
          </cell>
          <cell r="J258" t="str">
            <v>Philadelphia</v>
          </cell>
          <cell r="K258" t="str">
            <v>Sep</v>
          </cell>
        </row>
        <row r="259">
          <cell r="B259">
            <v>914</v>
          </cell>
          <cell r="C259" t="str">
            <v>John Kronbar</v>
          </cell>
          <cell r="D259" t="str">
            <v>philadelphia</v>
          </cell>
          <cell r="E259" t="str">
            <v>CRS</v>
          </cell>
          <cell r="F259">
            <v>14756</v>
          </cell>
          <cell r="G259">
            <v>43770</v>
          </cell>
          <cell r="H259">
            <v>45962</v>
          </cell>
          <cell r="I259" t="str">
            <v>Active</v>
          </cell>
          <cell r="J259" t="str">
            <v>Philadelphia</v>
          </cell>
          <cell r="K259" t="str">
            <v>Nov</v>
          </cell>
        </row>
        <row r="260">
          <cell r="B260">
            <v>915</v>
          </cell>
          <cell r="C260" t="str">
            <v>John Kronbar</v>
          </cell>
          <cell r="D260" t="str">
            <v>philadelphia</v>
          </cell>
          <cell r="E260" t="str">
            <v>CFRS</v>
          </cell>
          <cell r="F260">
            <v>14756</v>
          </cell>
          <cell r="G260">
            <v>44041</v>
          </cell>
          <cell r="H260">
            <v>45962</v>
          </cell>
          <cell r="I260" t="str">
            <v>Active</v>
          </cell>
          <cell r="J260" t="str">
            <v>Philadelphia</v>
          </cell>
          <cell r="K260" t="str">
            <v>Jul</v>
          </cell>
        </row>
        <row r="261">
          <cell r="B261">
            <v>917</v>
          </cell>
          <cell r="C261" t="str">
            <v>John Lawlor</v>
          </cell>
          <cell r="D261" t="str">
            <v>philadelphia</v>
          </cell>
          <cell r="E261" t="str">
            <v>CFRS</v>
          </cell>
          <cell r="F261">
            <v>20957</v>
          </cell>
          <cell r="G261">
            <v>45578</v>
          </cell>
          <cell r="H261">
            <v>46308</v>
          </cell>
          <cell r="I261" t="str">
            <v>Active</v>
          </cell>
          <cell r="J261" t="str">
            <v>Philadelphia</v>
          </cell>
          <cell r="K261" t="str">
            <v>Oct</v>
          </cell>
        </row>
        <row r="262">
          <cell r="B262">
            <v>918</v>
          </cell>
          <cell r="C262" t="str">
            <v>John McNeal</v>
          </cell>
          <cell r="D262" t="str">
            <v>philadelphia</v>
          </cell>
          <cell r="E262" t="str">
            <v>CRS</v>
          </cell>
          <cell r="F262">
            <v>10006</v>
          </cell>
          <cell r="G262">
            <v>42753</v>
          </cell>
          <cell r="H262">
            <v>43483</v>
          </cell>
          <cell r="I262" t="str">
            <v>Expired</v>
          </cell>
          <cell r="J262" t="str">
            <v>Philadelphia</v>
          </cell>
          <cell r="K262" t="str">
            <v>Jan</v>
          </cell>
        </row>
        <row r="263">
          <cell r="B263">
            <v>920</v>
          </cell>
          <cell r="C263" t="str">
            <v>John Morales</v>
          </cell>
          <cell r="D263" t="str">
            <v>philadelphia</v>
          </cell>
          <cell r="E263" t="str">
            <v>CRS</v>
          </cell>
          <cell r="F263">
            <v>14652</v>
          </cell>
          <cell r="G263">
            <v>43714</v>
          </cell>
          <cell r="H263">
            <v>44445</v>
          </cell>
          <cell r="I263" t="str">
            <v>Expired</v>
          </cell>
          <cell r="J263" t="str">
            <v>Philadelphia</v>
          </cell>
          <cell r="K263" t="str">
            <v>Sep</v>
          </cell>
        </row>
        <row r="264">
          <cell r="B264">
            <v>925</v>
          </cell>
          <cell r="C264" t="str">
            <v>John Viggiano</v>
          </cell>
          <cell r="D264" t="str">
            <v>philadelphia</v>
          </cell>
          <cell r="E264" t="str">
            <v>CRS</v>
          </cell>
          <cell r="F264">
            <v>10014</v>
          </cell>
          <cell r="G264">
            <v>42753</v>
          </cell>
          <cell r="H264">
            <v>43483</v>
          </cell>
          <cell r="I264" t="str">
            <v>Expired</v>
          </cell>
          <cell r="J264" t="str">
            <v>Philadelphia</v>
          </cell>
          <cell r="K264" t="str">
            <v>Jan</v>
          </cell>
        </row>
        <row r="265">
          <cell r="B265">
            <v>931</v>
          </cell>
          <cell r="C265" t="str">
            <v>Jonathan Fine</v>
          </cell>
          <cell r="D265" t="str">
            <v>philadelphia</v>
          </cell>
          <cell r="E265" t="str">
            <v>CRS</v>
          </cell>
          <cell r="F265">
            <v>13736</v>
          </cell>
          <cell r="G265">
            <v>43641</v>
          </cell>
          <cell r="H265">
            <v>45833</v>
          </cell>
          <cell r="I265" t="str">
            <v>Active</v>
          </cell>
          <cell r="J265" t="str">
            <v>Philadelphia</v>
          </cell>
          <cell r="K265" t="str">
            <v>Jun</v>
          </cell>
        </row>
        <row r="266">
          <cell r="B266">
            <v>933</v>
          </cell>
          <cell r="C266" t="str">
            <v>Jonathan Jackson</v>
          </cell>
          <cell r="D266" t="str">
            <v>philadelphia</v>
          </cell>
          <cell r="E266" t="str">
            <v>CRS</v>
          </cell>
          <cell r="F266">
            <v>9997</v>
          </cell>
          <cell r="G266">
            <v>42746</v>
          </cell>
          <cell r="H266">
            <v>43476</v>
          </cell>
          <cell r="I266" t="str">
            <v>Expired</v>
          </cell>
          <cell r="J266" t="str">
            <v>Philadelphia</v>
          </cell>
          <cell r="K266" t="str">
            <v>Jan</v>
          </cell>
        </row>
        <row r="267">
          <cell r="B267">
            <v>936</v>
          </cell>
          <cell r="C267" t="str">
            <v>Jonathon Todd</v>
          </cell>
          <cell r="D267" t="str">
            <v>philadelphia</v>
          </cell>
          <cell r="E267" t="str">
            <v>CRS</v>
          </cell>
          <cell r="F267">
            <v>15857</v>
          </cell>
          <cell r="G267">
            <v>44210</v>
          </cell>
          <cell r="H267">
            <v>46401</v>
          </cell>
          <cell r="I267" t="str">
            <v>Active</v>
          </cell>
          <cell r="J267" t="str">
            <v>Philadelphia</v>
          </cell>
          <cell r="K267" t="str">
            <v>Jan</v>
          </cell>
        </row>
        <row r="268">
          <cell r="B268">
            <v>940</v>
          </cell>
          <cell r="C268" t="str">
            <v>Jose DeLeon</v>
          </cell>
          <cell r="D268" t="str">
            <v>philadelphia</v>
          </cell>
          <cell r="E268" t="str">
            <v>CRS</v>
          </cell>
          <cell r="F268">
            <v>10021</v>
          </cell>
          <cell r="G268">
            <v>42766</v>
          </cell>
          <cell r="H268">
            <v>46418</v>
          </cell>
          <cell r="I268" t="str">
            <v>Active</v>
          </cell>
          <cell r="J268" t="str">
            <v>Philadelphia</v>
          </cell>
          <cell r="K268" t="str">
            <v>Jan</v>
          </cell>
        </row>
        <row r="269">
          <cell r="B269">
            <v>941</v>
          </cell>
          <cell r="C269" t="str">
            <v>Jose Garcia</v>
          </cell>
          <cell r="D269" t="str">
            <v>philadelphia</v>
          </cell>
          <cell r="E269" t="str">
            <v>CRS</v>
          </cell>
          <cell r="F269">
            <v>13738</v>
          </cell>
          <cell r="G269">
            <v>43641</v>
          </cell>
          <cell r="H269">
            <v>44372</v>
          </cell>
          <cell r="I269" t="str">
            <v>Expired</v>
          </cell>
          <cell r="J269" t="str">
            <v>Philadelphia</v>
          </cell>
          <cell r="K269" t="str">
            <v>Jun</v>
          </cell>
        </row>
        <row r="270">
          <cell r="B270">
            <v>942</v>
          </cell>
          <cell r="C270" t="str">
            <v>Jose Lebron</v>
          </cell>
          <cell r="D270" t="str">
            <v>philadelphia</v>
          </cell>
          <cell r="E270" t="str">
            <v>CRS</v>
          </cell>
          <cell r="F270">
            <v>14013</v>
          </cell>
          <cell r="G270">
            <v>43670</v>
          </cell>
          <cell r="H270">
            <v>45131</v>
          </cell>
          <cell r="I270" t="str">
            <v>Expired</v>
          </cell>
          <cell r="J270" t="str">
            <v>Philadelphia</v>
          </cell>
          <cell r="K270" t="str">
            <v>Jul</v>
          </cell>
        </row>
        <row r="271">
          <cell r="B271">
            <v>946</v>
          </cell>
          <cell r="C271" t="str">
            <v>Jose Torres Dejesus</v>
          </cell>
          <cell r="D271" t="str">
            <v>philadelphia</v>
          </cell>
          <cell r="E271" t="str">
            <v>CRS</v>
          </cell>
          <cell r="F271">
            <v>8455</v>
          </cell>
          <cell r="G271">
            <v>41412</v>
          </cell>
          <cell r="H271">
            <v>42142</v>
          </cell>
          <cell r="I271" t="str">
            <v>Expired</v>
          </cell>
          <cell r="J271" t="str">
            <v>Philadelphia</v>
          </cell>
          <cell r="K271" t="str">
            <v>May</v>
          </cell>
        </row>
        <row r="272">
          <cell r="B272">
            <v>947</v>
          </cell>
          <cell r="C272" t="str">
            <v>Joseph  Newton</v>
          </cell>
          <cell r="D272" t="str">
            <v>philadelphia</v>
          </cell>
          <cell r="E272" t="str">
            <v>CFRS</v>
          </cell>
          <cell r="F272">
            <v>21007</v>
          </cell>
          <cell r="G272">
            <v>45581</v>
          </cell>
          <cell r="H272">
            <v>46311</v>
          </cell>
          <cell r="I272" t="str">
            <v>Active</v>
          </cell>
          <cell r="J272" t="str">
            <v>Philadelphia</v>
          </cell>
          <cell r="K272" t="str">
            <v>Oct</v>
          </cell>
        </row>
        <row r="273">
          <cell r="B273">
            <v>948</v>
          </cell>
          <cell r="C273" t="str">
            <v>Joseph Andracki</v>
          </cell>
          <cell r="D273" t="str">
            <v>philadelphia</v>
          </cell>
          <cell r="E273" t="str">
            <v>CRS</v>
          </cell>
          <cell r="F273">
            <v>20823</v>
          </cell>
          <cell r="G273">
            <v>45547</v>
          </cell>
          <cell r="H273">
            <v>46277</v>
          </cell>
          <cell r="I273" t="str">
            <v>Active</v>
          </cell>
          <cell r="J273" t="str">
            <v>Philadelphia</v>
          </cell>
          <cell r="K273" t="str">
            <v>Sep</v>
          </cell>
        </row>
        <row r="274">
          <cell r="B274">
            <v>955</v>
          </cell>
          <cell r="C274" t="str">
            <v>Joseph Goggins</v>
          </cell>
          <cell r="D274" t="str">
            <v>philadelphia</v>
          </cell>
          <cell r="E274" t="str">
            <v>CRS</v>
          </cell>
          <cell r="F274">
            <v>8655</v>
          </cell>
          <cell r="G274">
            <v>41577</v>
          </cell>
          <cell r="H274">
            <v>42307</v>
          </cell>
          <cell r="I274" t="str">
            <v>Expired</v>
          </cell>
          <cell r="J274" t="str">
            <v>Philadelphia</v>
          </cell>
          <cell r="K274" t="str">
            <v>Oct</v>
          </cell>
        </row>
        <row r="275">
          <cell r="B275">
            <v>958</v>
          </cell>
          <cell r="C275" t="str">
            <v>Joseph Grieco</v>
          </cell>
          <cell r="D275" t="str">
            <v>philadelphia</v>
          </cell>
          <cell r="E275" t="str">
            <v>CRS</v>
          </cell>
          <cell r="F275">
            <v>17092</v>
          </cell>
          <cell r="G275">
            <v>44574</v>
          </cell>
          <cell r="H275">
            <v>45304</v>
          </cell>
          <cell r="I275" t="str">
            <v>Expired</v>
          </cell>
          <cell r="J275" t="str">
            <v>Philadelphia</v>
          </cell>
          <cell r="K275" t="str">
            <v>Jan</v>
          </cell>
        </row>
        <row r="276">
          <cell r="B276">
            <v>959</v>
          </cell>
          <cell r="C276" t="str">
            <v>Joseph Grieco</v>
          </cell>
          <cell r="D276" t="str">
            <v>philadelphia</v>
          </cell>
          <cell r="E276" t="str">
            <v>CFRS</v>
          </cell>
          <cell r="F276">
            <v>17092</v>
          </cell>
          <cell r="G276">
            <v>44566</v>
          </cell>
          <cell r="H276">
            <v>45296</v>
          </cell>
          <cell r="I276" t="str">
            <v>Expired</v>
          </cell>
          <cell r="J276" t="str">
            <v>Philadelphia</v>
          </cell>
          <cell r="K276" t="str">
            <v>Jan</v>
          </cell>
        </row>
        <row r="277">
          <cell r="B277">
            <v>960</v>
          </cell>
          <cell r="C277" t="str">
            <v>Joseph Hoffman</v>
          </cell>
          <cell r="D277" t="str">
            <v>philadelphia</v>
          </cell>
          <cell r="E277" t="str">
            <v>CRS</v>
          </cell>
          <cell r="F277">
            <v>10923</v>
          </cell>
          <cell r="G277">
            <v>43185</v>
          </cell>
          <cell r="H277">
            <v>43916</v>
          </cell>
          <cell r="I277" t="str">
            <v>Expired</v>
          </cell>
          <cell r="J277" t="str">
            <v>Philadelphia</v>
          </cell>
          <cell r="K277" t="str">
            <v>Mar</v>
          </cell>
        </row>
        <row r="278">
          <cell r="B278">
            <v>963</v>
          </cell>
          <cell r="C278" t="str">
            <v>Joseph Montanez</v>
          </cell>
          <cell r="D278" t="str">
            <v>philadelphia</v>
          </cell>
          <cell r="E278" t="str">
            <v>CRS</v>
          </cell>
          <cell r="F278">
            <v>20854</v>
          </cell>
          <cell r="G278">
            <v>45553</v>
          </cell>
          <cell r="H278">
            <v>46283</v>
          </cell>
          <cell r="I278" t="str">
            <v>Active</v>
          </cell>
          <cell r="J278" t="str">
            <v>Philadelphia</v>
          </cell>
          <cell r="K278" t="str">
            <v>Sep</v>
          </cell>
        </row>
        <row r="279">
          <cell r="B279">
            <v>965</v>
          </cell>
          <cell r="C279" t="str">
            <v>Joseph Quinn</v>
          </cell>
          <cell r="D279" t="str">
            <v>philadelphia</v>
          </cell>
          <cell r="E279" t="str">
            <v>CRS</v>
          </cell>
          <cell r="F279">
            <v>11318</v>
          </cell>
          <cell r="G279">
            <v>43770</v>
          </cell>
          <cell r="H279">
            <v>44501</v>
          </cell>
          <cell r="I279" t="str">
            <v>Expired</v>
          </cell>
          <cell r="J279" t="str">
            <v>Philadelphia</v>
          </cell>
          <cell r="K279" t="str">
            <v>Nov</v>
          </cell>
        </row>
        <row r="280">
          <cell r="B280">
            <v>969</v>
          </cell>
          <cell r="C280" t="str">
            <v>Josette Brower</v>
          </cell>
          <cell r="D280" t="str">
            <v>philadelphia</v>
          </cell>
          <cell r="E280" t="str">
            <v>CRS</v>
          </cell>
          <cell r="F280">
            <v>13210</v>
          </cell>
          <cell r="G280">
            <v>43670</v>
          </cell>
          <cell r="H280">
            <v>44401</v>
          </cell>
          <cell r="I280" t="str">
            <v>Expired</v>
          </cell>
          <cell r="J280" t="str">
            <v>Philadelphia</v>
          </cell>
          <cell r="K280" t="str">
            <v>Jul</v>
          </cell>
        </row>
        <row r="281">
          <cell r="B281">
            <v>975</v>
          </cell>
          <cell r="C281" t="str">
            <v>Joshua Wieller</v>
          </cell>
          <cell r="D281" t="str">
            <v>philadelphia</v>
          </cell>
          <cell r="E281" t="str">
            <v>CRS</v>
          </cell>
          <cell r="F281">
            <v>8043</v>
          </cell>
          <cell r="G281">
            <v>40977</v>
          </cell>
          <cell r="H281">
            <v>41707</v>
          </cell>
          <cell r="I281" t="str">
            <v>Expired</v>
          </cell>
          <cell r="J281" t="str">
            <v>Philadelphia</v>
          </cell>
          <cell r="K281" t="str">
            <v>Mar</v>
          </cell>
        </row>
        <row r="282">
          <cell r="B282">
            <v>978</v>
          </cell>
          <cell r="C282" t="str">
            <v>Judy Ward</v>
          </cell>
          <cell r="D282" t="str">
            <v>philadelphia</v>
          </cell>
          <cell r="E282" t="str">
            <v>CRS</v>
          </cell>
          <cell r="F282">
            <v>9177</v>
          </cell>
          <cell r="G282">
            <v>42132</v>
          </cell>
          <cell r="H282">
            <v>43593</v>
          </cell>
          <cell r="I282" t="str">
            <v>Expired</v>
          </cell>
          <cell r="J282" t="str">
            <v>Philadelphia</v>
          </cell>
          <cell r="K282" t="str">
            <v>May</v>
          </cell>
        </row>
        <row r="283">
          <cell r="B283">
            <v>991</v>
          </cell>
          <cell r="C283" t="str">
            <v>Kareem Cook</v>
          </cell>
          <cell r="D283" t="str">
            <v>philadelphia</v>
          </cell>
          <cell r="E283" t="str">
            <v>CRS</v>
          </cell>
          <cell r="F283">
            <v>11057</v>
          </cell>
          <cell r="G283">
            <v>43203</v>
          </cell>
          <cell r="H283">
            <v>43934</v>
          </cell>
          <cell r="I283" t="str">
            <v>Expired</v>
          </cell>
          <cell r="J283" t="str">
            <v>Philadelphia</v>
          </cell>
          <cell r="K283" t="str">
            <v>Apr</v>
          </cell>
        </row>
        <row r="284">
          <cell r="B284">
            <v>998</v>
          </cell>
          <cell r="C284" t="str">
            <v>Kari Mazzarelli</v>
          </cell>
          <cell r="D284" t="str">
            <v>philadelphia</v>
          </cell>
          <cell r="E284" t="str">
            <v>CRS</v>
          </cell>
          <cell r="F284">
            <v>22100</v>
          </cell>
          <cell r="G284">
            <v>45812</v>
          </cell>
          <cell r="H284">
            <v>46542</v>
          </cell>
          <cell r="I284" t="str">
            <v>Active</v>
          </cell>
          <cell r="J284" t="str">
            <v>Philadelphia</v>
          </cell>
          <cell r="K284" t="str">
            <v>Jun</v>
          </cell>
        </row>
        <row r="285">
          <cell r="B285">
            <v>999</v>
          </cell>
          <cell r="C285" t="str">
            <v>Karimah Choice</v>
          </cell>
          <cell r="D285" t="str">
            <v>philadelphia</v>
          </cell>
          <cell r="E285" t="str">
            <v>CRS</v>
          </cell>
          <cell r="F285">
            <v>14410</v>
          </cell>
          <cell r="G285">
            <v>43697</v>
          </cell>
          <cell r="H285">
            <v>44428</v>
          </cell>
          <cell r="I285" t="str">
            <v>Expired</v>
          </cell>
          <cell r="J285" t="str">
            <v>Philadelphia</v>
          </cell>
          <cell r="K285" t="str">
            <v>Aug</v>
          </cell>
        </row>
        <row r="286">
          <cell r="B286">
            <v>1008</v>
          </cell>
          <cell r="C286" t="str">
            <v>Katherine Artuso</v>
          </cell>
          <cell r="D286" t="str">
            <v>philadelphia</v>
          </cell>
          <cell r="E286" t="str">
            <v>CRS</v>
          </cell>
          <cell r="F286">
            <v>9975</v>
          </cell>
          <cell r="G286">
            <v>42746</v>
          </cell>
          <cell r="H286">
            <v>43476</v>
          </cell>
          <cell r="I286" t="str">
            <v>Expired</v>
          </cell>
          <cell r="J286" t="str">
            <v>Philadelphia</v>
          </cell>
          <cell r="K286" t="str">
            <v>Jan</v>
          </cell>
        </row>
        <row r="287">
          <cell r="B287">
            <v>1011</v>
          </cell>
          <cell r="C287" t="str">
            <v>Katherine Everman</v>
          </cell>
          <cell r="D287" t="str">
            <v>philadelphia</v>
          </cell>
          <cell r="E287" t="str">
            <v>CRS</v>
          </cell>
          <cell r="F287">
            <v>22093</v>
          </cell>
          <cell r="G287">
            <v>45813</v>
          </cell>
          <cell r="H287">
            <v>46543</v>
          </cell>
          <cell r="I287" t="str">
            <v>Active</v>
          </cell>
          <cell r="J287" t="str">
            <v>Philadelphia</v>
          </cell>
          <cell r="K287" t="str">
            <v>Jun</v>
          </cell>
        </row>
        <row r="288">
          <cell r="B288">
            <v>1024</v>
          </cell>
          <cell r="C288" t="str">
            <v>Kathryn Leger</v>
          </cell>
          <cell r="D288" t="str">
            <v>philadelphia</v>
          </cell>
          <cell r="E288" t="str">
            <v>CRS</v>
          </cell>
          <cell r="F288">
            <v>17436</v>
          </cell>
          <cell r="G288">
            <v>44693</v>
          </cell>
          <cell r="H288">
            <v>45424</v>
          </cell>
          <cell r="I288" t="str">
            <v>Expired</v>
          </cell>
          <cell r="J288" t="str">
            <v>Philadelphia</v>
          </cell>
          <cell r="K288" t="str">
            <v>May</v>
          </cell>
        </row>
        <row r="289">
          <cell r="B289">
            <v>1028</v>
          </cell>
          <cell r="C289" t="str">
            <v>Katie LePera</v>
          </cell>
          <cell r="D289" t="str">
            <v>philadelphia</v>
          </cell>
          <cell r="E289" t="str">
            <v>CRS</v>
          </cell>
          <cell r="F289">
            <v>20883</v>
          </cell>
          <cell r="G289">
            <v>45560</v>
          </cell>
          <cell r="H289">
            <v>46290</v>
          </cell>
          <cell r="I289" t="str">
            <v>Active</v>
          </cell>
          <cell r="J289" t="str">
            <v>Philadelphia</v>
          </cell>
          <cell r="K289" t="str">
            <v>Sep</v>
          </cell>
        </row>
        <row r="290">
          <cell r="B290">
            <v>1033</v>
          </cell>
          <cell r="C290" t="str">
            <v>Keefe Lehman</v>
          </cell>
          <cell r="D290" t="str">
            <v>philadelphia</v>
          </cell>
          <cell r="E290" t="str">
            <v>CRS</v>
          </cell>
          <cell r="F290">
            <v>21009</v>
          </cell>
          <cell r="G290">
            <v>45586</v>
          </cell>
          <cell r="H290">
            <v>46316</v>
          </cell>
          <cell r="I290" t="str">
            <v>Active</v>
          </cell>
          <cell r="J290" t="str">
            <v>Philadelphia</v>
          </cell>
          <cell r="K290" t="str">
            <v>Oct</v>
          </cell>
        </row>
        <row r="291">
          <cell r="B291">
            <v>1034</v>
          </cell>
          <cell r="C291" t="str">
            <v>Keefe Lehman</v>
          </cell>
          <cell r="D291" t="str">
            <v>philadelphia</v>
          </cell>
          <cell r="E291" t="str">
            <v>CFRS</v>
          </cell>
          <cell r="F291">
            <v>21009</v>
          </cell>
          <cell r="G291">
            <v>45581</v>
          </cell>
          <cell r="H291">
            <v>46311</v>
          </cell>
          <cell r="I291" t="str">
            <v>Active</v>
          </cell>
          <cell r="J291" t="str">
            <v>Philadelphia</v>
          </cell>
          <cell r="K291" t="str">
            <v>Oct</v>
          </cell>
        </row>
        <row r="292">
          <cell r="B292">
            <v>1035</v>
          </cell>
          <cell r="C292" t="str">
            <v>Keith Calhoun</v>
          </cell>
          <cell r="D292" t="str">
            <v>philadelphia</v>
          </cell>
          <cell r="E292" t="str">
            <v>CRS</v>
          </cell>
          <cell r="F292">
            <v>19714</v>
          </cell>
          <cell r="G292">
            <v>45301</v>
          </cell>
          <cell r="H292">
            <v>46032</v>
          </cell>
          <cell r="I292" t="str">
            <v>Active</v>
          </cell>
          <cell r="J292" t="str">
            <v>Philadelphia</v>
          </cell>
          <cell r="K292" t="str">
            <v>Jan</v>
          </cell>
        </row>
        <row r="293">
          <cell r="B293">
            <v>1036</v>
          </cell>
          <cell r="C293" t="str">
            <v>Keith Givens</v>
          </cell>
          <cell r="D293" t="str">
            <v>philadelphia</v>
          </cell>
          <cell r="E293" t="str">
            <v>CRS</v>
          </cell>
          <cell r="F293">
            <v>9603</v>
          </cell>
          <cell r="G293">
            <v>42513</v>
          </cell>
          <cell r="H293">
            <v>43243</v>
          </cell>
          <cell r="I293" t="str">
            <v>Expired</v>
          </cell>
          <cell r="J293" t="str">
            <v>Philadelphia</v>
          </cell>
          <cell r="K293" t="str">
            <v>May</v>
          </cell>
        </row>
        <row r="294">
          <cell r="B294">
            <v>1037</v>
          </cell>
          <cell r="C294" t="str">
            <v>Keith Green</v>
          </cell>
          <cell r="D294" t="str">
            <v>philadelphia</v>
          </cell>
          <cell r="E294" t="str">
            <v>CRS</v>
          </cell>
          <cell r="F294">
            <v>11344</v>
          </cell>
          <cell r="G294">
            <v>43227</v>
          </cell>
          <cell r="H294">
            <v>43958</v>
          </cell>
          <cell r="I294" t="str">
            <v>Expired</v>
          </cell>
          <cell r="J294" t="str">
            <v>Philadelphia</v>
          </cell>
          <cell r="K294" t="str">
            <v>May</v>
          </cell>
        </row>
        <row r="295">
          <cell r="B295">
            <v>1044</v>
          </cell>
          <cell r="C295" t="str">
            <v>Kelly Cosden</v>
          </cell>
          <cell r="D295" t="str">
            <v>philadelphia</v>
          </cell>
          <cell r="E295" t="str">
            <v>CRS</v>
          </cell>
          <cell r="F295">
            <v>17767</v>
          </cell>
          <cell r="G295">
            <v>44791</v>
          </cell>
          <cell r="H295">
            <v>46252</v>
          </cell>
          <cell r="I295" t="str">
            <v>Active</v>
          </cell>
          <cell r="J295" t="str">
            <v>Philadelphia</v>
          </cell>
          <cell r="K295" t="str">
            <v>Aug</v>
          </cell>
        </row>
        <row r="296">
          <cell r="B296">
            <v>1046</v>
          </cell>
          <cell r="C296" t="str">
            <v>Kelly Garant</v>
          </cell>
          <cell r="D296" t="str">
            <v>philadelphia</v>
          </cell>
          <cell r="E296" t="str">
            <v>CRS</v>
          </cell>
          <cell r="F296">
            <v>12852</v>
          </cell>
          <cell r="G296">
            <v>43599</v>
          </cell>
          <cell r="H296">
            <v>46430</v>
          </cell>
          <cell r="I296" t="str">
            <v>Active</v>
          </cell>
          <cell r="J296" t="str">
            <v>Philadelphia</v>
          </cell>
          <cell r="K296" t="str">
            <v>May</v>
          </cell>
        </row>
        <row r="297">
          <cell r="B297">
            <v>1049</v>
          </cell>
          <cell r="C297" t="str">
            <v>Kenneth Allen</v>
          </cell>
          <cell r="D297" t="str">
            <v>philadelphia</v>
          </cell>
          <cell r="E297" t="str">
            <v>CRS</v>
          </cell>
          <cell r="F297">
            <v>17499</v>
          </cell>
          <cell r="G297">
            <v>44708</v>
          </cell>
          <cell r="H297">
            <v>46169</v>
          </cell>
          <cell r="I297" t="str">
            <v>Active</v>
          </cell>
          <cell r="J297" t="str">
            <v>Philadelphia</v>
          </cell>
          <cell r="K297" t="str">
            <v>May</v>
          </cell>
        </row>
        <row r="298">
          <cell r="B298">
            <v>1050</v>
          </cell>
          <cell r="C298" t="str">
            <v>Kenneth Harris</v>
          </cell>
          <cell r="D298" t="str">
            <v>philadelphia</v>
          </cell>
          <cell r="E298" t="str">
            <v>CRS</v>
          </cell>
          <cell r="F298">
            <v>16299</v>
          </cell>
          <cell r="G298">
            <v>44350</v>
          </cell>
          <cell r="H298">
            <v>45811</v>
          </cell>
          <cell r="I298" t="str">
            <v>Lapsed</v>
          </cell>
          <cell r="J298" t="str">
            <v>Philadelphia</v>
          </cell>
          <cell r="K298" t="str">
            <v>Jun</v>
          </cell>
        </row>
        <row r="299">
          <cell r="B299">
            <v>1051</v>
          </cell>
          <cell r="C299" t="str">
            <v>Kenneth Harris</v>
          </cell>
          <cell r="D299" t="str">
            <v>philadelphia</v>
          </cell>
          <cell r="E299" t="str">
            <v>CRSS</v>
          </cell>
          <cell r="F299">
            <v>16299</v>
          </cell>
          <cell r="G299">
            <v>45674</v>
          </cell>
          <cell r="H299">
            <v>46404</v>
          </cell>
          <cell r="I299" t="str">
            <v>Active</v>
          </cell>
          <cell r="J299" t="str">
            <v>Philadelphia</v>
          </cell>
          <cell r="K299" t="str">
            <v>Jan</v>
          </cell>
        </row>
        <row r="300">
          <cell r="B300">
            <v>1053</v>
          </cell>
          <cell r="C300" t="str">
            <v>Kent Derry</v>
          </cell>
          <cell r="D300" t="str">
            <v>philadelphia</v>
          </cell>
          <cell r="E300" t="str">
            <v>CRS</v>
          </cell>
          <cell r="F300">
            <v>8045</v>
          </cell>
          <cell r="G300">
            <v>40977</v>
          </cell>
          <cell r="H300">
            <v>41707</v>
          </cell>
          <cell r="I300" t="str">
            <v>Expired</v>
          </cell>
          <cell r="J300" t="str">
            <v>Philadelphia</v>
          </cell>
          <cell r="K300" t="str">
            <v>Mar</v>
          </cell>
        </row>
        <row r="301">
          <cell r="B301">
            <v>1054</v>
          </cell>
          <cell r="C301" t="str">
            <v>Kenya Moore</v>
          </cell>
          <cell r="D301" t="str">
            <v>philadelphia</v>
          </cell>
          <cell r="E301" t="str">
            <v>CRS</v>
          </cell>
          <cell r="F301">
            <v>8395</v>
          </cell>
          <cell r="G301">
            <v>41393</v>
          </cell>
          <cell r="H301">
            <v>42123</v>
          </cell>
          <cell r="I301" t="str">
            <v>Expired</v>
          </cell>
          <cell r="J301" t="str">
            <v>Philadelphia</v>
          </cell>
          <cell r="K301" t="str">
            <v>Apr</v>
          </cell>
        </row>
        <row r="302">
          <cell r="B302">
            <v>1055</v>
          </cell>
          <cell r="C302" t="str">
            <v>Kenyatte Tilley</v>
          </cell>
          <cell r="D302" t="str">
            <v>philadelphia</v>
          </cell>
          <cell r="E302" t="str">
            <v>CRS</v>
          </cell>
          <cell r="F302">
            <v>20015</v>
          </cell>
          <cell r="G302">
            <v>45365</v>
          </cell>
          <cell r="H302">
            <v>46095</v>
          </cell>
          <cell r="I302" t="str">
            <v>Active</v>
          </cell>
          <cell r="J302" t="str">
            <v>Philadelphia</v>
          </cell>
          <cell r="K302" t="str">
            <v>Mar</v>
          </cell>
        </row>
        <row r="303">
          <cell r="B303">
            <v>1065</v>
          </cell>
          <cell r="C303" t="str">
            <v>Kevin Borum</v>
          </cell>
          <cell r="D303" t="str">
            <v>philadelphia</v>
          </cell>
          <cell r="E303" t="str">
            <v>CRS</v>
          </cell>
          <cell r="F303">
            <v>14001</v>
          </cell>
          <cell r="G303">
            <v>43670</v>
          </cell>
          <cell r="H303">
            <v>45131</v>
          </cell>
          <cell r="I303" t="str">
            <v>Expired</v>
          </cell>
          <cell r="J303" t="str">
            <v>Philadelphia</v>
          </cell>
          <cell r="K303" t="str">
            <v>Jul</v>
          </cell>
        </row>
        <row r="304">
          <cell r="B304">
            <v>1066</v>
          </cell>
          <cell r="C304" t="str">
            <v>Kevin Borum</v>
          </cell>
          <cell r="D304" t="str">
            <v>philadelphia</v>
          </cell>
          <cell r="E304" t="str">
            <v>CFRS</v>
          </cell>
          <cell r="F304">
            <v>14001</v>
          </cell>
          <cell r="G304">
            <v>44124</v>
          </cell>
          <cell r="H304">
            <v>44854</v>
          </cell>
          <cell r="I304" t="str">
            <v>Expired</v>
          </cell>
          <cell r="J304" t="str">
            <v>Philadelphia</v>
          </cell>
          <cell r="K304" t="str">
            <v>Oct</v>
          </cell>
        </row>
        <row r="305">
          <cell r="B305">
            <v>1070</v>
          </cell>
          <cell r="C305" t="str">
            <v>Kevin Dial</v>
          </cell>
          <cell r="D305" t="str">
            <v>philadelphia</v>
          </cell>
          <cell r="E305" t="str">
            <v>CRS</v>
          </cell>
          <cell r="F305">
            <v>14753</v>
          </cell>
          <cell r="G305">
            <v>43770</v>
          </cell>
          <cell r="H305">
            <v>45962</v>
          </cell>
          <cell r="I305" t="str">
            <v>Active</v>
          </cell>
          <cell r="J305" t="str">
            <v>Philadelphia</v>
          </cell>
          <cell r="K305" t="str">
            <v>Nov</v>
          </cell>
        </row>
        <row r="306">
          <cell r="B306">
            <v>1071</v>
          </cell>
          <cell r="C306" t="str">
            <v>Kevin Dial</v>
          </cell>
          <cell r="D306" t="str">
            <v>philadelphia</v>
          </cell>
          <cell r="E306" t="str">
            <v>CFRS</v>
          </cell>
          <cell r="F306">
            <v>14753</v>
          </cell>
          <cell r="G306">
            <v>44586</v>
          </cell>
          <cell r="H306">
            <v>45962</v>
          </cell>
          <cell r="I306" t="str">
            <v>Active</v>
          </cell>
          <cell r="J306" t="str">
            <v>Philadelphia</v>
          </cell>
          <cell r="K306" t="str">
            <v>Jan</v>
          </cell>
        </row>
        <row r="307">
          <cell r="B307">
            <v>1072</v>
          </cell>
          <cell r="C307" t="str">
            <v>Kevin Linder</v>
          </cell>
          <cell r="D307" t="str">
            <v>philadelphia</v>
          </cell>
          <cell r="E307" t="str">
            <v>CRS</v>
          </cell>
          <cell r="F307">
            <v>8271</v>
          </cell>
          <cell r="G307">
            <v>41255</v>
          </cell>
          <cell r="H307">
            <v>41985</v>
          </cell>
          <cell r="I307" t="str">
            <v>Expired</v>
          </cell>
          <cell r="J307" t="str">
            <v>Philadelphia</v>
          </cell>
          <cell r="K307" t="str">
            <v>Dec</v>
          </cell>
        </row>
        <row r="308">
          <cell r="B308">
            <v>1073</v>
          </cell>
          <cell r="C308" t="str">
            <v>Kevin McGee</v>
          </cell>
          <cell r="D308" t="str">
            <v>philadelphia</v>
          </cell>
          <cell r="E308" t="str">
            <v>CRS</v>
          </cell>
          <cell r="F308">
            <v>17009</v>
          </cell>
          <cell r="G308">
            <v>44531</v>
          </cell>
          <cell r="H308">
            <v>45992</v>
          </cell>
          <cell r="I308" t="str">
            <v>Active</v>
          </cell>
          <cell r="J308" t="str">
            <v>Philadelphia</v>
          </cell>
          <cell r="K308" t="str">
            <v>Dec</v>
          </cell>
        </row>
        <row r="309">
          <cell r="B309">
            <v>1075</v>
          </cell>
          <cell r="C309" t="str">
            <v>Kevin White</v>
          </cell>
          <cell r="D309" t="str">
            <v>philadelphia</v>
          </cell>
          <cell r="E309" t="str">
            <v>CRS</v>
          </cell>
          <cell r="F309">
            <v>12912</v>
          </cell>
          <cell r="G309">
            <v>44676</v>
          </cell>
          <cell r="H309">
            <v>46137</v>
          </cell>
          <cell r="I309" t="str">
            <v>Active</v>
          </cell>
          <cell r="J309" t="str">
            <v>Philadelphia</v>
          </cell>
          <cell r="K309" t="str">
            <v>Apr</v>
          </cell>
        </row>
        <row r="310">
          <cell r="B310">
            <v>1076</v>
          </cell>
          <cell r="C310" t="str">
            <v>Khalid Stokes</v>
          </cell>
          <cell r="D310" t="str">
            <v>philadelphia</v>
          </cell>
          <cell r="E310" t="str">
            <v>CRS</v>
          </cell>
          <cell r="F310">
            <v>19237</v>
          </cell>
          <cell r="G310">
            <v>45202</v>
          </cell>
          <cell r="H310">
            <v>45933</v>
          </cell>
          <cell r="I310" t="str">
            <v>Active</v>
          </cell>
          <cell r="J310" t="str">
            <v>Philadelphia</v>
          </cell>
          <cell r="K310" t="str">
            <v>Oct</v>
          </cell>
        </row>
        <row r="311">
          <cell r="B311">
            <v>1077</v>
          </cell>
          <cell r="C311" t="str">
            <v>Kia Bigelow</v>
          </cell>
          <cell r="D311" t="str">
            <v>philadelphia</v>
          </cell>
          <cell r="E311" t="str">
            <v>CRS</v>
          </cell>
          <cell r="F311">
            <v>9019</v>
          </cell>
          <cell r="G311">
            <v>41905</v>
          </cell>
          <cell r="H311">
            <v>42636</v>
          </cell>
          <cell r="I311" t="str">
            <v>Expired</v>
          </cell>
          <cell r="J311" t="str">
            <v>Philadelphia</v>
          </cell>
          <cell r="K311" t="str">
            <v>Sep</v>
          </cell>
        </row>
        <row r="312">
          <cell r="B312">
            <v>1091</v>
          </cell>
          <cell r="C312" t="str">
            <v>Kirk Parsons</v>
          </cell>
          <cell r="D312" t="str">
            <v>philadelphia</v>
          </cell>
          <cell r="E312" t="str">
            <v>CRS</v>
          </cell>
          <cell r="F312">
            <v>9517</v>
          </cell>
          <cell r="G312">
            <v>42411</v>
          </cell>
          <cell r="H312">
            <v>45333</v>
          </cell>
          <cell r="I312" t="str">
            <v>Expired</v>
          </cell>
          <cell r="J312" t="str">
            <v>Philadelphia</v>
          </cell>
          <cell r="K312" t="str">
            <v>Feb</v>
          </cell>
        </row>
        <row r="313">
          <cell r="B313">
            <v>1096</v>
          </cell>
          <cell r="C313" t="str">
            <v>Kris Melton</v>
          </cell>
          <cell r="D313" t="str">
            <v>philadelphia</v>
          </cell>
          <cell r="E313" t="str">
            <v>CRS</v>
          </cell>
          <cell r="F313">
            <v>11349</v>
          </cell>
          <cell r="G313">
            <v>43227</v>
          </cell>
          <cell r="H313">
            <v>43958</v>
          </cell>
          <cell r="I313" t="str">
            <v>Expired</v>
          </cell>
          <cell r="J313" t="str">
            <v>Philadelphia</v>
          </cell>
          <cell r="K313" t="str">
            <v>May</v>
          </cell>
        </row>
        <row r="314">
          <cell r="B314">
            <v>1097</v>
          </cell>
          <cell r="C314" t="str">
            <v>Kristianna Rubin</v>
          </cell>
          <cell r="D314" t="str">
            <v>philadelphia</v>
          </cell>
          <cell r="E314" t="str">
            <v>CRS</v>
          </cell>
          <cell r="F314">
            <v>13341</v>
          </cell>
          <cell r="G314">
            <v>43599</v>
          </cell>
          <cell r="H314">
            <v>44330</v>
          </cell>
          <cell r="I314" t="str">
            <v>Expired</v>
          </cell>
          <cell r="J314" t="str">
            <v>Philadelphia</v>
          </cell>
          <cell r="K314" t="str">
            <v>May</v>
          </cell>
        </row>
        <row r="315">
          <cell r="B315">
            <v>1112</v>
          </cell>
          <cell r="C315" t="str">
            <v>Lana Sample</v>
          </cell>
          <cell r="D315" t="str">
            <v>philadelphia</v>
          </cell>
          <cell r="E315" t="str">
            <v>CRS</v>
          </cell>
          <cell r="F315">
            <v>14424</v>
          </cell>
          <cell r="G315">
            <v>43697</v>
          </cell>
          <cell r="H315">
            <v>44428</v>
          </cell>
          <cell r="I315" t="str">
            <v>Expired</v>
          </cell>
          <cell r="J315" t="str">
            <v>Philadelphia</v>
          </cell>
          <cell r="K315" t="str">
            <v>Aug</v>
          </cell>
        </row>
        <row r="316">
          <cell r="B316">
            <v>1114</v>
          </cell>
          <cell r="C316" t="str">
            <v>Larry Rice</v>
          </cell>
          <cell r="D316" t="str">
            <v>philadelphia</v>
          </cell>
          <cell r="E316" t="str">
            <v>CRS</v>
          </cell>
          <cell r="F316">
            <v>11044</v>
          </cell>
          <cell r="G316">
            <v>43203</v>
          </cell>
          <cell r="H316">
            <v>43934</v>
          </cell>
          <cell r="I316" t="str">
            <v>Expired</v>
          </cell>
          <cell r="J316" t="str">
            <v>Philadelphia</v>
          </cell>
          <cell r="K316" t="str">
            <v>Apr</v>
          </cell>
        </row>
        <row r="317">
          <cell r="B317">
            <v>1119</v>
          </cell>
          <cell r="C317" t="str">
            <v>Laura Craig</v>
          </cell>
          <cell r="D317" t="str">
            <v>philadelphia</v>
          </cell>
          <cell r="E317" t="str">
            <v>CRS</v>
          </cell>
          <cell r="F317">
            <v>15469</v>
          </cell>
          <cell r="G317">
            <v>44096</v>
          </cell>
          <cell r="H317">
            <v>46287</v>
          </cell>
          <cell r="I317" t="str">
            <v>Active</v>
          </cell>
          <cell r="J317" t="str">
            <v>Philadelphia</v>
          </cell>
          <cell r="K317" t="str">
            <v>Sep</v>
          </cell>
        </row>
        <row r="318">
          <cell r="B318">
            <v>1120</v>
          </cell>
          <cell r="C318" t="str">
            <v>Laura Craig</v>
          </cell>
          <cell r="D318" t="str">
            <v>philadelphia</v>
          </cell>
          <cell r="E318" t="str">
            <v>CFRS</v>
          </cell>
          <cell r="F318">
            <v>15469</v>
          </cell>
          <cell r="G318">
            <v>44089</v>
          </cell>
          <cell r="H318">
            <v>46280</v>
          </cell>
          <cell r="I318" t="str">
            <v>Active</v>
          </cell>
          <cell r="J318" t="str">
            <v>Philadelphia</v>
          </cell>
          <cell r="K318" t="str">
            <v>Sep</v>
          </cell>
        </row>
        <row r="319">
          <cell r="B319">
            <v>1127</v>
          </cell>
          <cell r="C319" t="str">
            <v>Lauren Hollinsworth</v>
          </cell>
          <cell r="D319" t="str">
            <v>philadelphia</v>
          </cell>
          <cell r="E319" t="str">
            <v>CRS</v>
          </cell>
          <cell r="F319">
            <v>9243</v>
          </cell>
          <cell r="G319">
            <v>42180</v>
          </cell>
          <cell r="H319">
            <v>44372</v>
          </cell>
          <cell r="I319" t="str">
            <v>Expired</v>
          </cell>
          <cell r="J319" t="str">
            <v>Philadelphia</v>
          </cell>
          <cell r="K319" t="str">
            <v>Jun</v>
          </cell>
        </row>
        <row r="320">
          <cell r="B320">
            <v>1131</v>
          </cell>
          <cell r="C320" t="str">
            <v>Lauren Szczepanik</v>
          </cell>
          <cell r="D320" t="str">
            <v>philadelphia</v>
          </cell>
          <cell r="E320" t="str">
            <v>CRS</v>
          </cell>
          <cell r="F320">
            <v>17878</v>
          </cell>
          <cell r="G320">
            <v>44833</v>
          </cell>
          <cell r="H320">
            <v>46294</v>
          </cell>
          <cell r="I320" t="str">
            <v>Active</v>
          </cell>
          <cell r="J320" t="str">
            <v>Philadelphia</v>
          </cell>
          <cell r="K320" t="str">
            <v>Sep</v>
          </cell>
        </row>
        <row r="321">
          <cell r="B321">
            <v>1132</v>
          </cell>
          <cell r="C321" t="str">
            <v>Lauren Walden</v>
          </cell>
          <cell r="D321" t="str">
            <v>philadelphia</v>
          </cell>
          <cell r="E321" t="str">
            <v>CRS</v>
          </cell>
          <cell r="F321">
            <v>16535</v>
          </cell>
          <cell r="G321">
            <v>44372</v>
          </cell>
          <cell r="H321">
            <v>45833</v>
          </cell>
          <cell r="I321" t="str">
            <v>Active</v>
          </cell>
          <cell r="J321" t="str">
            <v>Philadelphia</v>
          </cell>
          <cell r="K321" t="str">
            <v>Jun</v>
          </cell>
        </row>
        <row r="322">
          <cell r="B322">
            <v>1136</v>
          </cell>
          <cell r="C322" t="str">
            <v>Laurencene Wright</v>
          </cell>
          <cell r="D322" t="str">
            <v>philadelphia</v>
          </cell>
          <cell r="E322" t="str">
            <v>CRS</v>
          </cell>
          <cell r="F322">
            <v>14425</v>
          </cell>
          <cell r="G322">
            <v>43697</v>
          </cell>
          <cell r="H322">
            <v>44428</v>
          </cell>
          <cell r="I322" t="str">
            <v>Expired</v>
          </cell>
          <cell r="J322" t="str">
            <v>Philadelphia</v>
          </cell>
          <cell r="K322" t="str">
            <v>Aug</v>
          </cell>
        </row>
        <row r="323">
          <cell r="B323">
            <v>1137</v>
          </cell>
          <cell r="C323" t="str">
            <v>Laurie Corsack-Tester</v>
          </cell>
          <cell r="D323" t="str">
            <v>philadelphia</v>
          </cell>
          <cell r="E323" t="str">
            <v>CRS</v>
          </cell>
          <cell r="F323">
            <v>10019</v>
          </cell>
          <cell r="G323">
            <v>42766</v>
          </cell>
          <cell r="H323">
            <v>43496</v>
          </cell>
          <cell r="I323" t="str">
            <v>Expired</v>
          </cell>
          <cell r="J323" t="str">
            <v>Philadelphia</v>
          </cell>
          <cell r="K323" t="str">
            <v>Jan</v>
          </cell>
        </row>
        <row r="324">
          <cell r="B324">
            <v>1138</v>
          </cell>
          <cell r="C324" t="str">
            <v>Lawrence  Elmore</v>
          </cell>
          <cell r="D324" t="str">
            <v>philadelphia</v>
          </cell>
          <cell r="E324" t="str">
            <v>CRS</v>
          </cell>
          <cell r="F324">
            <v>18334</v>
          </cell>
          <cell r="G324">
            <v>45614</v>
          </cell>
          <cell r="H324">
            <v>46344</v>
          </cell>
          <cell r="I324" t="str">
            <v>Active</v>
          </cell>
          <cell r="J324" t="str">
            <v>Philadelphia</v>
          </cell>
          <cell r="K324" t="str">
            <v>Nov</v>
          </cell>
        </row>
        <row r="325">
          <cell r="B325">
            <v>1141</v>
          </cell>
          <cell r="C325" t="str">
            <v>Lawrence Wright</v>
          </cell>
          <cell r="D325" t="str">
            <v>philadelphia</v>
          </cell>
          <cell r="E325" t="str">
            <v>CRS</v>
          </cell>
          <cell r="F325">
            <v>14021</v>
          </cell>
          <cell r="G325">
            <v>43670</v>
          </cell>
          <cell r="H325">
            <v>44401</v>
          </cell>
          <cell r="I325" t="str">
            <v>Expired</v>
          </cell>
          <cell r="J325" t="str">
            <v>Philadelphia</v>
          </cell>
          <cell r="K325" t="str">
            <v>Jul</v>
          </cell>
        </row>
        <row r="326">
          <cell r="B326">
            <v>1148</v>
          </cell>
          <cell r="C326" t="str">
            <v>Leilany Vargas</v>
          </cell>
          <cell r="D326" t="str">
            <v>philadelphia</v>
          </cell>
          <cell r="E326" t="str">
            <v>CFRS</v>
          </cell>
          <cell r="F326">
            <v>16142</v>
          </cell>
          <cell r="G326">
            <v>44286</v>
          </cell>
          <cell r="H326">
            <v>46477</v>
          </cell>
          <cell r="I326" t="str">
            <v>Active</v>
          </cell>
          <cell r="J326" t="str">
            <v>Philadelphia</v>
          </cell>
          <cell r="K326" t="str">
            <v>Mar</v>
          </cell>
        </row>
        <row r="327">
          <cell r="B327">
            <v>1151</v>
          </cell>
          <cell r="C327" t="str">
            <v>Leon Craddock</v>
          </cell>
          <cell r="D327" t="str">
            <v>philadelphia</v>
          </cell>
          <cell r="E327" t="str">
            <v>CRS</v>
          </cell>
          <cell r="F327">
            <v>9999</v>
          </cell>
          <cell r="G327">
            <v>42753</v>
          </cell>
          <cell r="H327">
            <v>43483</v>
          </cell>
          <cell r="I327" t="str">
            <v>Expired</v>
          </cell>
          <cell r="J327" t="str">
            <v>Philadelphia</v>
          </cell>
          <cell r="K327" t="str">
            <v>Jan</v>
          </cell>
        </row>
        <row r="328">
          <cell r="B328">
            <v>1152</v>
          </cell>
          <cell r="C328" t="str">
            <v>Leonard Burnett</v>
          </cell>
          <cell r="D328" t="str">
            <v>philadelphia</v>
          </cell>
          <cell r="E328" t="str">
            <v>CRS</v>
          </cell>
          <cell r="F328">
            <v>11598</v>
          </cell>
          <cell r="G328">
            <v>44747</v>
          </cell>
          <cell r="H328">
            <v>46208</v>
          </cell>
          <cell r="I328" t="str">
            <v>Active</v>
          </cell>
          <cell r="J328" t="str">
            <v>Philadelphia</v>
          </cell>
          <cell r="K328" t="str">
            <v>Jul</v>
          </cell>
        </row>
        <row r="329">
          <cell r="B329">
            <v>1153</v>
          </cell>
          <cell r="C329" t="str">
            <v>Leonard Burnett</v>
          </cell>
          <cell r="D329" t="str">
            <v>philadelphia</v>
          </cell>
          <cell r="E329" t="str">
            <v>CRSS</v>
          </cell>
          <cell r="F329">
            <v>11598</v>
          </cell>
          <cell r="G329">
            <v>45645</v>
          </cell>
          <cell r="H329">
            <v>46375</v>
          </cell>
          <cell r="I329" t="str">
            <v>Active</v>
          </cell>
          <cell r="J329" t="str">
            <v>Philadelphia</v>
          </cell>
          <cell r="K329" t="str">
            <v>Dec</v>
          </cell>
        </row>
        <row r="330">
          <cell r="B330">
            <v>1163</v>
          </cell>
          <cell r="C330" t="str">
            <v>Linda Kelly</v>
          </cell>
          <cell r="D330" t="str">
            <v>philadelphia</v>
          </cell>
          <cell r="E330" t="str">
            <v>CRS</v>
          </cell>
          <cell r="F330">
            <v>18915</v>
          </cell>
          <cell r="G330">
            <v>45131</v>
          </cell>
          <cell r="H330">
            <v>45862</v>
          </cell>
          <cell r="I330" t="str">
            <v>Active</v>
          </cell>
          <cell r="J330" t="str">
            <v>Philadelphia</v>
          </cell>
          <cell r="K330" t="str">
            <v>Jul</v>
          </cell>
        </row>
        <row r="331">
          <cell r="B331">
            <v>1164</v>
          </cell>
          <cell r="C331" t="str">
            <v>Linda Kelly</v>
          </cell>
          <cell r="D331" t="str">
            <v>philadelphia</v>
          </cell>
          <cell r="E331" t="str">
            <v>CFRS</v>
          </cell>
          <cell r="F331">
            <v>18915</v>
          </cell>
          <cell r="G331">
            <v>45756</v>
          </cell>
          <cell r="H331">
            <v>46486</v>
          </cell>
          <cell r="I331" t="str">
            <v>Active</v>
          </cell>
          <cell r="J331" t="str">
            <v>Philadelphia</v>
          </cell>
          <cell r="K331" t="str">
            <v>Apr</v>
          </cell>
        </row>
        <row r="332">
          <cell r="B332">
            <v>1178</v>
          </cell>
          <cell r="C332" t="str">
            <v>Lisa Harvey</v>
          </cell>
          <cell r="D332" t="str">
            <v>philadelphia</v>
          </cell>
          <cell r="E332" t="str">
            <v>CRS</v>
          </cell>
          <cell r="F332">
            <v>14414</v>
          </cell>
          <cell r="G332">
            <v>43697</v>
          </cell>
          <cell r="H332">
            <v>44428</v>
          </cell>
          <cell r="I332" t="str">
            <v>Expired</v>
          </cell>
          <cell r="J332" t="str">
            <v>Philadelphia</v>
          </cell>
          <cell r="K332" t="str">
            <v>Aug</v>
          </cell>
        </row>
        <row r="333">
          <cell r="B333">
            <v>1179</v>
          </cell>
          <cell r="C333" t="str">
            <v>Lisa Hutt</v>
          </cell>
          <cell r="D333" t="str">
            <v>philadelphia</v>
          </cell>
          <cell r="E333" t="str">
            <v>CRS</v>
          </cell>
          <cell r="F333">
            <v>13920</v>
          </cell>
          <cell r="G333">
            <v>44461</v>
          </cell>
          <cell r="H333">
            <v>45922</v>
          </cell>
          <cell r="I333" t="str">
            <v>Active</v>
          </cell>
          <cell r="J333" t="str">
            <v>Philadelphia</v>
          </cell>
          <cell r="K333" t="str">
            <v>Sep</v>
          </cell>
        </row>
        <row r="334">
          <cell r="B334">
            <v>1184</v>
          </cell>
          <cell r="C334" t="str">
            <v>Lizandra Torres-Lebron</v>
          </cell>
          <cell r="D334" t="str">
            <v>philadelphia</v>
          </cell>
          <cell r="E334" t="str">
            <v>CRS</v>
          </cell>
          <cell r="F334">
            <v>21851</v>
          </cell>
          <cell r="G334">
            <v>45762</v>
          </cell>
          <cell r="H334">
            <v>46492</v>
          </cell>
          <cell r="I334" t="str">
            <v>Active</v>
          </cell>
          <cell r="J334" t="str">
            <v>Philadelphia</v>
          </cell>
          <cell r="K334" t="str">
            <v>Apr</v>
          </cell>
        </row>
        <row r="335">
          <cell r="B335">
            <v>1185</v>
          </cell>
          <cell r="C335" t="str">
            <v>Liznamir  Corchado Martinez</v>
          </cell>
          <cell r="D335" t="str">
            <v>philadelphia</v>
          </cell>
          <cell r="E335" t="str">
            <v>CFRS</v>
          </cell>
          <cell r="F335">
            <v>18595</v>
          </cell>
          <cell r="G335">
            <v>45056</v>
          </cell>
          <cell r="H335">
            <v>46517</v>
          </cell>
          <cell r="I335" t="str">
            <v>Active</v>
          </cell>
          <cell r="J335" t="str">
            <v>Philadelphia</v>
          </cell>
          <cell r="K335" t="str">
            <v>May</v>
          </cell>
        </row>
        <row r="336">
          <cell r="B336">
            <v>1186</v>
          </cell>
          <cell r="C336" t="str">
            <v>Lois Marino</v>
          </cell>
          <cell r="D336" t="str">
            <v>philadelphia</v>
          </cell>
          <cell r="E336" t="str">
            <v>CRS</v>
          </cell>
          <cell r="F336">
            <v>17303</v>
          </cell>
          <cell r="G336">
            <v>44656</v>
          </cell>
          <cell r="H336">
            <v>45387</v>
          </cell>
          <cell r="I336" t="str">
            <v>Expired</v>
          </cell>
          <cell r="J336" t="str">
            <v>Philadelphia</v>
          </cell>
          <cell r="K336" t="str">
            <v>Apr</v>
          </cell>
        </row>
        <row r="337">
          <cell r="B337">
            <v>1187</v>
          </cell>
          <cell r="C337" t="str">
            <v>Lorene Green</v>
          </cell>
          <cell r="D337" t="str">
            <v>philadelphia</v>
          </cell>
          <cell r="E337" t="str">
            <v>CRS</v>
          </cell>
          <cell r="F337">
            <v>11041</v>
          </cell>
          <cell r="G337">
            <v>43203</v>
          </cell>
          <cell r="H337">
            <v>43934</v>
          </cell>
          <cell r="I337" t="str">
            <v>Expired</v>
          </cell>
          <cell r="J337" t="str">
            <v>Philadelphia</v>
          </cell>
          <cell r="K337" t="str">
            <v>Apr</v>
          </cell>
        </row>
        <row r="338">
          <cell r="B338">
            <v>1188</v>
          </cell>
          <cell r="C338" t="str">
            <v>Loretta Levy</v>
          </cell>
          <cell r="D338" t="str">
            <v>philadelphia</v>
          </cell>
          <cell r="E338" t="str">
            <v>CRS</v>
          </cell>
          <cell r="F338">
            <v>8687</v>
          </cell>
          <cell r="G338">
            <v>41603</v>
          </cell>
          <cell r="H338">
            <v>42333</v>
          </cell>
          <cell r="I338" t="str">
            <v>Expired</v>
          </cell>
          <cell r="J338" t="str">
            <v>Philadelphia</v>
          </cell>
          <cell r="K338" t="str">
            <v>Nov</v>
          </cell>
        </row>
        <row r="339">
          <cell r="B339">
            <v>1189</v>
          </cell>
          <cell r="C339" t="str">
            <v>Loretta Mazzoni</v>
          </cell>
          <cell r="D339" t="str">
            <v>philadelphia</v>
          </cell>
          <cell r="E339" t="str">
            <v>CRS</v>
          </cell>
          <cell r="F339">
            <v>17854</v>
          </cell>
          <cell r="G339">
            <v>44829</v>
          </cell>
          <cell r="H339">
            <v>45560</v>
          </cell>
          <cell r="I339" t="str">
            <v>Lapsed</v>
          </cell>
          <cell r="J339" t="str">
            <v>Philadelphia</v>
          </cell>
          <cell r="K339" t="str">
            <v>Sep</v>
          </cell>
        </row>
        <row r="340">
          <cell r="B340">
            <v>1190</v>
          </cell>
          <cell r="C340" t="str">
            <v>Loretta Mazzoni</v>
          </cell>
          <cell r="D340" t="str">
            <v>philadelphia</v>
          </cell>
          <cell r="E340" t="str">
            <v>CFRS</v>
          </cell>
          <cell r="F340">
            <v>17854</v>
          </cell>
          <cell r="G340">
            <v>44832</v>
          </cell>
          <cell r="H340">
            <v>45563</v>
          </cell>
          <cell r="I340" t="str">
            <v>Lapsed</v>
          </cell>
          <cell r="J340" t="str">
            <v>Philadelphia</v>
          </cell>
          <cell r="K340" t="str">
            <v>Sep</v>
          </cell>
        </row>
        <row r="341">
          <cell r="B341">
            <v>1195</v>
          </cell>
          <cell r="C341" t="str">
            <v>Lorraine Beckett</v>
          </cell>
          <cell r="D341" t="str">
            <v>philadelphia</v>
          </cell>
          <cell r="E341" t="str">
            <v>CRS</v>
          </cell>
          <cell r="F341">
            <v>19777</v>
          </cell>
          <cell r="G341">
            <v>45320</v>
          </cell>
          <cell r="H341">
            <v>46051</v>
          </cell>
          <cell r="I341" t="str">
            <v>Active</v>
          </cell>
          <cell r="J341" t="str">
            <v>Philadelphia</v>
          </cell>
          <cell r="K341" t="str">
            <v>Jan</v>
          </cell>
        </row>
        <row r="342">
          <cell r="B342">
            <v>1196</v>
          </cell>
          <cell r="C342" t="str">
            <v>Lorraine Tortorice</v>
          </cell>
          <cell r="D342" t="str">
            <v>philadelphia</v>
          </cell>
          <cell r="E342" t="str">
            <v>CFRS</v>
          </cell>
          <cell r="F342">
            <v>21859</v>
          </cell>
          <cell r="G342">
            <v>45764</v>
          </cell>
          <cell r="H342">
            <v>46494</v>
          </cell>
          <cell r="I342" t="str">
            <v>Active</v>
          </cell>
          <cell r="J342" t="str">
            <v>Philadelphia</v>
          </cell>
          <cell r="K342" t="str">
            <v>Apr</v>
          </cell>
        </row>
        <row r="343">
          <cell r="B343">
            <v>1197</v>
          </cell>
          <cell r="C343" t="str">
            <v>Louis Farber</v>
          </cell>
          <cell r="D343" t="str">
            <v>philadelphia</v>
          </cell>
          <cell r="E343" t="str">
            <v>CRS</v>
          </cell>
          <cell r="F343">
            <v>14413</v>
          </cell>
          <cell r="G343">
            <v>43697</v>
          </cell>
          <cell r="H343">
            <v>45889</v>
          </cell>
          <cell r="I343" t="str">
            <v>Active</v>
          </cell>
          <cell r="J343" t="str">
            <v>Philadelphia</v>
          </cell>
          <cell r="K343" t="str">
            <v>Aug</v>
          </cell>
        </row>
        <row r="344">
          <cell r="B344">
            <v>1198</v>
          </cell>
          <cell r="C344" t="str">
            <v>Louis Fasone</v>
          </cell>
          <cell r="D344" t="str">
            <v>philadelphia</v>
          </cell>
          <cell r="E344" t="str">
            <v>CRS</v>
          </cell>
          <cell r="F344">
            <v>14944</v>
          </cell>
          <cell r="G344">
            <v>43818</v>
          </cell>
          <cell r="H344">
            <v>44549</v>
          </cell>
          <cell r="I344" t="str">
            <v>Expired</v>
          </cell>
          <cell r="J344" t="str">
            <v>Philadelphia</v>
          </cell>
          <cell r="K344" t="str">
            <v>Dec</v>
          </cell>
        </row>
        <row r="345">
          <cell r="B345">
            <v>1199</v>
          </cell>
          <cell r="C345" t="str">
            <v>Lovada Washington</v>
          </cell>
          <cell r="D345" t="str">
            <v>philadelphia</v>
          </cell>
          <cell r="E345" t="str">
            <v>CRS</v>
          </cell>
          <cell r="F345">
            <v>17994</v>
          </cell>
          <cell r="G345">
            <v>44866</v>
          </cell>
          <cell r="H345">
            <v>45597</v>
          </cell>
          <cell r="I345" t="str">
            <v>Lapsed</v>
          </cell>
          <cell r="J345" t="str">
            <v>Philadelphia</v>
          </cell>
          <cell r="K345" t="str">
            <v>Nov</v>
          </cell>
        </row>
        <row r="346">
          <cell r="B346">
            <v>1201</v>
          </cell>
          <cell r="C346" t="str">
            <v>Lucy Gehan</v>
          </cell>
          <cell r="D346" t="str">
            <v>philadelphia</v>
          </cell>
          <cell r="E346" t="str">
            <v>CRS</v>
          </cell>
          <cell r="F346">
            <v>11316</v>
          </cell>
          <cell r="G346">
            <v>44664</v>
          </cell>
          <cell r="H346">
            <v>46125</v>
          </cell>
          <cell r="I346" t="str">
            <v>Active</v>
          </cell>
          <cell r="J346" t="str">
            <v>Philadelphia</v>
          </cell>
          <cell r="K346" t="str">
            <v>Apr</v>
          </cell>
        </row>
        <row r="347">
          <cell r="B347">
            <v>1203</v>
          </cell>
          <cell r="C347" t="str">
            <v>Luis Quinones</v>
          </cell>
          <cell r="D347" t="str">
            <v>philadelphia</v>
          </cell>
          <cell r="E347" t="str">
            <v>CRS</v>
          </cell>
          <cell r="F347">
            <v>21004</v>
          </cell>
          <cell r="G347">
            <v>45587</v>
          </cell>
          <cell r="H347">
            <v>46317</v>
          </cell>
          <cell r="I347" t="str">
            <v>Active</v>
          </cell>
          <cell r="J347" t="str">
            <v>Philadelphia</v>
          </cell>
          <cell r="K347" t="str">
            <v>Oct</v>
          </cell>
        </row>
        <row r="348">
          <cell r="B348">
            <v>1204</v>
          </cell>
          <cell r="C348" t="str">
            <v>Luis Quinones</v>
          </cell>
          <cell r="D348" t="str">
            <v>philadelphia</v>
          </cell>
          <cell r="E348" t="str">
            <v>CFRS</v>
          </cell>
          <cell r="F348">
            <v>21004</v>
          </cell>
          <cell r="G348">
            <v>45581</v>
          </cell>
          <cell r="H348">
            <v>46311</v>
          </cell>
          <cell r="I348" t="str">
            <v>Active</v>
          </cell>
          <cell r="J348" t="str">
            <v>Philadelphia</v>
          </cell>
          <cell r="K348" t="str">
            <v>Oct</v>
          </cell>
        </row>
        <row r="349">
          <cell r="B349">
            <v>1205</v>
          </cell>
          <cell r="C349" t="str">
            <v>Luis Ramos Soto</v>
          </cell>
          <cell r="D349" t="str">
            <v>philadelphia</v>
          </cell>
          <cell r="E349" t="str">
            <v>CRS</v>
          </cell>
          <cell r="F349">
            <v>13008</v>
          </cell>
          <cell r="G349">
            <v>44119</v>
          </cell>
          <cell r="H349">
            <v>45580</v>
          </cell>
          <cell r="I349" t="str">
            <v>Lapsed</v>
          </cell>
          <cell r="J349" t="str">
            <v>Philadelphia</v>
          </cell>
          <cell r="K349" t="str">
            <v>Oct</v>
          </cell>
        </row>
        <row r="350">
          <cell r="B350">
            <v>1207</v>
          </cell>
          <cell r="C350" t="str">
            <v>Luke Enge</v>
          </cell>
          <cell r="D350" t="str">
            <v>philadelphia</v>
          </cell>
          <cell r="E350" t="str">
            <v>CRS</v>
          </cell>
          <cell r="F350">
            <v>17351</v>
          </cell>
          <cell r="G350">
            <v>44669</v>
          </cell>
          <cell r="H350">
            <v>45400</v>
          </cell>
          <cell r="I350" t="str">
            <v>Expired</v>
          </cell>
          <cell r="J350" t="str">
            <v>Philadelphia</v>
          </cell>
          <cell r="K350" t="str">
            <v>Apr</v>
          </cell>
        </row>
        <row r="351">
          <cell r="B351">
            <v>1208</v>
          </cell>
          <cell r="C351" t="str">
            <v>Luke Soriano</v>
          </cell>
          <cell r="D351" t="str">
            <v>philadelphia</v>
          </cell>
          <cell r="E351" t="str">
            <v>CRS</v>
          </cell>
          <cell r="F351">
            <v>17749</v>
          </cell>
          <cell r="G351">
            <v>44786</v>
          </cell>
          <cell r="H351">
            <v>46247</v>
          </cell>
          <cell r="I351" t="str">
            <v>Active</v>
          </cell>
          <cell r="J351" t="str">
            <v>Philadelphia</v>
          </cell>
          <cell r="K351" t="str">
            <v>Aug</v>
          </cell>
        </row>
        <row r="352">
          <cell r="B352">
            <v>1215</v>
          </cell>
          <cell r="C352" t="str">
            <v>Lynette Smith</v>
          </cell>
          <cell r="D352" t="str">
            <v>philadelphia</v>
          </cell>
          <cell r="E352" t="str">
            <v>CRS</v>
          </cell>
          <cell r="F352">
            <v>9450</v>
          </cell>
          <cell r="G352">
            <v>42346</v>
          </cell>
          <cell r="H352">
            <v>43077</v>
          </cell>
          <cell r="I352" t="str">
            <v>Expired</v>
          </cell>
          <cell r="J352" t="str">
            <v>Philadelphia</v>
          </cell>
          <cell r="K352" t="str">
            <v>Dec</v>
          </cell>
        </row>
        <row r="353">
          <cell r="B353">
            <v>1219</v>
          </cell>
          <cell r="C353" t="str">
            <v>MaChere Chiles</v>
          </cell>
          <cell r="D353" t="str">
            <v>philadelphia</v>
          </cell>
          <cell r="E353" t="str">
            <v>CFRS</v>
          </cell>
          <cell r="F353">
            <v>19966</v>
          </cell>
          <cell r="G353">
            <v>45355</v>
          </cell>
          <cell r="H353">
            <v>46085</v>
          </cell>
          <cell r="I353" t="str">
            <v>Active</v>
          </cell>
          <cell r="J353" t="str">
            <v>Philadelphia</v>
          </cell>
          <cell r="K353" t="str">
            <v>Mar</v>
          </cell>
        </row>
        <row r="354">
          <cell r="B354">
            <v>1220</v>
          </cell>
          <cell r="C354" t="str">
            <v>Makaila Davis</v>
          </cell>
          <cell r="D354" t="str">
            <v>philadelphia</v>
          </cell>
          <cell r="E354" t="str">
            <v>CRS</v>
          </cell>
          <cell r="F354">
            <v>16971</v>
          </cell>
          <cell r="G354">
            <v>45071</v>
          </cell>
          <cell r="H354">
            <v>45969</v>
          </cell>
          <cell r="I354" t="str">
            <v>Active</v>
          </cell>
          <cell r="J354" t="str">
            <v>Philadelphia</v>
          </cell>
          <cell r="K354" t="str">
            <v>May</v>
          </cell>
        </row>
        <row r="355">
          <cell r="B355">
            <v>1221</v>
          </cell>
          <cell r="C355" t="str">
            <v>Makaila Davis</v>
          </cell>
          <cell r="D355" t="str">
            <v>philadelphia</v>
          </cell>
          <cell r="E355" t="str">
            <v>CFRS</v>
          </cell>
          <cell r="F355">
            <v>16971</v>
          </cell>
          <cell r="G355">
            <v>45039</v>
          </cell>
          <cell r="H355">
            <v>45969</v>
          </cell>
          <cell r="I355" t="str">
            <v>Active</v>
          </cell>
          <cell r="J355" t="str">
            <v>Philadelphia</v>
          </cell>
          <cell r="K355" t="str">
            <v>Apr</v>
          </cell>
        </row>
        <row r="356">
          <cell r="B356">
            <v>1222</v>
          </cell>
          <cell r="C356" t="str">
            <v>Makiea Shields</v>
          </cell>
          <cell r="D356" t="str">
            <v>philadelphia</v>
          </cell>
          <cell r="E356" t="str">
            <v>CRS</v>
          </cell>
          <cell r="F356">
            <v>14760</v>
          </cell>
          <cell r="G356">
            <v>43770</v>
          </cell>
          <cell r="H356">
            <v>44501</v>
          </cell>
          <cell r="I356" t="str">
            <v>Expired</v>
          </cell>
          <cell r="J356" t="str">
            <v>Philadelphia</v>
          </cell>
          <cell r="K356" t="str">
            <v>Nov</v>
          </cell>
        </row>
        <row r="357">
          <cell r="B357">
            <v>1234</v>
          </cell>
          <cell r="C357" t="str">
            <v>Marcey Canalichio</v>
          </cell>
          <cell r="D357" t="str">
            <v>philadelphia</v>
          </cell>
          <cell r="E357" t="str">
            <v>CRS</v>
          </cell>
          <cell r="F357">
            <v>16852</v>
          </cell>
          <cell r="G357">
            <v>44461</v>
          </cell>
          <cell r="H357">
            <v>45191</v>
          </cell>
          <cell r="I357" t="str">
            <v>Expired</v>
          </cell>
          <cell r="J357" t="str">
            <v>Philadelphia</v>
          </cell>
          <cell r="K357" t="str">
            <v>Sep</v>
          </cell>
        </row>
        <row r="358">
          <cell r="B358">
            <v>1235</v>
          </cell>
          <cell r="C358" t="str">
            <v>Marcus Anderson</v>
          </cell>
          <cell r="D358" t="str">
            <v>philadelphia</v>
          </cell>
          <cell r="E358" t="str">
            <v>CRS</v>
          </cell>
          <cell r="F358">
            <v>7339</v>
          </cell>
          <cell r="G358">
            <v>40068</v>
          </cell>
          <cell r="H358">
            <v>41529</v>
          </cell>
          <cell r="I358" t="str">
            <v>Expired</v>
          </cell>
          <cell r="J358" t="str">
            <v>Philadelphia</v>
          </cell>
          <cell r="K358" t="str">
            <v>Sep</v>
          </cell>
        </row>
        <row r="359">
          <cell r="B359">
            <v>1244</v>
          </cell>
          <cell r="C359" t="str">
            <v>Margaret O'Neill</v>
          </cell>
          <cell r="D359" t="str">
            <v>philadelphia</v>
          </cell>
          <cell r="E359" t="str">
            <v>CRS</v>
          </cell>
          <cell r="F359">
            <v>17306</v>
          </cell>
          <cell r="G359">
            <v>44656</v>
          </cell>
          <cell r="H359">
            <v>45387</v>
          </cell>
          <cell r="I359" t="str">
            <v>Expired</v>
          </cell>
          <cell r="J359" t="str">
            <v>Philadelphia</v>
          </cell>
          <cell r="K359" t="str">
            <v>Apr</v>
          </cell>
        </row>
        <row r="360">
          <cell r="B360">
            <v>1247</v>
          </cell>
          <cell r="C360" t="str">
            <v>Maria Cintron</v>
          </cell>
          <cell r="D360" t="str">
            <v>philadelphia</v>
          </cell>
          <cell r="E360" t="str">
            <v>CRS</v>
          </cell>
          <cell r="F360">
            <v>7343</v>
          </cell>
          <cell r="G360">
            <v>40068</v>
          </cell>
          <cell r="H360">
            <v>41529</v>
          </cell>
          <cell r="I360" t="str">
            <v>Expired</v>
          </cell>
          <cell r="J360" t="str">
            <v>Philadelphia</v>
          </cell>
          <cell r="K360" t="str">
            <v>Sep</v>
          </cell>
        </row>
        <row r="361">
          <cell r="B361">
            <v>1255</v>
          </cell>
          <cell r="C361" t="str">
            <v>Marie Kelly</v>
          </cell>
          <cell r="D361" t="str">
            <v>philadelphia</v>
          </cell>
          <cell r="E361" t="str">
            <v>CRS</v>
          </cell>
          <cell r="F361">
            <v>14011</v>
          </cell>
          <cell r="G361">
            <v>43670</v>
          </cell>
          <cell r="H361">
            <v>44401</v>
          </cell>
          <cell r="I361" t="str">
            <v>Expired</v>
          </cell>
          <cell r="J361" t="str">
            <v>Philadelphia</v>
          </cell>
          <cell r="K361" t="str">
            <v>Jul</v>
          </cell>
        </row>
        <row r="362">
          <cell r="B362">
            <v>1256</v>
          </cell>
          <cell r="C362" t="str">
            <v>Marie Lewis</v>
          </cell>
          <cell r="D362" t="str">
            <v>philadelphia</v>
          </cell>
          <cell r="E362" t="str">
            <v>CRS</v>
          </cell>
          <cell r="F362">
            <v>18769</v>
          </cell>
          <cell r="G362">
            <v>45098</v>
          </cell>
          <cell r="H362">
            <v>45829</v>
          </cell>
          <cell r="I362" t="str">
            <v>Active</v>
          </cell>
          <cell r="J362" t="str">
            <v>Philadelphia</v>
          </cell>
          <cell r="K362" t="str">
            <v>Jun</v>
          </cell>
        </row>
        <row r="363">
          <cell r="B363">
            <v>1257</v>
          </cell>
          <cell r="C363" t="str">
            <v>Marion Martin</v>
          </cell>
          <cell r="D363" t="str">
            <v>philadelphia</v>
          </cell>
          <cell r="E363" t="str">
            <v>CRS</v>
          </cell>
          <cell r="F363">
            <v>9446</v>
          </cell>
          <cell r="G363">
            <v>42346</v>
          </cell>
          <cell r="H363">
            <v>43077</v>
          </cell>
          <cell r="I363" t="str">
            <v>Expired</v>
          </cell>
          <cell r="J363" t="str">
            <v>Philadelphia</v>
          </cell>
          <cell r="K363" t="str">
            <v>Dec</v>
          </cell>
        </row>
        <row r="364">
          <cell r="B364">
            <v>1259</v>
          </cell>
          <cell r="C364" t="str">
            <v>Marjorie Rand</v>
          </cell>
          <cell r="D364" t="str">
            <v>philadelphia</v>
          </cell>
          <cell r="E364" t="str">
            <v>CRS</v>
          </cell>
          <cell r="F364">
            <v>14807</v>
          </cell>
          <cell r="G364">
            <v>43787</v>
          </cell>
          <cell r="H364">
            <v>44518</v>
          </cell>
          <cell r="I364" t="str">
            <v>Expired</v>
          </cell>
          <cell r="J364" t="str">
            <v>Philadelphia</v>
          </cell>
          <cell r="K364" t="str">
            <v>Nov</v>
          </cell>
        </row>
        <row r="365">
          <cell r="B365">
            <v>1261</v>
          </cell>
          <cell r="C365" t="str">
            <v>Mark Copestakes</v>
          </cell>
          <cell r="D365" t="str">
            <v>philadelphia</v>
          </cell>
          <cell r="E365" t="str">
            <v>CRS</v>
          </cell>
          <cell r="F365">
            <v>21772</v>
          </cell>
          <cell r="G365">
            <v>45742</v>
          </cell>
          <cell r="H365">
            <v>46472</v>
          </cell>
          <cell r="I365" t="str">
            <v>Active</v>
          </cell>
          <cell r="J365" t="str">
            <v>Philadelphia</v>
          </cell>
          <cell r="K365" t="str">
            <v>Mar</v>
          </cell>
        </row>
        <row r="366">
          <cell r="B366">
            <v>1264</v>
          </cell>
          <cell r="C366" t="str">
            <v>Mark Kane</v>
          </cell>
          <cell r="D366" t="str">
            <v>philadelphia</v>
          </cell>
          <cell r="E366" t="str">
            <v>CRS</v>
          </cell>
          <cell r="F366">
            <v>18768</v>
          </cell>
          <cell r="G366">
            <v>45098</v>
          </cell>
          <cell r="H366">
            <v>45829</v>
          </cell>
          <cell r="I366" t="str">
            <v>Active</v>
          </cell>
          <cell r="J366" t="str">
            <v>Philadelphia</v>
          </cell>
          <cell r="K366" t="str">
            <v>Jun</v>
          </cell>
        </row>
        <row r="367">
          <cell r="B367">
            <v>1267</v>
          </cell>
          <cell r="C367" t="str">
            <v>Markecia Anderson</v>
          </cell>
          <cell r="D367" t="str">
            <v>philadelphia</v>
          </cell>
          <cell r="E367" t="str">
            <v>CFRS</v>
          </cell>
          <cell r="F367">
            <v>21360</v>
          </cell>
          <cell r="G367">
            <v>45668</v>
          </cell>
          <cell r="H367">
            <v>46398</v>
          </cell>
          <cell r="I367" t="str">
            <v>Active</v>
          </cell>
          <cell r="J367" t="str">
            <v>Philadelphia</v>
          </cell>
          <cell r="K367" t="str">
            <v>Jan</v>
          </cell>
        </row>
        <row r="368">
          <cell r="B368">
            <v>1268</v>
          </cell>
          <cell r="C368" t="str">
            <v>Markecia Anderson</v>
          </cell>
          <cell r="D368" t="str">
            <v>philadelphia</v>
          </cell>
          <cell r="E368" t="str">
            <v>CRSS</v>
          </cell>
          <cell r="F368">
            <v>21360</v>
          </cell>
          <cell r="G368">
            <v>45669</v>
          </cell>
          <cell r="H368">
            <v>46399</v>
          </cell>
          <cell r="I368" t="str">
            <v>Active</v>
          </cell>
          <cell r="J368" t="str">
            <v>Philadelphia</v>
          </cell>
          <cell r="K368" t="str">
            <v>Jan</v>
          </cell>
        </row>
        <row r="369">
          <cell r="B369">
            <v>1272</v>
          </cell>
          <cell r="C369" t="str">
            <v>Marta Coronado</v>
          </cell>
          <cell r="D369" t="str">
            <v>philadelphia</v>
          </cell>
          <cell r="E369" t="str">
            <v>CRS</v>
          </cell>
          <cell r="F369">
            <v>7346</v>
          </cell>
          <cell r="G369">
            <v>40068</v>
          </cell>
          <cell r="H369">
            <v>40798</v>
          </cell>
          <cell r="I369" t="str">
            <v>Expired</v>
          </cell>
          <cell r="J369" t="str">
            <v>Philadelphia</v>
          </cell>
          <cell r="K369" t="str">
            <v>Sep</v>
          </cell>
        </row>
        <row r="370">
          <cell r="B370">
            <v>1276</v>
          </cell>
          <cell r="C370" t="str">
            <v>Martin Linville, II</v>
          </cell>
          <cell r="D370" t="str">
            <v>philadelphia</v>
          </cell>
          <cell r="E370" t="str">
            <v>CRS</v>
          </cell>
          <cell r="F370">
            <v>12430</v>
          </cell>
          <cell r="G370">
            <v>43396</v>
          </cell>
          <cell r="H370">
            <v>46318</v>
          </cell>
          <cell r="I370" t="str">
            <v>Active</v>
          </cell>
          <cell r="J370" t="str">
            <v>Philadelphia</v>
          </cell>
          <cell r="K370" t="str">
            <v>Oct</v>
          </cell>
        </row>
        <row r="371">
          <cell r="B371">
            <v>1280</v>
          </cell>
          <cell r="C371" t="str">
            <v>Mary Duck</v>
          </cell>
          <cell r="D371" t="str">
            <v>philadelphia</v>
          </cell>
          <cell r="E371" t="str">
            <v>CRS</v>
          </cell>
          <cell r="F371">
            <v>8635</v>
          </cell>
          <cell r="G371">
            <v>41530</v>
          </cell>
          <cell r="H371">
            <v>43721</v>
          </cell>
          <cell r="I371" t="str">
            <v>Expired</v>
          </cell>
          <cell r="J371" t="str">
            <v>Philadelphia</v>
          </cell>
          <cell r="K371" t="str">
            <v>Sep</v>
          </cell>
        </row>
        <row r="372">
          <cell r="B372">
            <v>1293</v>
          </cell>
          <cell r="C372" t="str">
            <v>Mary Trimber</v>
          </cell>
          <cell r="D372" t="str">
            <v>philadelphia</v>
          </cell>
          <cell r="E372" t="str">
            <v>CRS</v>
          </cell>
          <cell r="F372">
            <v>21780</v>
          </cell>
          <cell r="G372">
            <v>45743</v>
          </cell>
          <cell r="H372">
            <v>46473</v>
          </cell>
          <cell r="I372" t="str">
            <v>Active</v>
          </cell>
          <cell r="J372" t="str">
            <v>Philadelphia</v>
          </cell>
          <cell r="K372" t="str">
            <v>Mar</v>
          </cell>
        </row>
        <row r="373">
          <cell r="B373">
            <v>1297</v>
          </cell>
          <cell r="C373" t="str">
            <v>Mary-Jo Donnelly</v>
          </cell>
          <cell r="D373" t="str">
            <v>philadelphia</v>
          </cell>
          <cell r="E373" t="str">
            <v>CRS</v>
          </cell>
          <cell r="F373">
            <v>18508</v>
          </cell>
          <cell r="G373">
            <v>45029</v>
          </cell>
          <cell r="H373">
            <v>45760</v>
          </cell>
          <cell r="I373" t="str">
            <v>Inactive</v>
          </cell>
          <cell r="J373" t="str">
            <v>Philadelphia</v>
          </cell>
          <cell r="K373" t="str">
            <v>Apr</v>
          </cell>
        </row>
        <row r="374">
          <cell r="B374">
            <v>1298</v>
          </cell>
          <cell r="C374" t="str">
            <v>Matthew Dixon</v>
          </cell>
          <cell r="D374" t="str">
            <v>philadelphia</v>
          </cell>
          <cell r="E374" t="str">
            <v>CRS</v>
          </cell>
          <cell r="F374">
            <v>14006</v>
          </cell>
          <cell r="G374">
            <v>43670</v>
          </cell>
          <cell r="H374">
            <v>44401</v>
          </cell>
          <cell r="I374" t="str">
            <v>Expired</v>
          </cell>
          <cell r="J374" t="str">
            <v>Philadelphia</v>
          </cell>
          <cell r="K374" t="str">
            <v>Jul</v>
          </cell>
        </row>
        <row r="375">
          <cell r="B375">
            <v>1303</v>
          </cell>
          <cell r="C375" t="str">
            <v>Matthew Mackley</v>
          </cell>
          <cell r="D375" t="str">
            <v>philadelphia</v>
          </cell>
          <cell r="E375" t="str">
            <v>CRS</v>
          </cell>
          <cell r="F375">
            <v>16147</v>
          </cell>
          <cell r="G375">
            <v>44289</v>
          </cell>
          <cell r="H375">
            <v>46480</v>
          </cell>
          <cell r="I375" t="str">
            <v>Active</v>
          </cell>
          <cell r="J375" t="str">
            <v>Philadelphia</v>
          </cell>
          <cell r="K375" t="str">
            <v>Apr</v>
          </cell>
        </row>
        <row r="376">
          <cell r="B376">
            <v>1314</v>
          </cell>
          <cell r="C376" t="str">
            <v>Maureen Campbell</v>
          </cell>
          <cell r="D376" t="str">
            <v>philadelphia</v>
          </cell>
          <cell r="E376" t="str">
            <v>CRS</v>
          </cell>
          <cell r="F376">
            <v>14409</v>
          </cell>
          <cell r="G376">
            <v>43697</v>
          </cell>
          <cell r="H376">
            <v>44428</v>
          </cell>
          <cell r="I376" t="str">
            <v>Expired</v>
          </cell>
          <cell r="J376" t="str">
            <v>Philadelphia</v>
          </cell>
          <cell r="K376" t="str">
            <v>Aug</v>
          </cell>
        </row>
        <row r="377">
          <cell r="B377">
            <v>1319</v>
          </cell>
          <cell r="C377" t="str">
            <v>Meagan Penrose</v>
          </cell>
          <cell r="D377" t="str">
            <v>philadelphia</v>
          </cell>
          <cell r="E377" t="str">
            <v>CRS</v>
          </cell>
          <cell r="F377">
            <v>10034</v>
          </cell>
          <cell r="G377">
            <v>42766</v>
          </cell>
          <cell r="H377">
            <v>43496</v>
          </cell>
          <cell r="I377" t="str">
            <v>Expired</v>
          </cell>
          <cell r="J377" t="str">
            <v>Philadelphia</v>
          </cell>
          <cell r="K377" t="str">
            <v>Jan</v>
          </cell>
        </row>
        <row r="378">
          <cell r="B378">
            <v>1323</v>
          </cell>
          <cell r="C378" t="str">
            <v>Megan Hesson</v>
          </cell>
          <cell r="D378" t="str">
            <v>philadelphia</v>
          </cell>
          <cell r="E378" t="str">
            <v>CRS</v>
          </cell>
          <cell r="F378">
            <v>18762</v>
          </cell>
          <cell r="G378">
            <v>45098</v>
          </cell>
          <cell r="H378">
            <v>45829</v>
          </cell>
          <cell r="I378" t="str">
            <v>Active</v>
          </cell>
          <cell r="J378" t="str">
            <v>Philadelphia</v>
          </cell>
          <cell r="K378" t="str">
            <v>Jun</v>
          </cell>
        </row>
        <row r="379">
          <cell r="B379">
            <v>1331</v>
          </cell>
          <cell r="C379" t="str">
            <v>Melanie  Schweser</v>
          </cell>
          <cell r="D379" t="str">
            <v>philadelphia</v>
          </cell>
          <cell r="E379" t="str">
            <v>CRS</v>
          </cell>
          <cell r="F379">
            <v>21066</v>
          </cell>
          <cell r="G379">
            <v>45608</v>
          </cell>
          <cell r="H379">
            <v>46338</v>
          </cell>
          <cell r="I379" t="str">
            <v>Active</v>
          </cell>
          <cell r="J379" t="str">
            <v>Philadelphia</v>
          </cell>
          <cell r="K379" t="str">
            <v>Nov</v>
          </cell>
        </row>
        <row r="380">
          <cell r="B380">
            <v>1332</v>
          </cell>
          <cell r="C380" t="str">
            <v>Melanie  Schweser</v>
          </cell>
          <cell r="D380" t="str">
            <v>philadelphia</v>
          </cell>
          <cell r="E380" t="str">
            <v>CFRS</v>
          </cell>
          <cell r="F380">
            <v>21066</v>
          </cell>
          <cell r="G380">
            <v>45597</v>
          </cell>
          <cell r="H380">
            <v>46327</v>
          </cell>
          <cell r="I380" t="str">
            <v>Active</v>
          </cell>
          <cell r="J380" t="str">
            <v>Philadelphia</v>
          </cell>
          <cell r="K380" t="str">
            <v>Nov</v>
          </cell>
        </row>
        <row r="381">
          <cell r="B381">
            <v>1335</v>
          </cell>
          <cell r="C381" t="str">
            <v>Melissa  Clark</v>
          </cell>
          <cell r="D381" t="str">
            <v>philadelphia</v>
          </cell>
          <cell r="E381" t="str">
            <v>CRS</v>
          </cell>
          <cell r="F381">
            <v>20888</v>
          </cell>
          <cell r="G381">
            <v>45560</v>
          </cell>
          <cell r="H381">
            <v>46290</v>
          </cell>
          <cell r="I381" t="str">
            <v>Active</v>
          </cell>
          <cell r="J381" t="str">
            <v>Philadelphia</v>
          </cell>
          <cell r="K381" t="str">
            <v>Sep</v>
          </cell>
        </row>
        <row r="382">
          <cell r="B382">
            <v>1336</v>
          </cell>
          <cell r="C382" t="str">
            <v>Melissa  Francis</v>
          </cell>
          <cell r="D382" t="str">
            <v>philadelphia</v>
          </cell>
          <cell r="E382" t="str">
            <v>CRS</v>
          </cell>
          <cell r="F382">
            <v>20772</v>
          </cell>
          <cell r="G382">
            <v>45533</v>
          </cell>
          <cell r="H382">
            <v>46263</v>
          </cell>
          <cell r="I382" t="str">
            <v>Active</v>
          </cell>
          <cell r="J382" t="str">
            <v>Philadelphia</v>
          </cell>
          <cell r="K382" t="str">
            <v>Aug</v>
          </cell>
        </row>
        <row r="383">
          <cell r="B383">
            <v>1343</v>
          </cell>
          <cell r="C383" t="str">
            <v>Melissa Parris</v>
          </cell>
          <cell r="D383" t="str">
            <v>philadelphia</v>
          </cell>
          <cell r="E383" t="str">
            <v>CRS</v>
          </cell>
          <cell r="F383">
            <v>16856</v>
          </cell>
          <cell r="G383">
            <v>44461</v>
          </cell>
          <cell r="H383">
            <v>45922</v>
          </cell>
          <cell r="I383" t="str">
            <v>Active</v>
          </cell>
          <cell r="J383" t="str">
            <v>Philadelphia</v>
          </cell>
          <cell r="K383" t="str">
            <v>Sep</v>
          </cell>
        </row>
        <row r="384">
          <cell r="B384">
            <v>1344</v>
          </cell>
          <cell r="C384" t="str">
            <v>Melissa Reed</v>
          </cell>
          <cell r="D384" t="str">
            <v>philadelphia</v>
          </cell>
          <cell r="E384" t="str">
            <v>CRS</v>
          </cell>
          <cell r="F384">
            <v>21040</v>
          </cell>
          <cell r="G384">
            <v>45590</v>
          </cell>
          <cell r="H384">
            <v>46320</v>
          </cell>
          <cell r="I384" t="str">
            <v>Active</v>
          </cell>
          <cell r="J384" t="str">
            <v>Philadelphia</v>
          </cell>
          <cell r="K384" t="str">
            <v>Oct</v>
          </cell>
        </row>
        <row r="385">
          <cell r="B385">
            <v>1347</v>
          </cell>
          <cell r="C385" t="str">
            <v>Melodie Jackson</v>
          </cell>
          <cell r="D385" t="str">
            <v>philadelphia</v>
          </cell>
          <cell r="E385" t="str">
            <v>CRS</v>
          </cell>
          <cell r="F385">
            <v>7771</v>
          </cell>
          <cell r="G385">
            <v>40613</v>
          </cell>
          <cell r="H385">
            <v>42074</v>
          </cell>
          <cell r="I385" t="str">
            <v>Expired</v>
          </cell>
          <cell r="J385" t="str">
            <v>Philadelphia</v>
          </cell>
          <cell r="K385" t="str">
            <v>Mar</v>
          </cell>
        </row>
        <row r="386">
          <cell r="B386">
            <v>1349</v>
          </cell>
          <cell r="C386" t="str">
            <v>Melody Schofield</v>
          </cell>
          <cell r="D386" t="str">
            <v>philadelphia</v>
          </cell>
          <cell r="E386" t="str">
            <v>CRS</v>
          </cell>
          <cell r="F386">
            <v>9448</v>
          </cell>
          <cell r="G386">
            <v>42346</v>
          </cell>
          <cell r="H386">
            <v>43807</v>
          </cell>
          <cell r="I386" t="str">
            <v>Expired</v>
          </cell>
          <cell r="J386" t="str">
            <v>Philadelphia</v>
          </cell>
          <cell r="K386" t="str">
            <v>Dec</v>
          </cell>
        </row>
        <row r="387">
          <cell r="B387">
            <v>1350</v>
          </cell>
          <cell r="C387" t="str">
            <v>Mersadies Bonilla</v>
          </cell>
          <cell r="D387" t="str">
            <v>philadelphia</v>
          </cell>
          <cell r="E387" t="str">
            <v>CRS</v>
          </cell>
          <cell r="F387">
            <v>13869</v>
          </cell>
          <cell r="G387">
            <v>43697</v>
          </cell>
          <cell r="H387">
            <v>45158</v>
          </cell>
          <cell r="I387" t="str">
            <v>Expired</v>
          </cell>
          <cell r="J387" t="str">
            <v>Philadelphia</v>
          </cell>
          <cell r="K387" t="str">
            <v>Aug</v>
          </cell>
        </row>
        <row r="388">
          <cell r="B388">
            <v>1352</v>
          </cell>
          <cell r="C388" t="str">
            <v>Michael Alston</v>
          </cell>
          <cell r="D388" t="str">
            <v>philadelphia</v>
          </cell>
          <cell r="E388" t="str">
            <v>CRS</v>
          </cell>
          <cell r="F388">
            <v>8389</v>
          </cell>
          <cell r="G388">
            <v>41393</v>
          </cell>
          <cell r="H388">
            <v>42123</v>
          </cell>
          <cell r="I388" t="str">
            <v>Expired</v>
          </cell>
          <cell r="J388" t="str">
            <v>Philadelphia</v>
          </cell>
          <cell r="K388" t="str">
            <v>Apr</v>
          </cell>
        </row>
        <row r="389">
          <cell r="B389">
            <v>1357</v>
          </cell>
          <cell r="C389" t="str">
            <v>Michael Colbert</v>
          </cell>
          <cell r="D389" t="str">
            <v>philadelphia</v>
          </cell>
          <cell r="E389" t="str">
            <v>CRS</v>
          </cell>
          <cell r="F389">
            <v>21196</v>
          </cell>
          <cell r="G389">
            <v>45626</v>
          </cell>
          <cell r="H389">
            <v>46356</v>
          </cell>
          <cell r="I389" t="str">
            <v>Active</v>
          </cell>
          <cell r="J389" t="str">
            <v>Philadelphia</v>
          </cell>
          <cell r="K389" t="str">
            <v>Nov</v>
          </cell>
        </row>
        <row r="390">
          <cell r="B390">
            <v>1360</v>
          </cell>
          <cell r="C390" t="str">
            <v>Michael Doyle</v>
          </cell>
          <cell r="D390" t="str">
            <v>philadelphia</v>
          </cell>
          <cell r="E390" t="str">
            <v>CRS</v>
          </cell>
          <cell r="F390">
            <v>16153</v>
          </cell>
          <cell r="G390">
            <v>44372</v>
          </cell>
          <cell r="H390">
            <v>45102</v>
          </cell>
          <cell r="I390" t="str">
            <v>Expired</v>
          </cell>
          <cell r="J390" t="str">
            <v>Philadelphia</v>
          </cell>
          <cell r="K390" t="str">
            <v>Jun</v>
          </cell>
        </row>
        <row r="391">
          <cell r="B391">
            <v>1361</v>
          </cell>
          <cell r="C391" t="str">
            <v>Michael Doyle</v>
          </cell>
          <cell r="D391" t="str">
            <v>philadelphia</v>
          </cell>
          <cell r="E391" t="str">
            <v>CFRS</v>
          </cell>
          <cell r="F391">
            <v>16153</v>
          </cell>
          <cell r="G391">
            <v>44291</v>
          </cell>
          <cell r="H391">
            <v>45021</v>
          </cell>
          <cell r="I391" t="str">
            <v>Expired</v>
          </cell>
          <cell r="J391" t="str">
            <v>Philadelphia</v>
          </cell>
          <cell r="K391" t="str">
            <v>Apr</v>
          </cell>
        </row>
        <row r="392">
          <cell r="B392">
            <v>1368</v>
          </cell>
          <cell r="C392" t="str">
            <v>Michael Hartley, Sr.</v>
          </cell>
          <cell r="D392" t="str">
            <v>philadelphia</v>
          </cell>
          <cell r="E392" t="str">
            <v>CRS</v>
          </cell>
          <cell r="F392">
            <v>15775</v>
          </cell>
          <cell r="G392">
            <v>44186</v>
          </cell>
          <cell r="H392">
            <v>45647</v>
          </cell>
          <cell r="I392" t="str">
            <v>Lapsed</v>
          </cell>
          <cell r="J392" t="str">
            <v>Philadelphia</v>
          </cell>
          <cell r="K392" t="str">
            <v>Dec</v>
          </cell>
        </row>
        <row r="393">
          <cell r="B393">
            <v>1370</v>
          </cell>
          <cell r="C393" t="str">
            <v>Michael Johnson</v>
          </cell>
          <cell r="D393" t="str">
            <v>philadelphia</v>
          </cell>
          <cell r="E393" t="str">
            <v>CRS</v>
          </cell>
          <cell r="F393">
            <v>19700</v>
          </cell>
          <cell r="G393">
            <v>45300</v>
          </cell>
          <cell r="H393">
            <v>46031</v>
          </cell>
          <cell r="I393" t="str">
            <v>Active</v>
          </cell>
          <cell r="J393" t="str">
            <v>Philadelphia</v>
          </cell>
          <cell r="K393" t="str">
            <v>Jan</v>
          </cell>
        </row>
        <row r="394">
          <cell r="B394">
            <v>1372</v>
          </cell>
          <cell r="C394" t="str">
            <v>Michael Leonard</v>
          </cell>
          <cell r="D394" t="str">
            <v>philadelphia</v>
          </cell>
          <cell r="E394" t="str">
            <v>CRS</v>
          </cell>
          <cell r="F394">
            <v>16123</v>
          </cell>
          <cell r="G394">
            <v>44280</v>
          </cell>
          <cell r="H394">
            <v>45741</v>
          </cell>
          <cell r="I394" t="str">
            <v>Lapsed</v>
          </cell>
          <cell r="J394" t="str">
            <v>Philadelphia</v>
          </cell>
          <cell r="K394" t="str">
            <v>Mar</v>
          </cell>
        </row>
        <row r="395">
          <cell r="B395">
            <v>1374</v>
          </cell>
          <cell r="C395" t="str">
            <v>Michael Mayo</v>
          </cell>
          <cell r="D395" t="str">
            <v>philadelphia</v>
          </cell>
          <cell r="E395" t="str">
            <v>CRS</v>
          </cell>
          <cell r="F395">
            <v>20077</v>
          </cell>
          <cell r="G395">
            <v>45383</v>
          </cell>
          <cell r="H395">
            <v>46113</v>
          </cell>
          <cell r="I395" t="str">
            <v>Active</v>
          </cell>
          <cell r="J395" t="str">
            <v>Philadelphia</v>
          </cell>
          <cell r="K395" t="str">
            <v>Apr</v>
          </cell>
        </row>
        <row r="396">
          <cell r="B396">
            <v>1376</v>
          </cell>
          <cell r="C396" t="str">
            <v>Michael McLaughlin</v>
          </cell>
          <cell r="D396" t="str">
            <v>philadelphia</v>
          </cell>
          <cell r="E396" t="str">
            <v>CRS</v>
          </cell>
          <cell r="F396">
            <v>16529</v>
          </cell>
          <cell r="G396">
            <v>44372</v>
          </cell>
          <cell r="H396">
            <v>45833</v>
          </cell>
          <cell r="I396" t="str">
            <v>Active</v>
          </cell>
          <cell r="J396" t="str">
            <v>Philadelphia</v>
          </cell>
          <cell r="K396" t="str">
            <v>Jun</v>
          </cell>
        </row>
        <row r="397">
          <cell r="B397">
            <v>1377</v>
          </cell>
          <cell r="C397" t="str">
            <v>Michael Milbourne</v>
          </cell>
          <cell r="D397" t="str">
            <v>philadelphia</v>
          </cell>
          <cell r="E397" t="str">
            <v>CRS</v>
          </cell>
          <cell r="F397">
            <v>17770</v>
          </cell>
          <cell r="G397">
            <v>44791</v>
          </cell>
          <cell r="H397">
            <v>45522</v>
          </cell>
          <cell r="I397" t="str">
            <v>Lapsed</v>
          </cell>
          <cell r="J397" t="str">
            <v>Philadelphia</v>
          </cell>
          <cell r="K397" t="str">
            <v>Aug</v>
          </cell>
        </row>
        <row r="398">
          <cell r="B398">
            <v>1378</v>
          </cell>
          <cell r="C398" t="str">
            <v>Michael Minauro</v>
          </cell>
          <cell r="D398" t="str">
            <v>philadelphia</v>
          </cell>
          <cell r="E398" t="str">
            <v>CRS</v>
          </cell>
          <cell r="F398">
            <v>14418</v>
          </cell>
          <cell r="G398">
            <v>43697</v>
          </cell>
          <cell r="H398">
            <v>45889</v>
          </cell>
          <cell r="I398" t="str">
            <v>Active</v>
          </cell>
          <cell r="J398" t="str">
            <v>Philadelphia</v>
          </cell>
          <cell r="K398" t="str">
            <v>Aug</v>
          </cell>
        </row>
        <row r="399">
          <cell r="B399">
            <v>1379</v>
          </cell>
          <cell r="C399" t="str">
            <v>Michael Minauro</v>
          </cell>
          <cell r="D399" t="str">
            <v>philadelphia</v>
          </cell>
          <cell r="E399" t="str">
            <v>CRSS</v>
          </cell>
          <cell r="F399">
            <v>14418</v>
          </cell>
          <cell r="G399">
            <v>44953</v>
          </cell>
          <cell r="H399">
            <v>45889</v>
          </cell>
          <cell r="I399" t="str">
            <v>Active</v>
          </cell>
          <cell r="J399" t="str">
            <v>Philadelphia</v>
          </cell>
          <cell r="K399" t="str">
            <v>Jan</v>
          </cell>
        </row>
        <row r="400">
          <cell r="B400">
            <v>1390</v>
          </cell>
          <cell r="C400" t="str">
            <v>Michael Shapiro</v>
          </cell>
          <cell r="D400" t="str">
            <v>philadelphia</v>
          </cell>
          <cell r="E400" t="str">
            <v>CRS</v>
          </cell>
          <cell r="F400">
            <v>17383</v>
          </cell>
          <cell r="G400">
            <v>44673</v>
          </cell>
          <cell r="H400">
            <v>45404</v>
          </cell>
          <cell r="I400" t="str">
            <v>Expired</v>
          </cell>
          <cell r="J400" t="str">
            <v>Philadelphia</v>
          </cell>
          <cell r="K400" t="str">
            <v>Apr</v>
          </cell>
        </row>
        <row r="401">
          <cell r="B401">
            <v>1393</v>
          </cell>
          <cell r="C401" t="str">
            <v>Michael Tirado</v>
          </cell>
          <cell r="D401" t="str">
            <v>philadelphia</v>
          </cell>
          <cell r="E401" t="str">
            <v>CRS</v>
          </cell>
          <cell r="F401">
            <v>19735</v>
          </cell>
          <cell r="G401">
            <v>45303</v>
          </cell>
          <cell r="H401">
            <v>46034</v>
          </cell>
          <cell r="I401" t="str">
            <v>Active</v>
          </cell>
          <cell r="J401" t="str">
            <v>Philadelphia</v>
          </cell>
          <cell r="K401" t="str">
            <v>Jan</v>
          </cell>
        </row>
        <row r="402">
          <cell r="B402">
            <v>1396</v>
          </cell>
          <cell r="C402" t="str">
            <v>Michael Worthy</v>
          </cell>
          <cell r="D402" t="str">
            <v>philadelphia</v>
          </cell>
          <cell r="E402" t="str">
            <v>CRS</v>
          </cell>
          <cell r="F402">
            <v>11343</v>
          </cell>
          <cell r="G402">
            <v>43227</v>
          </cell>
          <cell r="H402">
            <v>43958</v>
          </cell>
          <cell r="I402" t="str">
            <v>Expired</v>
          </cell>
          <cell r="J402" t="str">
            <v>Philadelphia</v>
          </cell>
          <cell r="K402" t="str">
            <v>May</v>
          </cell>
        </row>
        <row r="403">
          <cell r="B403">
            <v>1403</v>
          </cell>
          <cell r="C403" t="str">
            <v>Michelle  Eib</v>
          </cell>
          <cell r="D403" t="str">
            <v>philadelphia</v>
          </cell>
          <cell r="E403" t="str">
            <v>CRS</v>
          </cell>
          <cell r="F403">
            <v>17391</v>
          </cell>
          <cell r="G403">
            <v>44677</v>
          </cell>
          <cell r="H403">
            <v>46138</v>
          </cell>
          <cell r="I403" t="str">
            <v>Active</v>
          </cell>
          <cell r="J403" t="str">
            <v>Philadelphia</v>
          </cell>
          <cell r="K403" t="str">
            <v>Apr</v>
          </cell>
        </row>
        <row r="404">
          <cell r="B404">
            <v>1404</v>
          </cell>
          <cell r="C404" t="str">
            <v>Michelle  Kaniuk</v>
          </cell>
          <cell r="D404" t="str">
            <v>philadelphia</v>
          </cell>
          <cell r="E404" t="str">
            <v>CRS</v>
          </cell>
          <cell r="F404">
            <v>16121</v>
          </cell>
          <cell r="G404">
            <v>44280</v>
          </cell>
          <cell r="H404">
            <v>45741</v>
          </cell>
          <cell r="I404" t="str">
            <v>Lapsed</v>
          </cell>
          <cell r="J404" t="str">
            <v>Philadelphia</v>
          </cell>
          <cell r="K404" t="str">
            <v>Mar</v>
          </cell>
        </row>
        <row r="405">
          <cell r="B405">
            <v>1417</v>
          </cell>
          <cell r="C405" t="str">
            <v>Miguel Santana</v>
          </cell>
          <cell r="D405" t="str">
            <v>philadelphia</v>
          </cell>
          <cell r="E405" t="str">
            <v>CRS</v>
          </cell>
          <cell r="F405">
            <v>22102</v>
          </cell>
          <cell r="G405">
            <v>45812</v>
          </cell>
          <cell r="H405">
            <v>46542</v>
          </cell>
          <cell r="I405" t="str">
            <v>Active</v>
          </cell>
          <cell r="J405" t="str">
            <v>Philadelphia</v>
          </cell>
          <cell r="K405" t="str">
            <v>Jun</v>
          </cell>
        </row>
        <row r="406">
          <cell r="B406">
            <v>1420</v>
          </cell>
          <cell r="C406" t="str">
            <v>Miles Jaworski</v>
          </cell>
          <cell r="D406" t="str">
            <v>philadelphia</v>
          </cell>
          <cell r="E406" t="str">
            <v>CRS</v>
          </cell>
          <cell r="F406">
            <v>19308</v>
          </cell>
          <cell r="G406">
            <v>45213</v>
          </cell>
          <cell r="H406">
            <v>45944</v>
          </cell>
          <cell r="I406" t="str">
            <v>Active</v>
          </cell>
          <cell r="J406" t="str">
            <v>Philadelphia</v>
          </cell>
          <cell r="K406" t="str">
            <v>Oct</v>
          </cell>
        </row>
        <row r="407">
          <cell r="B407">
            <v>1422</v>
          </cell>
          <cell r="C407" t="str">
            <v>Milton Myers</v>
          </cell>
          <cell r="D407" t="str">
            <v>philadelphia</v>
          </cell>
          <cell r="E407" t="str">
            <v>CRS</v>
          </cell>
          <cell r="F407">
            <v>7899</v>
          </cell>
          <cell r="G407">
            <v>44896</v>
          </cell>
          <cell r="H407">
            <v>46357</v>
          </cell>
          <cell r="I407" t="str">
            <v>Active</v>
          </cell>
          <cell r="J407" t="str">
            <v>Philadelphia</v>
          </cell>
          <cell r="K407" t="str">
            <v>Dec</v>
          </cell>
        </row>
        <row r="408">
          <cell r="B408">
            <v>1423</v>
          </cell>
          <cell r="C408" t="str">
            <v>Mimi Frames</v>
          </cell>
          <cell r="D408" t="str">
            <v>philadelphia</v>
          </cell>
          <cell r="E408" t="str">
            <v>CRS</v>
          </cell>
          <cell r="F408">
            <v>21573</v>
          </cell>
          <cell r="G408">
            <v>45703</v>
          </cell>
          <cell r="H408">
            <v>46433</v>
          </cell>
          <cell r="I408" t="str">
            <v>Active</v>
          </cell>
          <cell r="J408" t="str">
            <v>Philadelphia</v>
          </cell>
          <cell r="K408" t="str">
            <v>Feb</v>
          </cell>
        </row>
        <row r="409">
          <cell r="B409">
            <v>1427</v>
          </cell>
          <cell r="C409" t="str">
            <v>Monda Mwaya</v>
          </cell>
          <cell r="D409" t="str">
            <v>philadelphia</v>
          </cell>
          <cell r="E409" t="str">
            <v>CRS</v>
          </cell>
          <cell r="F409">
            <v>19737</v>
          </cell>
          <cell r="G409">
            <v>45335</v>
          </cell>
          <cell r="H409">
            <v>46066</v>
          </cell>
          <cell r="I409" t="str">
            <v>Active</v>
          </cell>
          <cell r="J409" t="str">
            <v>Philadelphia</v>
          </cell>
          <cell r="K409" t="str">
            <v>Feb</v>
          </cell>
        </row>
        <row r="410">
          <cell r="B410">
            <v>1428</v>
          </cell>
          <cell r="C410" t="str">
            <v>Monda Mwaya</v>
          </cell>
          <cell r="D410" t="str">
            <v>philadelphia</v>
          </cell>
          <cell r="E410" t="str">
            <v>CFRS</v>
          </cell>
          <cell r="F410">
            <v>19737</v>
          </cell>
          <cell r="G410">
            <v>45307</v>
          </cell>
          <cell r="H410">
            <v>46038</v>
          </cell>
          <cell r="I410" t="str">
            <v>Active</v>
          </cell>
          <cell r="J410" t="str">
            <v>Philadelphia</v>
          </cell>
          <cell r="K410" t="str">
            <v>Jan</v>
          </cell>
        </row>
        <row r="411">
          <cell r="B411">
            <v>1429</v>
          </cell>
          <cell r="C411" t="str">
            <v>Monica Anderson</v>
          </cell>
          <cell r="D411" t="str">
            <v>philadelphia</v>
          </cell>
          <cell r="E411" t="str">
            <v>CRS</v>
          </cell>
          <cell r="F411">
            <v>9564</v>
          </cell>
          <cell r="G411">
            <v>42466</v>
          </cell>
          <cell r="H411">
            <v>43196</v>
          </cell>
          <cell r="I411" t="str">
            <v>Expired</v>
          </cell>
          <cell r="J411" t="str">
            <v>Philadelphia</v>
          </cell>
          <cell r="K411" t="str">
            <v>Apr</v>
          </cell>
        </row>
        <row r="412">
          <cell r="B412">
            <v>1444</v>
          </cell>
          <cell r="C412" t="str">
            <v>Nacole McCutchen</v>
          </cell>
          <cell r="D412" t="str">
            <v>philadelphia</v>
          </cell>
          <cell r="E412" t="str">
            <v>CRS</v>
          </cell>
          <cell r="F412">
            <v>18339</v>
          </cell>
          <cell r="G412">
            <v>45387</v>
          </cell>
          <cell r="H412">
            <v>46117</v>
          </cell>
          <cell r="I412" t="str">
            <v>Active</v>
          </cell>
          <cell r="J412" t="str">
            <v>Philadelphia</v>
          </cell>
          <cell r="K412" t="str">
            <v>Apr</v>
          </cell>
        </row>
        <row r="413">
          <cell r="B413">
            <v>1445</v>
          </cell>
          <cell r="C413" t="str">
            <v>Nacole McCutchen</v>
          </cell>
          <cell r="D413" t="str">
            <v>philadelphia</v>
          </cell>
          <cell r="E413" t="str">
            <v>CFRS</v>
          </cell>
          <cell r="F413">
            <v>18339</v>
          </cell>
          <cell r="G413">
            <v>45383</v>
          </cell>
          <cell r="H413">
            <v>46113</v>
          </cell>
          <cell r="I413" t="str">
            <v>Active</v>
          </cell>
          <cell r="J413" t="str">
            <v>Philadelphia</v>
          </cell>
          <cell r="K413" t="str">
            <v>Apr</v>
          </cell>
        </row>
        <row r="414">
          <cell r="B414">
            <v>1446</v>
          </cell>
          <cell r="C414" t="str">
            <v>Nada Sayed-Ahmed</v>
          </cell>
          <cell r="D414" t="str">
            <v>philadelphia</v>
          </cell>
          <cell r="E414" t="str">
            <v>CRS</v>
          </cell>
          <cell r="F414">
            <v>20891</v>
          </cell>
          <cell r="G414">
            <v>45561</v>
          </cell>
          <cell r="H414">
            <v>46291</v>
          </cell>
          <cell r="I414" t="str">
            <v>Active</v>
          </cell>
          <cell r="J414" t="str">
            <v>Philadelphia</v>
          </cell>
          <cell r="K414" t="str">
            <v>Sep</v>
          </cell>
        </row>
        <row r="415">
          <cell r="B415">
            <v>1447</v>
          </cell>
          <cell r="C415" t="str">
            <v>Naim Shakir</v>
          </cell>
          <cell r="D415" t="str">
            <v>philadelphia</v>
          </cell>
          <cell r="E415" t="str">
            <v>CRS</v>
          </cell>
          <cell r="F415">
            <v>13343</v>
          </cell>
          <cell r="G415">
            <v>43599</v>
          </cell>
          <cell r="H415">
            <v>44330</v>
          </cell>
          <cell r="I415" t="str">
            <v>Expired</v>
          </cell>
          <cell r="J415" t="str">
            <v>Philadelphia</v>
          </cell>
          <cell r="K415" t="str">
            <v>May</v>
          </cell>
        </row>
        <row r="416">
          <cell r="B416">
            <v>1455</v>
          </cell>
          <cell r="C416" t="str">
            <v>Natashia Fox</v>
          </cell>
          <cell r="D416" t="str">
            <v>philadelphia</v>
          </cell>
          <cell r="E416" t="str">
            <v>CRS</v>
          </cell>
          <cell r="F416">
            <v>10024</v>
          </cell>
          <cell r="G416">
            <v>42766</v>
          </cell>
          <cell r="H416">
            <v>43496</v>
          </cell>
          <cell r="I416" t="str">
            <v>Expired</v>
          </cell>
          <cell r="J416" t="str">
            <v>Philadelphia</v>
          </cell>
          <cell r="K416" t="str">
            <v>Jan</v>
          </cell>
        </row>
        <row r="417">
          <cell r="B417">
            <v>1456</v>
          </cell>
          <cell r="C417" t="str">
            <v>Nathan Parker</v>
          </cell>
          <cell r="D417" t="str">
            <v>philadelphia</v>
          </cell>
          <cell r="E417" t="str">
            <v>CRS</v>
          </cell>
          <cell r="F417">
            <v>9027</v>
          </cell>
          <cell r="G417">
            <v>41905</v>
          </cell>
          <cell r="H417">
            <v>42636</v>
          </cell>
          <cell r="I417" t="str">
            <v>Expired</v>
          </cell>
          <cell r="J417" t="str">
            <v>Philadelphia</v>
          </cell>
          <cell r="K417" t="str">
            <v>Sep</v>
          </cell>
        </row>
        <row r="418">
          <cell r="B418">
            <v>1465</v>
          </cell>
          <cell r="C418" t="str">
            <v>Nicolas Greer</v>
          </cell>
          <cell r="D418" t="str">
            <v>philadelphia</v>
          </cell>
          <cell r="E418" t="str">
            <v>CRS</v>
          </cell>
          <cell r="F418">
            <v>20268</v>
          </cell>
          <cell r="G418">
            <v>45426</v>
          </cell>
          <cell r="H418">
            <v>46156</v>
          </cell>
          <cell r="I418" t="str">
            <v>Active</v>
          </cell>
          <cell r="J418" t="str">
            <v>Philadelphia</v>
          </cell>
          <cell r="K418" t="str">
            <v>May</v>
          </cell>
        </row>
        <row r="419">
          <cell r="B419">
            <v>1473</v>
          </cell>
          <cell r="C419" t="str">
            <v>Nicole Davis</v>
          </cell>
          <cell r="D419" t="str">
            <v>philadelphia</v>
          </cell>
          <cell r="E419" t="str">
            <v>CRS</v>
          </cell>
          <cell r="F419">
            <v>14412</v>
          </cell>
          <cell r="G419">
            <v>43697</v>
          </cell>
          <cell r="H419">
            <v>44428</v>
          </cell>
          <cell r="I419" t="str">
            <v>Expired</v>
          </cell>
          <cell r="J419" t="str">
            <v>Philadelphia</v>
          </cell>
          <cell r="K419" t="str">
            <v>Aug</v>
          </cell>
        </row>
        <row r="420">
          <cell r="B420">
            <v>1474</v>
          </cell>
          <cell r="C420" t="str">
            <v>Nicole Ellis</v>
          </cell>
          <cell r="D420" t="str">
            <v>philadelphia</v>
          </cell>
          <cell r="E420" t="str">
            <v>CRS</v>
          </cell>
          <cell r="F420">
            <v>12969</v>
          </cell>
          <cell r="G420">
            <v>43697</v>
          </cell>
          <cell r="H420">
            <v>45889</v>
          </cell>
          <cell r="I420" t="str">
            <v>Active</v>
          </cell>
          <cell r="J420" t="str">
            <v>Philadelphia</v>
          </cell>
          <cell r="K420" t="str">
            <v>Aug</v>
          </cell>
        </row>
        <row r="421">
          <cell r="B421">
            <v>1475</v>
          </cell>
          <cell r="C421" t="str">
            <v>Nicole Ellis</v>
          </cell>
          <cell r="D421" t="str">
            <v>philadelphia</v>
          </cell>
          <cell r="E421" t="str">
            <v>CRS</v>
          </cell>
          <cell r="F421">
            <v>15890</v>
          </cell>
          <cell r="G421">
            <v>44215</v>
          </cell>
          <cell r="H421">
            <v>46406</v>
          </cell>
          <cell r="I421" t="str">
            <v>Active</v>
          </cell>
          <cell r="J421" t="str">
            <v>Philadelphia</v>
          </cell>
          <cell r="K421" t="str">
            <v>Jan</v>
          </cell>
        </row>
        <row r="422">
          <cell r="B422">
            <v>1479</v>
          </cell>
          <cell r="C422" t="str">
            <v>Nicole Polit</v>
          </cell>
          <cell r="D422" t="str">
            <v>philadelphia</v>
          </cell>
          <cell r="E422" t="str">
            <v>CRS</v>
          </cell>
          <cell r="F422">
            <v>19219</v>
          </cell>
          <cell r="G422">
            <v>45198</v>
          </cell>
          <cell r="H422">
            <v>45929</v>
          </cell>
          <cell r="I422" t="str">
            <v>Active</v>
          </cell>
          <cell r="J422" t="str">
            <v>Philadelphia</v>
          </cell>
          <cell r="K422" t="str">
            <v>Sep</v>
          </cell>
        </row>
        <row r="423">
          <cell r="B423">
            <v>1480</v>
          </cell>
          <cell r="C423" t="str">
            <v>Nicole Polit</v>
          </cell>
          <cell r="D423" t="str">
            <v>philadelphia</v>
          </cell>
          <cell r="E423" t="str">
            <v>CFRS</v>
          </cell>
          <cell r="F423">
            <v>19219</v>
          </cell>
          <cell r="G423">
            <v>45342</v>
          </cell>
          <cell r="H423">
            <v>46073</v>
          </cell>
          <cell r="I423" t="str">
            <v>Active</v>
          </cell>
          <cell r="J423" t="str">
            <v>Philadelphia</v>
          </cell>
          <cell r="K423" t="str">
            <v>Feb</v>
          </cell>
        </row>
        <row r="424">
          <cell r="B424">
            <v>1481</v>
          </cell>
          <cell r="C424" t="str">
            <v>Nicole Ramsey</v>
          </cell>
          <cell r="D424" t="str">
            <v>philadelphia</v>
          </cell>
          <cell r="E424" t="str">
            <v>CRS</v>
          </cell>
          <cell r="F424">
            <v>11686</v>
          </cell>
          <cell r="G424">
            <v>43269</v>
          </cell>
          <cell r="H424">
            <v>44000</v>
          </cell>
          <cell r="I424" t="str">
            <v>Expired</v>
          </cell>
          <cell r="J424" t="str">
            <v>Philadelphia</v>
          </cell>
          <cell r="K424" t="str">
            <v>Jun</v>
          </cell>
        </row>
        <row r="425">
          <cell r="B425">
            <v>1484</v>
          </cell>
          <cell r="C425" t="str">
            <v>Niesha Leadum</v>
          </cell>
          <cell r="D425" t="str">
            <v>philadelphia</v>
          </cell>
          <cell r="E425" t="str">
            <v>CFRS</v>
          </cell>
          <cell r="F425">
            <v>13448</v>
          </cell>
          <cell r="G425">
            <v>45799</v>
          </cell>
          <cell r="H425">
            <v>46529</v>
          </cell>
          <cell r="I425" t="str">
            <v>Active</v>
          </cell>
          <cell r="J425" t="str">
            <v>Philadelphia</v>
          </cell>
          <cell r="K425" t="str">
            <v>May</v>
          </cell>
        </row>
        <row r="426">
          <cell r="B426">
            <v>1491</v>
          </cell>
          <cell r="C426" t="str">
            <v>Norberto Rosa</v>
          </cell>
          <cell r="D426" t="str">
            <v>philadelphia</v>
          </cell>
          <cell r="E426" t="str">
            <v>CRS</v>
          </cell>
          <cell r="F426">
            <v>12577</v>
          </cell>
          <cell r="G426">
            <v>43445</v>
          </cell>
          <cell r="H426">
            <v>46367</v>
          </cell>
          <cell r="I426" t="str">
            <v>Active</v>
          </cell>
          <cell r="J426" t="str">
            <v>Philadelphia</v>
          </cell>
          <cell r="K426" t="str">
            <v>Dec</v>
          </cell>
        </row>
        <row r="427">
          <cell r="B427">
            <v>1492</v>
          </cell>
          <cell r="C427" t="str">
            <v>Norma Perez</v>
          </cell>
          <cell r="D427" t="str">
            <v>philadelphia</v>
          </cell>
          <cell r="E427" t="str">
            <v>CRS</v>
          </cell>
          <cell r="F427">
            <v>14018</v>
          </cell>
          <cell r="G427">
            <v>43670</v>
          </cell>
          <cell r="H427">
            <v>44401</v>
          </cell>
          <cell r="I427" t="str">
            <v>Expired</v>
          </cell>
          <cell r="J427" t="str">
            <v>Philadelphia</v>
          </cell>
          <cell r="K427" t="str">
            <v>Jul</v>
          </cell>
        </row>
        <row r="428">
          <cell r="B428">
            <v>1494</v>
          </cell>
          <cell r="C428" t="str">
            <v>Ossilee McElveen</v>
          </cell>
          <cell r="D428" t="str">
            <v>philadelphia</v>
          </cell>
          <cell r="E428" t="str">
            <v>CRS</v>
          </cell>
          <cell r="F428">
            <v>11042</v>
          </cell>
          <cell r="G428">
            <v>43203</v>
          </cell>
          <cell r="H428">
            <v>43934</v>
          </cell>
          <cell r="I428" t="str">
            <v>Expired</v>
          </cell>
          <cell r="J428" t="str">
            <v>Philadelphia</v>
          </cell>
          <cell r="K428" t="str">
            <v>Apr</v>
          </cell>
        </row>
        <row r="429">
          <cell r="B429">
            <v>1502</v>
          </cell>
          <cell r="C429" t="str">
            <v>Pamela Moore</v>
          </cell>
          <cell r="D429" t="str">
            <v>philadelphia</v>
          </cell>
          <cell r="E429" t="str">
            <v>CRS</v>
          </cell>
          <cell r="F429">
            <v>8570</v>
          </cell>
          <cell r="G429">
            <v>41485</v>
          </cell>
          <cell r="H429">
            <v>42946</v>
          </cell>
          <cell r="I429" t="str">
            <v>Expired</v>
          </cell>
          <cell r="J429" t="str">
            <v>Philadelphia</v>
          </cell>
          <cell r="K429" t="str">
            <v>Jul</v>
          </cell>
        </row>
        <row r="430">
          <cell r="B430">
            <v>1505</v>
          </cell>
          <cell r="C430" t="str">
            <v>Pamfilo Dacua, III</v>
          </cell>
          <cell r="D430" t="str">
            <v>philadelphia</v>
          </cell>
          <cell r="E430" t="str">
            <v>CRS</v>
          </cell>
          <cell r="F430">
            <v>19338</v>
          </cell>
          <cell r="G430">
            <v>45264</v>
          </cell>
          <cell r="H430">
            <v>45995</v>
          </cell>
          <cell r="I430" t="str">
            <v>Active</v>
          </cell>
          <cell r="J430" t="str">
            <v>Philadelphia</v>
          </cell>
          <cell r="K430" t="str">
            <v>Dec</v>
          </cell>
        </row>
        <row r="431">
          <cell r="B431">
            <v>1506</v>
          </cell>
          <cell r="C431" t="str">
            <v>Pamfilo Dacua, III</v>
          </cell>
          <cell r="D431" t="str">
            <v>philadelphia</v>
          </cell>
          <cell r="E431" t="str">
            <v>CFRS</v>
          </cell>
          <cell r="F431">
            <v>19338</v>
          </cell>
          <cell r="G431">
            <v>45261</v>
          </cell>
          <cell r="H431">
            <v>45992</v>
          </cell>
          <cell r="I431" t="str">
            <v>Active</v>
          </cell>
          <cell r="J431" t="str">
            <v>Philadelphia</v>
          </cell>
          <cell r="K431" t="str">
            <v>Dec</v>
          </cell>
        </row>
        <row r="432">
          <cell r="B432">
            <v>1508</v>
          </cell>
          <cell r="C432" t="str">
            <v>Patricia Andrews</v>
          </cell>
          <cell r="D432" t="str">
            <v>philadelphia</v>
          </cell>
          <cell r="E432" t="str">
            <v>CRS</v>
          </cell>
          <cell r="F432">
            <v>20325</v>
          </cell>
          <cell r="G432">
            <v>45434</v>
          </cell>
          <cell r="H432">
            <v>46164</v>
          </cell>
          <cell r="I432" t="str">
            <v>Active</v>
          </cell>
          <cell r="J432" t="str">
            <v>Philadelphia</v>
          </cell>
          <cell r="K432" t="str">
            <v>May</v>
          </cell>
        </row>
        <row r="433">
          <cell r="B433">
            <v>1520</v>
          </cell>
          <cell r="C433" t="str">
            <v>Patricia Vasinda</v>
          </cell>
          <cell r="D433" t="str">
            <v>philadelphia</v>
          </cell>
          <cell r="E433" t="str">
            <v>CFRS</v>
          </cell>
          <cell r="F433">
            <v>21406</v>
          </cell>
          <cell r="G433">
            <v>45681</v>
          </cell>
          <cell r="H433">
            <v>46411</v>
          </cell>
          <cell r="I433" t="str">
            <v>Active</v>
          </cell>
          <cell r="J433" t="str">
            <v>Philadelphia</v>
          </cell>
          <cell r="K433" t="str">
            <v>Jan</v>
          </cell>
        </row>
        <row r="434">
          <cell r="B434">
            <v>1529</v>
          </cell>
          <cell r="C434" t="str">
            <v>Patrick O'Connor</v>
          </cell>
          <cell r="D434" t="str">
            <v>philadelphia</v>
          </cell>
          <cell r="E434" t="str">
            <v>CRS</v>
          </cell>
          <cell r="F434">
            <v>20857</v>
          </cell>
          <cell r="G434">
            <v>45554</v>
          </cell>
          <cell r="H434">
            <v>46284</v>
          </cell>
          <cell r="I434" t="str">
            <v>Active</v>
          </cell>
          <cell r="J434" t="str">
            <v>Philadelphia</v>
          </cell>
          <cell r="K434" t="str">
            <v>Sep</v>
          </cell>
        </row>
        <row r="435">
          <cell r="B435">
            <v>1539</v>
          </cell>
          <cell r="C435" t="str">
            <v>Paul Youngblood</v>
          </cell>
          <cell r="D435" t="str">
            <v>philadelphia</v>
          </cell>
          <cell r="E435" t="str">
            <v>CRS</v>
          </cell>
          <cell r="F435">
            <v>8933</v>
          </cell>
          <cell r="G435">
            <v>41817</v>
          </cell>
          <cell r="H435">
            <v>42548</v>
          </cell>
          <cell r="I435" t="str">
            <v>Expired</v>
          </cell>
          <cell r="J435" t="str">
            <v>Philadelphia</v>
          </cell>
          <cell r="K435" t="str">
            <v>Jun</v>
          </cell>
        </row>
        <row r="436">
          <cell r="B436">
            <v>1540</v>
          </cell>
          <cell r="C436" t="str">
            <v>Paula Hood</v>
          </cell>
          <cell r="D436" t="str">
            <v>philadelphia</v>
          </cell>
          <cell r="E436" t="str">
            <v>CRS</v>
          </cell>
          <cell r="F436">
            <v>13330</v>
          </cell>
          <cell r="G436">
            <v>43599</v>
          </cell>
          <cell r="H436">
            <v>46521</v>
          </cell>
          <cell r="I436" t="str">
            <v>Active</v>
          </cell>
          <cell r="J436" t="str">
            <v>Philadelphia</v>
          </cell>
          <cell r="K436" t="str">
            <v>May</v>
          </cell>
        </row>
        <row r="437">
          <cell r="B437">
            <v>1542</v>
          </cell>
          <cell r="C437" t="str">
            <v>Pedro Duran</v>
          </cell>
          <cell r="D437" t="str">
            <v>philadelphia</v>
          </cell>
          <cell r="E437" t="str">
            <v>CRS</v>
          </cell>
          <cell r="F437">
            <v>13763</v>
          </cell>
          <cell r="G437">
            <v>44172</v>
          </cell>
          <cell r="H437">
            <v>44902</v>
          </cell>
          <cell r="I437" t="str">
            <v>Expired</v>
          </cell>
          <cell r="J437" t="str">
            <v>Philadelphia</v>
          </cell>
          <cell r="K437" t="str">
            <v>Dec</v>
          </cell>
        </row>
        <row r="438">
          <cell r="B438">
            <v>1545</v>
          </cell>
          <cell r="C438" t="str">
            <v>Peter  Spayde</v>
          </cell>
          <cell r="D438" t="str">
            <v>philadelphia</v>
          </cell>
          <cell r="E438" t="str">
            <v>CRS</v>
          </cell>
          <cell r="F438">
            <v>12552</v>
          </cell>
          <cell r="G438">
            <v>44726</v>
          </cell>
          <cell r="H438">
            <v>46360</v>
          </cell>
          <cell r="I438" t="str">
            <v>Active</v>
          </cell>
          <cell r="J438" t="str">
            <v>Philadelphia</v>
          </cell>
          <cell r="K438" t="str">
            <v>Jun</v>
          </cell>
        </row>
        <row r="439">
          <cell r="B439">
            <v>1548</v>
          </cell>
          <cell r="C439" t="str">
            <v>Peter Edwards</v>
          </cell>
          <cell r="D439" t="str">
            <v>philadelphia</v>
          </cell>
          <cell r="E439" t="str">
            <v>CRS</v>
          </cell>
          <cell r="F439">
            <v>9444</v>
          </cell>
          <cell r="G439">
            <v>42346</v>
          </cell>
          <cell r="H439">
            <v>43077</v>
          </cell>
          <cell r="I439" t="str">
            <v>Expired</v>
          </cell>
          <cell r="J439" t="str">
            <v>Philadelphia</v>
          </cell>
          <cell r="K439" t="str">
            <v>Dec</v>
          </cell>
        </row>
        <row r="440">
          <cell r="B440">
            <v>1556</v>
          </cell>
          <cell r="C440" t="str">
            <v>Phyllis Davis</v>
          </cell>
          <cell r="D440" t="str">
            <v>philadelphia</v>
          </cell>
          <cell r="E440" t="str">
            <v>CRS</v>
          </cell>
          <cell r="F440">
            <v>8940</v>
          </cell>
          <cell r="G440">
            <v>41817</v>
          </cell>
          <cell r="H440">
            <v>42548</v>
          </cell>
          <cell r="I440" t="str">
            <v>Expired</v>
          </cell>
          <cell r="J440" t="str">
            <v>Philadelphia</v>
          </cell>
          <cell r="K440" t="str">
            <v>Jun</v>
          </cell>
        </row>
        <row r="441">
          <cell r="B441">
            <v>1560</v>
          </cell>
          <cell r="C441" t="str">
            <v>Rachael Wilcox</v>
          </cell>
          <cell r="D441" t="str">
            <v>philadelphia</v>
          </cell>
          <cell r="E441" t="str">
            <v>CRS</v>
          </cell>
          <cell r="F441">
            <v>8605</v>
          </cell>
          <cell r="G441">
            <v>41507</v>
          </cell>
          <cell r="H441">
            <v>42237</v>
          </cell>
          <cell r="I441" t="str">
            <v>Expired</v>
          </cell>
          <cell r="J441" t="str">
            <v>Philadelphia</v>
          </cell>
          <cell r="K441" t="str">
            <v>Aug</v>
          </cell>
        </row>
        <row r="442">
          <cell r="B442">
            <v>1561</v>
          </cell>
          <cell r="C442" t="str">
            <v>Rachel  Reale-Adams</v>
          </cell>
          <cell r="D442" t="str">
            <v>philadelphia</v>
          </cell>
          <cell r="E442" t="str">
            <v>CRS</v>
          </cell>
          <cell r="F442">
            <v>17773</v>
          </cell>
          <cell r="G442">
            <v>44791</v>
          </cell>
          <cell r="H442">
            <v>46252</v>
          </cell>
          <cell r="I442" t="str">
            <v>Active</v>
          </cell>
          <cell r="J442" t="str">
            <v>Philadelphia</v>
          </cell>
          <cell r="K442" t="str">
            <v>Aug</v>
          </cell>
        </row>
        <row r="443">
          <cell r="B443">
            <v>1565</v>
          </cell>
          <cell r="C443" t="str">
            <v>Racquel Fetzer</v>
          </cell>
          <cell r="D443" t="str">
            <v>philadelphia</v>
          </cell>
          <cell r="E443" t="str">
            <v>CRS</v>
          </cell>
          <cell r="F443">
            <v>10252</v>
          </cell>
          <cell r="G443">
            <v>42908</v>
          </cell>
          <cell r="H443">
            <v>44369</v>
          </cell>
          <cell r="I443" t="str">
            <v>Expired</v>
          </cell>
          <cell r="J443" t="str">
            <v>Philadelphia</v>
          </cell>
          <cell r="K443" t="str">
            <v>Jun</v>
          </cell>
        </row>
        <row r="444">
          <cell r="B444">
            <v>1567</v>
          </cell>
          <cell r="C444" t="str">
            <v>Ralph Birkmire, Jr.</v>
          </cell>
          <cell r="D444" t="str">
            <v>philadelphia</v>
          </cell>
          <cell r="E444" t="str">
            <v>CRS</v>
          </cell>
          <cell r="F444">
            <v>14800</v>
          </cell>
          <cell r="G444">
            <v>43787</v>
          </cell>
          <cell r="H444">
            <v>44518</v>
          </cell>
          <cell r="I444" t="str">
            <v>Expired</v>
          </cell>
          <cell r="J444" t="str">
            <v>Philadelphia</v>
          </cell>
          <cell r="K444" t="str">
            <v>Nov</v>
          </cell>
        </row>
        <row r="445">
          <cell r="B445">
            <v>1568</v>
          </cell>
          <cell r="C445" t="str">
            <v>Rana Gardner</v>
          </cell>
          <cell r="D445" t="str">
            <v>philadelphia</v>
          </cell>
          <cell r="E445" t="str">
            <v>CRS</v>
          </cell>
          <cell r="F445">
            <v>11319</v>
          </cell>
          <cell r="G445">
            <v>43770</v>
          </cell>
          <cell r="H445">
            <v>44501</v>
          </cell>
          <cell r="I445" t="str">
            <v>Expired</v>
          </cell>
          <cell r="J445" t="str">
            <v>Philadelphia</v>
          </cell>
          <cell r="K445" t="str">
            <v>Nov</v>
          </cell>
        </row>
        <row r="446">
          <cell r="B446">
            <v>1570</v>
          </cell>
          <cell r="C446" t="str">
            <v>Randy Goldy</v>
          </cell>
          <cell r="D446" t="str">
            <v>philadelphia</v>
          </cell>
          <cell r="E446" t="str">
            <v>CRS</v>
          </cell>
          <cell r="F446">
            <v>17713</v>
          </cell>
          <cell r="G446">
            <v>44777</v>
          </cell>
          <cell r="H446">
            <v>45508</v>
          </cell>
          <cell r="I446" t="str">
            <v>Lapsed</v>
          </cell>
          <cell r="J446" t="str">
            <v>Philadelphia</v>
          </cell>
          <cell r="K446" t="str">
            <v>Aug</v>
          </cell>
        </row>
        <row r="447">
          <cell r="B447">
            <v>1574</v>
          </cell>
          <cell r="C447" t="str">
            <v>Rasheeda Isley</v>
          </cell>
          <cell r="D447" t="str">
            <v>philadelphia</v>
          </cell>
          <cell r="E447" t="str">
            <v>CRS</v>
          </cell>
          <cell r="F447">
            <v>15514</v>
          </cell>
          <cell r="G447">
            <v>44096</v>
          </cell>
          <cell r="H447">
            <v>46287</v>
          </cell>
          <cell r="I447" t="str">
            <v>Active</v>
          </cell>
          <cell r="J447" t="str">
            <v>Philadelphia</v>
          </cell>
          <cell r="K447" t="str">
            <v>Sep</v>
          </cell>
        </row>
        <row r="448">
          <cell r="B448">
            <v>1575</v>
          </cell>
          <cell r="C448" t="str">
            <v>Rasheeda Isley</v>
          </cell>
          <cell r="D448" t="str">
            <v>philadelphia</v>
          </cell>
          <cell r="E448" t="str">
            <v>CFRS</v>
          </cell>
          <cell r="F448">
            <v>15514</v>
          </cell>
          <cell r="G448">
            <v>44306</v>
          </cell>
          <cell r="H448">
            <v>45767</v>
          </cell>
          <cell r="I448" t="str">
            <v>Lapsed</v>
          </cell>
          <cell r="J448" t="str">
            <v>Philadelphia</v>
          </cell>
          <cell r="K448" t="str">
            <v>Apr</v>
          </cell>
        </row>
        <row r="449">
          <cell r="B449">
            <v>1576</v>
          </cell>
          <cell r="C449" t="str">
            <v>Rasheeda Jackson</v>
          </cell>
          <cell r="D449" t="str">
            <v>philadelphia</v>
          </cell>
          <cell r="E449" t="str">
            <v>CRS</v>
          </cell>
          <cell r="F449">
            <v>5308</v>
          </cell>
          <cell r="G449">
            <v>43697</v>
          </cell>
          <cell r="H449">
            <v>45889</v>
          </cell>
          <cell r="I449" t="str">
            <v>Active</v>
          </cell>
          <cell r="J449" t="str">
            <v>Philadelphia</v>
          </cell>
          <cell r="K449" t="str">
            <v>Aug</v>
          </cell>
        </row>
        <row r="450">
          <cell r="B450">
            <v>1577</v>
          </cell>
          <cell r="C450" t="str">
            <v>Rasheetta Milas</v>
          </cell>
          <cell r="D450" t="str">
            <v>philadelphia</v>
          </cell>
          <cell r="E450" t="str">
            <v>CRS</v>
          </cell>
          <cell r="F450">
            <v>10007</v>
          </cell>
          <cell r="G450">
            <v>42753</v>
          </cell>
          <cell r="H450">
            <v>44214</v>
          </cell>
          <cell r="I450" t="str">
            <v>Expired</v>
          </cell>
          <cell r="J450" t="str">
            <v>Philadelphia</v>
          </cell>
          <cell r="K450" t="str">
            <v>Jan</v>
          </cell>
        </row>
        <row r="451">
          <cell r="B451">
            <v>1583</v>
          </cell>
          <cell r="C451" t="str">
            <v>Raymond Selden, III</v>
          </cell>
          <cell r="D451" t="str">
            <v>philadelphia</v>
          </cell>
          <cell r="E451" t="str">
            <v>CRS</v>
          </cell>
          <cell r="F451">
            <v>9028</v>
          </cell>
          <cell r="G451">
            <v>41905</v>
          </cell>
          <cell r="H451">
            <v>42636</v>
          </cell>
          <cell r="I451" t="str">
            <v>Expired</v>
          </cell>
          <cell r="J451" t="str">
            <v>Philadelphia</v>
          </cell>
          <cell r="K451" t="str">
            <v>Sep</v>
          </cell>
        </row>
        <row r="452">
          <cell r="B452">
            <v>1585</v>
          </cell>
          <cell r="C452" t="str">
            <v>Rebecca Deo</v>
          </cell>
          <cell r="D452" t="str">
            <v>philadelphia</v>
          </cell>
          <cell r="E452" t="str">
            <v>CRS</v>
          </cell>
          <cell r="F452">
            <v>15611</v>
          </cell>
          <cell r="G452">
            <v>44140</v>
          </cell>
          <cell r="H452">
            <v>45601</v>
          </cell>
          <cell r="I452" t="str">
            <v>Lapsed</v>
          </cell>
          <cell r="J452" t="str">
            <v>Philadelphia</v>
          </cell>
          <cell r="K452" t="str">
            <v>Nov</v>
          </cell>
        </row>
        <row r="453">
          <cell r="B453">
            <v>1586</v>
          </cell>
          <cell r="C453" t="str">
            <v>Rebecca Deo</v>
          </cell>
          <cell r="D453" t="str">
            <v>philadelphia</v>
          </cell>
          <cell r="E453" t="str">
            <v>CFRS</v>
          </cell>
          <cell r="F453">
            <v>15611</v>
          </cell>
          <cell r="G453">
            <v>44267</v>
          </cell>
          <cell r="H453">
            <v>44997</v>
          </cell>
          <cell r="I453" t="str">
            <v>Expired</v>
          </cell>
          <cell r="J453" t="str">
            <v>Philadelphia</v>
          </cell>
          <cell r="K453" t="str">
            <v>Mar</v>
          </cell>
        </row>
        <row r="454">
          <cell r="B454">
            <v>1592</v>
          </cell>
          <cell r="C454" t="str">
            <v>Reinaldo Inchautegui</v>
          </cell>
          <cell r="D454" t="str">
            <v>philadelphia</v>
          </cell>
          <cell r="E454" t="str">
            <v>CFRS</v>
          </cell>
          <cell r="F454">
            <v>20615</v>
          </cell>
          <cell r="G454">
            <v>45498</v>
          </cell>
          <cell r="H454">
            <v>46228</v>
          </cell>
          <cell r="I454" t="str">
            <v>Active</v>
          </cell>
          <cell r="J454" t="str">
            <v>Philadelphia</v>
          </cell>
          <cell r="K454" t="str">
            <v>Jul</v>
          </cell>
        </row>
        <row r="455">
          <cell r="B455">
            <v>1596</v>
          </cell>
          <cell r="C455" t="str">
            <v>Richard  Henderson</v>
          </cell>
          <cell r="D455" t="str">
            <v>philadelphia</v>
          </cell>
          <cell r="E455" t="str">
            <v>CRS</v>
          </cell>
          <cell r="F455">
            <v>22095</v>
          </cell>
          <cell r="G455">
            <v>45812</v>
          </cell>
          <cell r="H455">
            <v>46542</v>
          </cell>
          <cell r="I455" t="str">
            <v>Active</v>
          </cell>
          <cell r="J455" t="str">
            <v>Philadelphia</v>
          </cell>
          <cell r="K455" t="str">
            <v>Jun</v>
          </cell>
        </row>
        <row r="456">
          <cell r="B456">
            <v>1598</v>
          </cell>
          <cell r="C456" t="str">
            <v>Richard Auerbach</v>
          </cell>
          <cell r="D456" t="str">
            <v>philadelphia</v>
          </cell>
          <cell r="E456" t="str">
            <v>CRS</v>
          </cell>
          <cell r="F456">
            <v>11037</v>
          </cell>
          <cell r="G456">
            <v>43203</v>
          </cell>
          <cell r="H456">
            <v>43934</v>
          </cell>
          <cell r="I456" t="str">
            <v>Expired</v>
          </cell>
          <cell r="J456" t="str">
            <v>Philadelphia</v>
          </cell>
          <cell r="K456" t="str">
            <v>Apr</v>
          </cell>
        </row>
        <row r="457">
          <cell r="B457">
            <v>1603</v>
          </cell>
          <cell r="C457" t="str">
            <v>Richard Petrolawicz</v>
          </cell>
          <cell r="D457" t="str">
            <v>philadelphia</v>
          </cell>
          <cell r="E457" t="str">
            <v>CRS</v>
          </cell>
          <cell r="F457">
            <v>8200</v>
          </cell>
          <cell r="G457">
            <v>41159</v>
          </cell>
          <cell r="H457">
            <v>43350</v>
          </cell>
          <cell r="I457" t="str">
            <v>Expired</v>
          </cell>
          <cell r="J457" t="str">
            <v>Philadelphia</v>
          </cell>
          <cell r="K457" t="str">
            <v>Sep</v>
          </cell>
        </row>
        <row r="458">
          <cell r="B458">
            <v>1606</v>
          </cell>
          <cell r="C458" t="str">
            <v>Richard Vogel</v>
          </cell>
          <cell r="D458" t="str">
            <v>philadelphia</v>
          </cell>
          <cell r="E458" t="str">
            <v>CRS</v>
          </cell>
          <cell r="F458">
            <v>17368</v>
          </cell>
          <cell r="G458">
            <v>45469</v>
          </cell>
          <cell r="H458">
            <v>46199</v>
          </cell>
          <cell r="I458" t="str">
            <v>Active</v>
          </cell>
          <cell r="J458" t="str">
            <v>Philadelphia</v>
          </cell>
          <cell r="K458" t="str">
            <v>Jun</v>
          </cell>
        </row>
        <row r="459">
          <cell r="B459">
            <v>1610</v>
          </cell>
          <cell r="C459" t="str">
            <v>Robert  Gattone</v>
          </cell>
          <cell r="D459" t="str">
            <v>philadelphia</v>
          </cell>
          <cell r="E459" t="str">
            <v>CRS</v>
          </cell>
          <cell r="F459">
            <v>15341</v>
          </cell>
          <cell r="G459">
            <v>44041</v>
          </cell>
          <cell r="H459">
            <v>46232</v>
          </cell>
          <cell r="I459" t="str">
            <v>Active</v>
          </cell>
          <cell r="J459" t="str">
            <v>Philadelphia</v>
          </cell>
          <cell r="K459" t="str">
            <v>Jul</v>
          </cell>
        </row>
        <row r="460">
          <cell r="B460">
            <v>1611</v>
          </cell>
          <cell r="C460" t="str">
            <v>Robert  Morton</v>
          </cell>
          <cell r="D460" t="str">
            <v>philadelphia</v>
          </cell>
          <cell r="E460" t="str">
            <v>CRS</v>
          </cell>
          <cell r="F460">
            <v>11829</v>
          </cell>
          <cell r="G460">
            <v>45629</v>
          </cell>
          <cell r="H460">
            <v>46359</v>
          </cell>
          <cell r="I460" t="str">
            <v>Active</v>
          </cell>
          <cell r="J460" t="str">
            <v>Philadelphia</v>
          </cell>
          <cell r="K460" t="str">
            <v>Dec</v>
          </cell>
        </row>
        <row r="461">
          <cell r="B461">
            <v>1612</v>
          </cell>
          <cell r="C461" t="str">
            <v>Robert Ambrose</v>
          </cell>
          <cell r="D461" t="str">
            <v>philadelphia</v>
          </cell>
          <cell r="E461" t="str">
            <v>CRS</v>
          </cell>
          <cell r="F461">
            <v>14938</v>
          </cell>
          <cell r="G461">
            <v>43818</v>
          </cell>
          <cell r="H461">
            <v>46010</v>
          </cell>
          <cell r="I461" t="str">
            <v>Active</v>
          </cell>
          <cell r="J461" t="str">
            <v>Philadelphia</v>
          </cell>
          <cell r="K461" t="str">
            <v>Dec</v>
          </cell>
        </row>
        <row r="462">
          <cell r="B462">
            <v>1617</v>
          </cell>
          <cell r="C462" t="str">
            <v>Robert Collins</v>
          </cell>
          <cell r="D462" t="str">
            <v>philadelphia</v>
          </cell>
          <cell r="E462" t="str">
            <v>CRS</v>
          </cell>
          <cell r="F462">
            <v>19404</v>
          </cell>
          <cell r="G462">
            <v>45244</v>
          </cell>
          <cell r="H462">
            <v>45975</v>
          </cell>
          <cell r="I462" t="str">
            <v>Active</v>
          </cell>
          <cell r="J462" t="str">
            <v>Philadelphia</v>
          </cell>
          <cell r="K462" t="str">
            <v>Nov</v>
          </cell>
        </row>
        <row r="463">
          <cell r="B463">
            <v>1623</v>
          </cell>
          <cell r="C463" t="str">
            <v>Robert Dott</v>
          </cell>
          <cell r="D463" t="str">
            <v>philadelphia</v>
          </cell>
          <cell r="E463" t="str">
            <v>CRS</v>
          </cell>
          <cell r="F463">
            <v>16120</v>
          </cell>
          <cell r="G463">
            <v>44280</v>
          </cell>
          <cell r="H463">
            <v>45010</v>
          </cell>
          <cell r="I463" t="str">
            <v>Expired</v>
          </cell>
          <cell r="J463" t="str">
            <v>Philadelphia</v>
          </cell>
          <cell r="K463" t="str">
            <v>Mar</v>
          </cell>
        </row>
        <row r="464">
          <cell r="B464">
            <v>1624</v>
          </cell>
          <cell r="C464" t="str">
            <v>Robert Flood</v>
          </cell>
          <cell r="D464" t="str">
            <v>philadelphia</v>
          </cell>
          <cell r="E464" t="str">
            <v>CRS</v>
          </cell>
          <cell r="F464">
            <v>12681</v>
          </cell>
          <cell r="G464">
            <v>45687</v>
          </cell>
          <cell r="H464">
            <v>46417</v>
          </cell>
          <cell r="I464" t="str">
            <v>Active</v>
          </cell>
          <cell r="J464" t="str">
            <v>Philadelphia</v>
          </cell>
          <cell r="K464" t="str">
            <v>Jan</v>
          </cell>
        </row>
        <row r="465">
          <cell r="B465">
            <v>1625</v>
          </cell>
          <cell r="C465" t="str">
            <v>Robert Garrett</v>
          </cell>
          <cell r="D465" t="str">
            <v>philadelphia</v>
          </cell>
          <cell r="E465" t="str">
            <v>CRS</v>
          </cell>
          <cell r="F465">
            <v>13639</v>
          </cell>
          <cell r="G465">
            <v>43634</v>
          </cell>
          <cell r="H465">
            <v>44365</v>
          </cell>
          <cell r="I465" t="str">
            <v>Expired</v>
          </cell>
          <cell r="J465" t="str">
            <v>Philadelphia</v>
          </cell>
          <cell r="K465" t="str">
            <v>Jun</v>
          </cell>
        </row>
        <row r="466">
          <cell r="B466">
            <v>1638</v>
          </cell>
          <cell r="C466" t="str">
            <v>Rodney Brown</v>
          </cell>
          <cell r="D466" t="str">
            <v>philadelphia</v>
          </cell>
          <cell r="E466" t="str">
            <v>CRS</v>
          </cell>
          <cell r="F466">
            <v>8939</v>
          </cell>
          <cell r="G466">
            <v>41817</v>
          </cell>
          <cell r="H466">
            <v>43278</v>
          </cell>
          <cell r="I466" t="str">
            <v>Expired</v>
          </cell>
          <cell r="J466" t="str">
            <v>Philadelphia</v>
          </cell>
          <cell r="K466" t="str">
            <v>Jun</v>
          </cell>
        </row>
        <row r="467">
          <cell r="B467">
            <v>1639</v>
          </cell>
          <cell r="C467" t="str">
            <v>Rodney Smith</v>
          </cell>
          <cell r="D467" t="str">
            <v>philadelphia</v>
          </cell>
          <cell r="E467" t="str">
            <v>CRS</v>
          </cell>
          <cell r="F467">
            <v>22103</v>
          </cell>
          <cell r="G467">
            <v>45812</v>
          </cell>
          <cell r="H467">
            <v>46542</v>
          </cell>
          <cell r="I467" t="str">
            <v>Active</v>
          </cell>
          <cell r="J467" t="str">
            <v>Philadelphia</v>
          </cell>
          <cell r="K467" t="str">
            <v>Jun</v>
          </cell>
        </row>
        <row r="468">
          <cell r="B468">
            <v>1640</v>
          </cell>
          <cell r="C468" t="str">
            <v>Roger Cobb</v>
          </cell>
          <cell r="D468" t="str">
            <v>philadelphia</v>
          </cell>
          <cell r="E468" t="str">
            <v>CRS</v>
          </cell>
          <cell r="F468">
            <v>14411</v>
          </cell>
          <cell r="G468">
            <v>43697</v>
          </cell>
          <cell r="H468">
            <v>44428</v>
          </cell>
          <cell r="I468" t="str">
            <v>Expired</v>
          </cell>
          <cell r="J468" t="str">
            <v>Philadelphia</v>
          </cell>
          <cell r="K468" t="str">
            <v>Aug</v>
          </cell>
        </row>
        <row r="469">
          <cell r="B469">
            <v>1642</v>
          </cell>
          <cell r="C469" t="str">
            <v>Ronald  Averette Sr</v>
          </cell>
          <cell r="D469" t="str">
            <v>philadelphia</v>
          </cell>
          <cell r="E469" t="str">
            <v>CRS</v>
          </cell>
          <cell r="F469">
            <v>21637</v>
          </cell>
          <cell r="G469">
            <v>45723</v>
          </cell>
          <cell r="H469">
            <v>46453</v>
          </cell>
          <cell r="I469" t="str">
            <v>Active</v>
          </cell>
          <cell r="J469" t="str">
            <v>Philadelphia</v>
          </cell>
          <cell r="K469" t="str">
            <v>Mar</v>
          </cell>
        </row>
        <row r="470">
          <cell r="B470">
            <v>1643</v>
          </cell>
          <cell r="C470" t="str">
            <v>Ronald  Averette Sr</v>
          </cell>
          <cell r="D470" t="str">
            <v>philadelphia</v>
          </cell>
          <cell r="E470" t="str">
            <v>CFRS</v>
          </cell>
          <cell r="F470">
            <v>21637</v>
          </cell>
          <cell r="G470">
            <v>45719</v>
          </cell>
          <cell r="H470">
            <v>46449</v>
          </cell>
          <cell r="I470" t="str">
            <v>Active</v>
          </cell>
          <cell r="J470" t="str">
            <v>Philadelphia</v>
          </cell>
          <cell r="K470" t="str">
            <v>Mar</v>
          </cell>
        </row>
        <row r="471">
          <cell r="B471">
            <v>1644</v>
          </cell>
          <cell r="C471" t="str">
            <v>Ronald Ford</v>
          </cell>
          <cell r="D471" t="str">
            <v>philadelphia</v>
          </cell>
          <cell r="E471" t="str">
            <v>CRS</v>
          </cell>
          <cell r="F471">
            <v>8393</v>
          </cell>
          <cell r="G471">
            <v>41393</v>
          </cell>
          <cell r="H471">
            <v>43584</v>
          </cell>
          <cell r="I471" t="str">
            <v>Expired</v>
          </cell>
          <cell r="J471" t="str">
            <v>Philadelphia</v>
          </cell>
          <cell r="K471" t="str">
            <v>Apr</v>
          </cell>
        </row>
        <row r="472">
          <cell r="B472">
            <v>1645</v>
          </cell>
          <cell r="C472" t="str">
            <v>Ronald Richardson</v>
          </cell>
          <cell r="D472" t="str">
            <v>philadelphia</v>
          </cell>
          <cell r="E472" t="str">
            <v>CRS</v>
          </cell>
          <cell r="F472">
            <v>18300</v>
          </cell>
          <cell r="G472">
            <v>44973</v>
          </cell>
          <cell r="H472">
            <v>45704</v>
          </cell>
          <cell r="I472" t="str">
            <v>Lapsed</v>
          </cell>
          <cell r="J472" t="str">
            <v>Philadelphia</v>
          </cell>
          <cell r="K472" t="str">
            <v>Feb</v>
          </cell>
        </row>
        <row r="473">
          <cell r="B473">
            <v>1646</v>
          </cell>
          <cell r="C473" t="str">
            <v>Ronald Richardson</v>
          </cell>
          <cell r="D473" t="str">
            <v>philadelphia</v>
          </cell>
          <cell r="E473" t="str">
            <v>CFRS</v>
          </cell>
          <cell r="F473">
            <v>18300</v>
          </cell>
          <cell r="G473">
            <v>44972</v>
          </cell>
          <cell r="H473">
            <v>45703</v>
          </cell>
          <cell r="I473" t="str">
            <v>Lapsed</v>
          </cell>
          <cell r="J473" t="str">
            <v>Philadelphia</v>
          </cell>
          <cell r="K473" t="str">
            <v>Feb</v>
          </cell>
        </row>
        <row r="474">
          <cell r="B474">
            <v>1648</v>
          </cell>
          <cell r="C474" t="str">
            <v>Ronald Sheppard</v>
          </cell>
          <cell r="D474" t="str">
            <v>philadelphia</v>
          </cell>
          <cell r="E474" t="str">
            <v>CRS</v>
          </cell>
          <cell r="F474">
            <v>11045</v>
          </cell>
          <cell r="G474">
            <v>43203</v>
          </cell>
          <cell r="H474">
            <v>43934</v>
          </cell>
          <cell r="I474" t="str">
            <v>Expired</v>
          </cell>
          <cell r="J474" t="str">
            <v>Philadelphia</v>
          </cell>
          <cell r="K474" t="str">
            <v>Apr</v>
          </cell>
        </row>
        <row r="475">
          <cell r="B475">
            <v>1651</v>
          </cell>
          <cell r="C475" t="str">
            <v>Rosemary Velez</v>
          </cell>
          <cell r="D475" t="str">
            <v>philadelphia</v>
          </cell>
          <cell r="E475" t="str">
            <v>CRS</v>
          </cell>
          <cell r="F475">
            <v>17223</v>
          </cell>
          <cell r="G475">
            <v>44596</v>
          </cell>
          <cell r="H475">
            <v>46057</v>
          </cell>
          <cell r="I475" t="str">
            <v>Active</v>
          </cell>
          <cell r="J475" t="str">
            <v>Philadelphia</v>
          </cell>
          <cell r="K475" t="str">
            <v>Feb</v>
          </cell>
        </row>
        <row r="476">
          <cell r="B476">
            <v>1652</v>
          </cell>
          <cell r="C476" t="str">
            <v>Rosemary Velez</v>
          </cell>
          <cell r="D476" t="str">
            <v>philadelphia</v>
          </cell>
          <cell r="E476" t="str">
            <v>CRSS</v>
          </cell>
          <cell r="F476">
            <v>17223</v>
          </cell>
          <cell r="G476">
            <v>45678</v>
          </cell>
          <cell r="H476">
            <v>46408</v>
          </cell>
          <cell r="I476" t="str">
            <v>Active</v>
          </cell>
          <cell r="J476" t="str">
            <v>Philadelphia</v>
          </cell>
          <cell r="K476" t="str">
            <v>Jan</v>
          </cell>
        </row>
        <row r="477">
          <cell r="B477">
            <v>1655</v>
          </cell>
          <cell r="C477" t="str">
            <v>Roy Kelley</v>
          </cell>
          <cell r="D477" t="str">
            <v>philadelphia</v>
          </cell>
          <cell r="E477" t="str">
            <v>CRS</v>
          </cell>
          <cell r="F477">
            <v>20951</v>
          </cell>
          <cell r="G477">
            <v>45575</v>
          </cell>
          <cell r="H477">
            <v>46305</v>
          </cell>
          <cell r="I477" t="str">
            <v>Active</v>
          </cell>
          <cell r="J477" t="str">
            <v>Philadelphia</v>
          </cell>
          <cell r="K477" t="str">
            <v>Oct</v>
          </cell>
        </row>
        <row r="478">
          <cell r="B478">
            <v>1656</v>
          </cell>
          <cell r="C478" t="str">
            <v>Roy Murray</v>
          </cell>
          <cell r="D478" t="str">
            <v>philadelphia</v>
          </cell>
          <cell r="E478" t="str">
            <v>CRS</v>
          </cell>
          <cell r="F478">
            <v>11350</v>
          </cell>
          <cell r="G478">
            <v>43227</v>
          </cell>
          <cell r="H478">
            <v>43958</v>
          </cell>
          <cell r="I478" t="str">
            <v>Expired</v>
          </cell>
          <cell r="J478" t="str">
            <v>Philadelphia</v>
          </cell>
          <cell r="K478" t="str">
            <v>May</v>
          </cell>
        </row>
        <row r="479">
          <cell r="B479">
            <v>1657</v>
          </cell>
          <cell r="C479" t="str">
            <v>Russell  Harold</v>
          </cell>
          <cell r="D479" t="str">
            <v>philadelphia</v>
          </cell>
          <cell r="E479" t="str">
            <v>CRS</v>
          </cell>
          <cell r="F479">
            <v>16526</v>
          </cell>
          <cell r="G479">
            <v>44372</v>
          </cell>
          <cell r="H479">
            <v>45833</v>
          </cell>
          <cell r="I479" t="str">
            <v>Active</v>
          </cell>
          <cell r="J479" t="str">
            <v>Philadelphia</v>
          </cell>
          <cell r="K479" t="str">
            <v>Jun</v>
          </cell>
        </row>
        <row r="480">
          <cell r="B480">
            <v>1658</v>
          </cell>
          <cell r="C480" t="str">
            <v>Russell Moses</v>
          </cell>
          <cell r="D480" t="str">
            <v>philadelphia</v>
          </cell>
          <cell r="E480" t="str">
            <v>CRS</v>
          </cell>
          <cell r="F480">
            <v>14419</v>
          </cell>
          <cell r="G480">
            <v>43697</v>
          </cell>
          <cell r="H480">
            <v>44428</v>
          </cell>
          <cell r="I480" t="str">
            <v>Expired</v>
          </cell>
          <cell r="J480" t="str">
            <v>Philadelphia</v>
          </cell>
          <cell r="K480" t="str">
            <v>Aug</v>
          </cell>
        </row>
        <row r="481">
          <cell r="B481">
            <v>1660</v>
          </cell>
          <cell r="C481" t="str">
            <v>Ryan Anderson</v>
          </cell>
          <cell r="D481" t="str">
            <v>philadelphia</v>
          </cell>
          <cell r="E481" t="str">
            <v>CRS</v>
          </cell>
          <cell r="F481">
            <v>18764</v>
          </cell>
          <cell r="G481">
            <v>45098</v>
          </cell>
          <cell r="H481">
            <v>45829</v>
          </cell>
          <cell r="I481" t="str">
            <v>Active</v>
          </cell>
          <cell r="J481" t="str">
            <v>Philadelphia</v>
          </cell>
          <cell r="K481" t="str">
            <v>Jun</v>
          </cell>
        </row>
        <row r="482">
          <cell r="B482">
            <v>1665</v>
          </cell>
          <cell r="C482" t="str">
            <v>Ryant Washington</v>
          </cell>
          <cell r="D482" t="str">
            <v>philadelphia</v>
          </cell>
          <cell r="E482" t="str">
            <v>CRS</v>
          </cell>
          <cell r="F482">
            <v>8778</v>
          </cell>
          <cell r="G482">
            <v>43510</v>
          </cell>
          <cell r="H482">
            <v>45702</v>
          </cell>
          <cell r="I482" t="str">
            <v>Lapsed</v>
          </cell>
          <cell r="J482" t="str">
            <v>Philadelphia</v>
          </cell>
          <cell r="K482" t="str">
            <v>Feb</v>
          </cell>
        </row>
        <row r="483">
          <cell r="B483">
            <v>1667</v>
          </cell>
          <cell r="C483" t="str">
            <v>Sabrina Dalton</v>
          </cell>
          <cell r="D483" t="str">
            <v>philadelphia</v>
          </cell>
          <cell r="E483" t="str">
            <v>CRS</v>
          </cell>
          <cell r="F483">
            <v>11706</v>
          </cell>
          <cell r="G483">
            <v>43272</v>
          </cell>
          <cell r="H483">
            <v>44003</v>
          </cell>
          <cell r="I483" t="str">
            <v>Expired</v>
          </cell>
          <cell r="J483" t="str">
            <v>Philadelphia</v>
          </cell>
          <cell r="K483" t="str">
            <v>Jun</v>
          </cell>
        </row>
        <row r="484">
          <cell r="B484">
            <v>1668</v>
          </cell>
          <cell r="C484" t="str">
            <v>Sabrina D'Angelo</v>
          </cell>
          <cell r="D484" t="str">
            <v>philadelphia</v>
          </cell>
          <cell r="E484" t="str">
            <v>CRS</v>
          </cell>
          <cell r="F484">
            <v>20918</v>
          </cell>
          <cell r="G484">
            <v>45567</v>
          </cell>
          <cell r="H484">
            <v>46297</v>
          </cell>
          <cell r="I484" t="str">
            <v>Active</v>
          </cell>
          <cell r="J484" t="str">
            <v>Philadelphia</v>
          </cell>
          <cell r="K484" t="str">
            <v>Oct</v>
          </cell>
        </row>
        <row r="485">
          <cell r="B485">
            <v>1669</v>
          </cell>
          <cell r="C485" t="str">
            <v>Saia Baird</v>
          </cell>
          <cell r="D485" t="str">
            <v>philadelphia</v>
          </cell>
          <cell r="E485" t="str">
            <v>CRS</v>
          </cell>
          <cell r="F485">
            <v>17574</v>
          </cell>
          <cell r="G485">
            <v>44732</v>
          </cell>
          <cell r="H485">
            <v>45463</v>
          </cell>
          <cell r="I485" t="str">
            <v>Lapsed</v>
          </cell>
          <cell r="J485" t="str">
            <v>Philadelphia</v>
          </cell>
          <cell r="K485" t="str">
            <v>Jun</v>
          </cell>
        </row>
        <row r="486">
          <cell r="B486">
            <v>1673</v>
          </cell>
          <cell r="C486" t="str">
            <v>Samantha Carfagno</v>
          </cell>
          <cell r="D486" t="str">
            <v>philadelphia</v>
          </cell>
          <cell r="E486" t="str">
            <v>CRS</v>
          </cell>
          <cell r="F486">
            <v>20994</v>
          </cell>
          <cell r="G486">
            <v>45580</v>
          </cell>
          <cell r="H486">
            <v>46310</v>
          </cell>
          <cell r="I486" t="str">
            <v>Active</v>
          </cell>
          <cell r="J486" t="str">
            <v>Philadelphia</v>
          </cell>
          <cell r="K486" t="str">
            <v>Oct</v>
          </cell>
        </row>
        <row r="487">
          <cell r="B487">
            <v>1685</v>
          </cell>
          <cell r="C487" t="str">
            <v>Saquona  Crawford</v>
          </cell>
          <cell r="D487" t="str">
            <v>philadelphia</v>
          </cell>
          <cell r="E487" t="str">
            <v>CRS</v>
          </cell>
          <cell r="F487">
            <v>17989</v>
          </cell>
          <cell r="G487">
            <v>44863</v>
          </cell>
          <cell r="H487">
            <v>46324</v>
          </cell>
          <cell r="I487" t="str">
            <v>Active</v>
          </cell>
          <cell r="J487" t="str">
            <v>Philadelphia</v>
          </cell>
          <cell r="K487" t="str">
            <v>Oct</v>
          </cell>
        </row>
        <row r="488">
          <cell r="B488">
            <v>1691</v>
          </cell>
          <cell r="C488" t="str">
            <v>Sara Groome</v>
          </cell>
          <cell r="D488" t="str">
            <v>philadelphia</v>
          </cell>
          <cell r="E488" t="str">
            <v>CRS</v>
          </cell>
          <cell r="F488">
            <v>15717</v>
          </cell>
          <cell r="G488">
            <v>44172</v>
          </cell>
          <cell r="H488">
            <v>46363</v>
          </cell>
          <cell r="I488" t="str">
            <v>Active</v>
          </cell>
          <cell r="J488" t="str">
            <v>Philadelphia</v>
          </cell>
          <cell r="K488" t="str">
            <v>Dec</v>
          </cell>
        </row>
        <row r="489">
          <cell r="B489">
            <v>1694</v>
          </cell>
          <cell r="C489" t="str">
            <v>Sarah Carroll</v>
          </cell>
          <cell r="D489" t="str">
            <v>philadelphia</v>
          </cell>
          <cell r="E489" t="str">
            <v>CRS</v>
          </cell>
          <cell r="F489">
            <v>19394</v>
          </cell>
          <cell r="G489">
            <v>45244</v>
          </cell>
          <cell r="H489">
            <v>45975</v>
          </cell>
          <cell r="I489" t="str">
            <v>Active</v>
          </cell>
          <cell r="J489" t="str">
            <v>Philadelphia</v>
          </cell>
          <cell r="K489" t="str">
            <v>Nov</v>
          </cell>
        </row>
        <row r="490">
          <cell r="B490">
            <v>1699</v>
          </cell>
          <cell r="C490" t="str">
            <v>Saulene Llanes</v>
          </cell>
          <cell r="D490" t="str">
            <v>philadelphia</v>
          </cell>
          <cell r="E490" t="str">
            <v>CRS</v>
          </cell>
          <cell r="F490">
            <v>10651</v>
          </cell>
          <cell r="G490">
            <v>43118</v>
          </cell>
          <cell r="H490">
            <v>46040</v>
          </cell>
          <cell r="I490" t="str">
            <v>Active</v>
          </cell>
          <cell r="J490" t="str">
            <v>Philadelphia</v>
          </cell>
          <cell r="K490" t="str">
            <v>Jan</v>
          </cell>
        </row>
        <row r="491">
          <cell r="B491">
            <v>1711</v>
          </cell>
          <cell r="C491" t="str">
            <v>Sean Fogler</v>
          </cell>
          <cell r="D491" t="str">
            <v>philadelphia</v>
          </cell>
          <cell r="E491" t="str">
            <v>CRS</v>
          </cell>
          <cell r="F491">
            <v>13333</v>
          </cell>
          <cell r="G491">
            <v>43599</v>
          </cell>
          <cell r="H491">
            <v>44330</v>
          </cell>
          <cell r="I491" t="str">
            <v>Expired</v>
          </cell>
          <cell r="J491" t="str">
            <v>Philadelphia</v>
          </cell>
          <cell r="K491" t="str">
            <v>May</v>
          </cell>
        </row>
        <row r="492">
          <cell r="B492">
            <v>1716</v>
          </cell>
          <cell r="C492" t="str">
            <v>Shahida Mimms</v>
          </cell>
          <cell r="D492" t="str">
            <v>philadelphia</v>
          </cell>
          <cell r="E492" t="str">
            <v>CRS</v>
          </cell>
          <cell r="F492">
            <v>9045</v>
          </cell>
          <cell r="G492">
            <v>44284</v>
          </cell>
          <cell r="H492">
            <v>45014</v>
          </cell>
          <cell r="I492" t="str">
            <v>Expired</v>
          </cell>
          <cell r="J492" t="str">
            <v>Philadelphia</v>
          </cell>
          <cell r="K492" t="str">
            <v>Mar</v>
          </cell>
        </row>
        <row r="493">
          <cell r="B493">
            <v>1717</v>
          </cell>
          <cell r="C493" t="str">
            <v>ShaMar Benjamin</v>
          </cell>
          <cell r="D493" t="str">
            <v>philadelphia</v>
          </cell>
          <cell r="E493" t="str">
            <v>CRS</v>
          </cell>
          <cell r="F493">
            <v>14000</v>
          </cell>
          <cell r="G493">
            <v>43670</v>
          </cell>
          <cell r="H493">
            <v>45131</v>
          </cell>
          <cell r="I493" t="str">
            <v>Expired</v>
          </cell>
          <cell r="J493" t="str">
            <v>Philadelphia</v>
          </cell>
          <cell r="K493" t="str">
            <v>Jul</v>
          </cell>
        </row>
        <row r="494">
          <cell r="B494">
            <v>1722</v>
          </cell>
          <cell r="C494" t="str">
            <v>Shane Nieves</v>
          </cell>
          <cell r="D494" t="str">
            <v>philadelphia</v>
          </cell>
          <cell r="E494" t="str">
            <v>CFRS</v>
          </cell>
          <cell r="F494">
            <v>17964</v>
          </cell>
          <cell r="G494">
            <v>44853</v>
          </cell>
          <cell r="H494">
            <v>45584</v>
          </cell>
          <cell r="I494" t="str">
            <v>Lapsed</v>
          </cell>
          <cell r="J494" t="str">
            <v>Philadelphia</v>
          </cell>
          <cell r="K494" t="str">
            <v>Oct</v>
          </cell>
        </row>
        <row r="495">
          <cell r="B495">
            <v>1723</v>
          </cell>
          <cell r="C495" t="str">
            <v>Shaniece Carroll</v>
          </cell>
          <cell r="D495" t="str">
            <v>philadelphia</v>
          </cell>
          <cell r="E495" t="str">
            <v>CRS</v>
          </cell>
          <cell r="F495">
            <v>13733</v>
          </cell>
          <cell r="G495">
            <v>43641</v>
          </cell>
          <cell r="H495">
            <v>45833</v>
          </cell>
          <cell r="I495" t="str">
            <v>Active</v>
          </cell>
          <cell r="J495" t="str">
            <v>Philadelphia</v>
          </cell>
          <cell r="K495" t="str">
            <v>Jun</v>
          </cell>
        </row>
        <row r="496">
          <cell r="B496">
            <v>1725</v>
          </cell>
          <cell r="C496" t="str">
            <v>Shannon Kilner</v>
          </cell>
          <cell r="D496" t="str">
            <v>philadelphia</v>
          </cell>
          <cell r="E496" t="str">
            <v>CFRS</v>
          </cell>
          <cell r="F496">
            <v>12881</v>
          </cell>
          <cell r="G496">
            <v>43518</v>
          </cell>
          <cell r="H496">
            <v>44979</v>
          </cell>
          <cell r="I496" t="str">
            <v>Expired</v>
          </cell>
          <cell r="J496" t="str">
            <v>Philadelphia</v>
          </cell>
          <cell r="K496" t="str">
            <v>Feb</v>
          </cell>
        </row>
        <row r="497">
          <cell r="B497">
            <v>1730</v>
          </cell>
          <cell r="C497" t="str">
            <v>Sharon Webster</v>
          </cell>
          <cell r="D497" t="str">
            <v>philadelphia</v>
          </cell>
          <cell r="E497" t="str">
            <v>CRS</v>
          </cell>
          <cell r="F497">
            <v>8400</v>
          </cell>
          <cell r="G497">
            <v>41393</v>
          </cell>
          <cell r="H497">
            <v>42123</v>
          </cell>
          <cell r="I497" t="str">
            <v>Expired</v>
          </cell>
          <cell r="J497" t="str">
            <v>Philadelphia</v>
          </cell>
          <cell r="K497" t="str">
            <v>Apr</v>
          </cell>
        </row>
        <row r="498">
          <cell r="B498">
            <v>1732</v>
          </cell>
          <cell r="C498" t="str">
            <v>Sharonda Eldridge</v>
          </cell>
          <cell r="D498" t="str">
            <v>philadelphia</v>
          </cell>
          <cell r="E498" t="str">
            <v>CRS</v>
          </cell>
          <cell r="F498">
            <v>10001</v>
          </cell>
          <cell r="G498">
            <v>42753</v>
          </cell>
          <cell r="H498">
            <v>43483</v>
          </cell>
          <cell r="I498" t="str">
            <v>Expired</v>
          </cell>
          <cell r="J498" t="str">
            <v>Philadelphia</v>
          </cell>
          <cell r="K498" t="str">
            <v>Jan</v>
          </cell>
        </row>
        <row r="499">
          <cell r="B499">
            <v>1738</v>
          </cell>
          <cell r="C499" t="str">
            <v>Shawn Stankiewicz</v>
          </cell>
          <cell r="D499" t="str">
            <v>philadelphia</v>
          </cell>
          <cell r="E499" t="str">
            <v>CRS</v>
          </cell>
          <cell r="F499">
            <v>21062</v>
          </cell>
          <cell r="G499">
            <v>45595</v>
          </cell>
          <cell r="H499">
            <v>46325</v>
          </cell>
          <cell r="I499" t="str">
            <v>Active</v>
          </cell>
          <cell r="J499" t="str">
            <v>Philadelphia</v>
          </cell>
          <cell r="K499" t="str">
            <v>Oct</v>
          </cell>
        </row>
        <row r="500">
          <cell r="B500">
            <v>1740</v>
          </cell>
          <cell r="C500" t="str">
            <v>Shayla Henderson</v>
          </cell>
          <cell r="D500" t="str">
            <v>philadelphia</v>
          </cell>
          <cell r="E500" t="str">
            <v>CRS</v>
          </cell>
          <cell r="F500">
            <v>20507</v>
          </cell>
          <cell r="G500">
            <v>45469</v>
          </cell>
          <cell r="H500">
            <v>46199</v>
          </cell>
          <cell r="I500" t="str">
            <v>Active</v>
          </cell>
          <cell r="J500" t="str">
            <v>Philadelphia</v>
          </cell>
          <cell r="K500" t="str">
            <v>Jun</v>
          </cell>
        </row>
        <row r="501">
          <cell r="B501">
            <v>1744</v>
          </cell>
          <cell r="C501" t="str">
            <v>Shelly Bell</v>
          </cell>
          <cell r="D501" t="str">
            <v>philadelphia</v>
          </cell>
          <cell r="E501" t="str">
            <v>CRS</v>
          </cell>
          <cell r="F501">
            <v>14232</v>
          </cell>
          <cell r="G501">
            <v>43770</v>
          </cell>
          <cell r="H501">
            <v>44501</v>
          </cell>
          <cell r="I501" t="str">
            <v>Expired</v>
          </cell>
          <cell r="J501" t="str">
            <v>Philadelphia</v>
          </cell>
          <cell r="K501" t="str">
            <v>Nov</v>
          </cell>
        </row>
        <row r="502">
          <cell r="B502">
            <v>1748</v>
          </cell>
          <cell r="C502" t="str">
            <v>Sherita Mouzon</v>
          </cell>
          <cell r="D502" t="str">
            <v>philadelphia</v>
          </cell>
          <cell r="E502" t="str">
            <v>CRS</v>
          </cell>
          <cell r="F502">
            <v>9342</v>
          </cell>
          <cell r="G502">
            <v>42257</v>
          </cell>
          <cell r="H502">
            <v>42988</v>
          </cell>
          <cell r="I502" t="str">
            <v>Expired</v>
          </cell>
          <cell r="J502" t="str">
            <v>Philadelphia</v>
          </cell>
          <cell r="K502" t="str">
            <v>Sep</v>
          </cell>
        </row>
        <row r="503">
          <cell r="B503">
            <v>1749</v>
          </cell>
          <cell r="C503" t="str">
            <v>Sherman Griffin</v>
          </cell>
          <cell r="D503" t="str">
            <v>philadelphia</v>
          </cell>
          <cell r="E503" t="str">
            <v>CRS</v>
          </cell>
          <cell r="F503">
            <v>17001</v>
          </cell>
          <cell r="G503">
            <v>45707</v>
          </cell>
          <cell r="H503">
            <v>46437</v>
          </cell>
          <cell r="I503" t="str">
            <v>Active</v>
          </cell>
          <cell r="J503" t="str">
            <v>Philadelphia</v>
          </cell>
          <cell r="K503" t="str">
            <v>Feb</v>
          </cell>
        </row>
        <row r="504">
          <cell r="B504">
            <v>1750</v>
          </cell>
          <cell r="C504" t="str">
            <v>Sherman Griffin</v>
          </cell>
          <cell r="D504" t="str">
            <v>philadelphia</v>
          </cell>
          <cell r="E504" t="str">
            <v>CFRS</v>
          </cell>
          <cell r="F504">
            <v>17001</v>
          </cell>
          <cell r="G504">
            <v>45652</v>
          </cell>
          <cell r="H504">
            <v>46382</v>
          </cell>
          <cell r="I504" t="str">
            <v>Active</v>
          </cell>
          <cell r="J504" t="str">
            <v>Philadelphia</v>
          </cell>
          <cell r="K504" t="str">
            <v>Dec</v>
          </cell>
        </row>
        <row r="505">
          <cell r="B505">
            <v>1752</v>
          </cell>
          <cell r="C505" t="str">
            <v>Sherry McKennie</v>
          </cell>
          <cell r="D505" t="str">
            <v>philadelphia</v>
          </cell>
          <cell r="E505" t="str">
            <v>CRS</v>
          </cell>
          <cell r="F505">
            <v>15519</v>
          </cell>
          <cell r="G505">
            <v>44096</v>
          </cell>
          <cell r="H505">
            <v>44826</v>
          </cell>
          <cell r="I505" t="str">
            <v>Expired</v>
          </cell>
          <cell r="J505" t="str">
            <v>Philadelphia</v>
          </cell>
          <cell r="K505" t="str">
            <v>Sep</v>
          </cell>
        </row>
        <row r="506">
          <cell r="B506">
            <v>1754</v>
          </cell>
          <cell r="C506" t="str">
            <v>Shonda Palmer</v>
          </cell>
          <cell r="D506" t="str">
            <v>philadelphia</v>
          </cell>
          <cell r="E506" t="str">
            <v>CRS</v>
          </cell>
          <cell r="F506">
            <v>19870</v>
          </cell>
          <cell r="G506">
            <v>45336</v>
          </cell>
          <cell r="H506">
            <v>46067</v>
          </cell>
          <cell r="I506" t="str">
            <v>Active</v>
          </cell>
          <cell r="J506" t="str">
            <v>Philadelphia</v>
          </cell>
          <cell r="K506" t="str">
            <v>Feb</v>
          </cell>
        </row>
        <row r="507">
          <cell r="B507">
            <v>1755</v>
          </cell>
          <cell r="C507" t="str">
            <v>Shymeka Wright</v>
          </cell>
          <cell r="D507" t="str">
            <v>philadelphia</v>
          </cell>
          <cell r="E507" t="str">
            <v>CRS</v>
          </cell>
          <cell r="F507">
            <v>10015</v>
          </cell>
          <cell r="G507">
            <v>42753</v>
          </cell>
          <cell r="H507">
            <v>43483</v>
          </cell>
          <cell r="I507" t="str">
            <v>Expired</v>
          </cell>
          <cell r="J507" t="str">
            <v>Philadelphia</v>
          </cell>
          <cell r="K507" t="str">
            <v>Jan</v>
          </cell>
        </row>
        <row r="508">
          <cell r="B508">
            <v>1756</v>
          </cell>
          <cell r="C508" t="str">
            <v>Siddeequah Felder</v>
          </cell>
          <cell r="D508" t="str">
            <v>philadelphia</v>
          </cell>
          <cell r="E508" t="str">
            <v>CRS</v>
          </cell>
          <cell r="F508">
            <v>21738</v>
          </cell>
          <cell r="G508">
            <v>45733</v>
          </cell>
          <cell r="H508">
            <v>46463</v>
          </cell>
          <cell r="I508" t="str">
            <v>Active</v>
          </cell>
          <cell r="J508" t="str">
            <v>Philadelphia</v>
          </cell>
          <cell r="K508" t="str">
            <v>Mar</v>
          </cell>
        </row>
        <row r="509">
          <cell r="B509">
            <v>1757</v>
          </cell>
          <cell r="C509" t="str">
            <v>Siddeequah Felder</v>
          </cell>
          <cell r="D509" t="str">
            <v>philadelphia</v>
          </cell>
          <cell r="E509" t="str">
            <v>CFRS</v>
          </cell>
          <cell r="F509">
            <v>21721</v>
          </cell>
          <cell r="G509">
            <v>45728</v>
          </cell>
          <cell r="H509">
            <v>46458</v>
          </cell>
          <cell r="I509" t="str">
            <v>Active</v>
          </cell>
          <cell r="J509" t="str">
            <v>Philadelphia</v>
          </cell>
          <cell r="K509" t="str">
            <v>Mar</v>
          </cell>
        </row>
        <row r="510">
          <cell r="B510">
            <v>1758</v>
          </cell>
          <cell r="C510" t="str">
            <v>Sonia Thompson</v>
          </cell>
          <cell r="D510" t="str">
            <v>philadelphia</v>
          </cell>
          <cell r="E510" t="str">
            <v>CRS</v>
          </cell>
          <cell r="F510">
            <v>8568</v>
          </cell>
          <cell r="G510">
            <v>41485</v>
          </cell>
          <cell r="H510">
            <v>46598</v>
          </cell>
          <cell r="I510" t="str">
            <v>Active</v>
          </cell>
          <cell r="J510" t="str">
            <v>Philadelphia</v>
          </cell>
          <cell r="K510" t="str">
            <v>Jul</v>
          </cell>
        </row>
        <row r="511">
          <cell r="B511">
            <v>1765</v>
          </cell>
          <cell r="C511" t="str">
            <v>Stacey Huber</v>
          </cell>
          <cell r="D511" t="str">
            <v>philadelphia</v>
          </cell>
          <cell r="E511" t="str">
            <v>CRS</v>
          </cell>
          <cell r="F511">
            <v>10222</v>
          </cell>
          <cell r="G511">
            <v>42903</v>
          </cell>
          <cell r="H511">
            <v>43633</v>
          </cell>
          <cell r="I511" t="str">
            <v>Expired</v>
          </cell>
          <cell r="J511" t="str">
            <v>Philadelphia</v>
          </cell>
          <cell r="K511" t="str">
            <v>Jun</v>
          </cell>
        </row>
        <row r="512">
          <cell r="B512">
            <v>1769</v>
          </cell>
          <cell r="C512" t="str">
            <v>Stasia Webster</v>
          </cell>
          <cell r="D512" t="str">
            <v>philadelphia</v>
          </cell>
          <cell r="E512" t="str">
            <v>CRS</v>
          </cell>
          <cell r="F512">
            <v>8456</v>
          </cell>
          <cell r="G512">
            <v>41412</v>
          </cell>
          <cell r="H512">
            <v>42142</v>
          </cell>
          <cell r="I512" t="str">
            <v>Expired</v>
          </cell>
          <cell r="J512" t="str">
            <v>Philadelphia</v>
          </cell>
          <cell r="K512" t="str">
            <v>May</v>
          </cell>
        </row>
        <row r="513">
          <cell r="B513">
            <v>1770</v>
          </cell>
          <cell r="C513" t="str">
            <v>Stefanie Lee</v>
          </cell>
          <cell r="D513" t="str">
            <v>philadelphia</v>
          </cell>
          <cell r="E513" t="str">
            <v>CFRS</v>
          </cell>
          <cell r="F513">
            <v>16851</v>
          </cell>
          <cell r="G513">
            <v>44462</v>
          </cell>
          <cell r="H513">
            <v>45192</v>
          </cell>
          <cell r="I513" t="str">
            <v>Expired</v>
          </cell>
          <cell r="J513" t="str">
            <v>Philadelphia</v>
          </cell>
          <cell r="K513" t="str">
            <v>Sep</v>
          </cell>
        </row>
        <row r="514">
          <cell r="B514">
            <v>1772</v>
          </cell>
          <cell r="C514" t="str">
            <v>Stephanie  Butler</v>
          </cell>
          <cell r="D514" t="str">
            <v>philadelphia</v>
          </cell>
          <cell r="E514" t="str">
            <v>CRS</v>
          </cell>
          <cell r="F514">
            <v>19764</v>
          </cell>
          <cell r="G514">
            <v>45315</v>
          </cell>
          <cell r="H514">
            <v>46046</v>
          </cell>
          <cell r="I514" t="str">
            <v>Active</v>
          </cell>
          <cell r="J514" t="str">
            <v>Philadelphia</v>
          </cell>
          <cell r="K514" t="str">
            <v>Jan</v>
          </cell>
        </row>
        <row r="515">
          <cell r="B515">
            <v>1773</v>
          </cell>
          <cell r="C515" t="str">
            <v>Stephanie  Butler</v>
          </cell>
          <cell r="D515" t="str">
            <v>philadelphia</v>
          </cell>
          <cell r="E515" t="str">
            <v>CFRS</v>
          </cell>
          <cell r="F515">
            <v>19764</v>
          </cell>
          <cell r="G515">
            <v>45328</v>
          </cell>
          <cell r="H515">
            <v>46059</v>
          </cell>
          <cell r="I515" t="str">
            <v>Active</v>
          </cell>
          <cell r="J515" t="str">
            <v>Philadelphia</v>
          </cell>
          <cell r="K515" t="str">
            <v>Feb</v>
          </cell>
        </row>
        <row r="516">
          <cell r="B516">
            <v>1779</v>
          </cell>
          <cell r="C516" t="str">
            <v>Stephanie Fillius</v>
          </cell>
          <cell r="D516" t="str">
            <v>philadelphia</v>
          </cell>
          <cell r="E516" t="str">
            <v>CRS</v>
          </cell>
          <cell r="F516">
            <v>14803</v>
          </cell>
          <cell r="G516">
            <v>43787</v>
          </cell>
          <cell r="H516">
            <v>44518</v>
          </cell>
          <cell r="I516" t="str">
            <v>Expired</v>
          </cell>
          <cell r="J516" t="str">
            <v>Philadelphia</v>
          </cell>
          <cell r="K516" t="str">
            <v>Nov</v>
          </cell>
        </row>
        <row r="517">
          <cell r="B517">
            <v>1780</v>
          </cell>
          <cell r="C517" t="str">
            <v>Stephanie Presbery</v>
          </cell>
          <cell r="D517" t="str">
            <v>philadelphia</v>
          </cell>
          <cell r="E517" t="str">
            <v>CRS</v>
          </cell>
          <cell r="F517">
            <v>3768</v>
          </cell>
          <cell r="G517">
            <v>42887</v>
          </cell>
          <cell r="H517">
            <v>43617</v>
          </cell>
          <cell r="I517" t="str">
            <v>Expired</v>
          </cell>
          <cell r="J517" t="str">
            <v>Philadelphia</v>
          </cell>
          <cell r="K517" t="str">
            <v>Jun</v>
          </cell>
        </row>
        <row r="518">
          <cell r="B518">
            <v>1785</v>
          </cell>
          <cell r="C518" t="str">
            <v>Stephen Colbert II</v>
          </cell>
          <cell r="D518" t="str">
            <v>philadelphia</v>
          </cell>
          <cell r="E518" t="str">
            <v>CRS</v>
          </cell>
          <cell r="F518">
            <v>18205</v>
          </cell>
          <cell r="G518">
            <v>44934</v>
          </cell>
          <cell r="H518">
            <v>46395</v>
          </cell>
          <cell r="I518" t="str">
            <v>Active</v>
          </cell>
          <cell r="J518" t="str">
            <v>Philadelphia</v>
          </cell>
          <cell r="K518" t="str">
            <v>Jan</v>
          </cell>
        </row>
        <row r="519">
          <cell r="B519">
            <v>1787</v>
          </cell>
          <cell r="C519" t="str">
            <v>Stephen Jackson</v>
          </cell>
          <cell r="D519" t="str">
            <v>philadelphia</v>
          </cell>
          <cell r="E519" t="str">
            <v>CRS</v>
          </cell>
          <cell r="F519">
            <v>15690</v>
          </cell>
          <cell r="G519">
            <v>44343</v>
          </cell>
          <cell r="H519">
            <v>46363</v>
          </cell>
          <cell r="I519" t="str">
            <v>Active</v>
          </cell>
          <cell r="J519" t="str">
            <v>Philadelphia</v>
          </cell>
          <cell r="K519" t="str">
            <v>May</v>
          </cell>
        </row>
        <row r="520">
          <cell r="B520">
            <v>1789</v>
          </cell>
          <cell r="C520" t="str">
            <v>Stephen Loffreda</v>
          </cell>
          <cell r="D520" t="str">
            <v>philadelphia</v>
          </cell>
          <cell r="E520" t="str">
            <v>CRS</v>
          </cell>
          <cell r="F520">
            <v>8688</v>
          </cell>
          <cell r="G520">
            <v>41603</v>
          </cell>
          <cell r="H520">
            <v>42333</v>
          </cell>
          <cell r="I520" t="str">
            <v>Expired</v>
          </cell>
          <cell r="J520" t="str">
            <v>Philadelphia</v>
          </cell>
          <cell r="K520" t="str">
            <v>Nov</v>
          </cell>
        </row>
        <row r="521">
          <cell r="B521">
            <v>1790</v>
          </cell>
          <cell r="C521" t="str">
            <v>Stephen McGill</v>
          </cell>
          <cell r="D521" t="str">
            <v>philadelphia</v>
          </cell>
          <cell r="E521" t="str">
            <v>CRS</v>
          </cell>
          <cell r="F521">
            <v>8973</v>
          </cell>
          <cell r="G521">
            <v>41849</v>
          </cell>
          <cell r="H521">
            <v>44041</v>
          </cell>
          <cell r="I521" t="str">
            <v>Expired</v>
          </cell>
          <cell r="J521" t="str">
            <v>Philadelphia</v>
          </cell>
          <cell r="K521" t="str">
            <v>Jul</v>
          </cell>
        </row>
        <row r="522">
          <cell r="B522">
            <v>1794</v>
          </cell>
          <cell r="C522" t="str">
            <v>Stephen Smith</v>
          </cell>
          <cell r="D522" t="str">
            <v>philadelphia</v>
          </cell>
          <cell r="E522" t="str">
            <v>CRS</v>
          </cell>
          <cell r="F522">
            <v>11351</v>
          </cell>
          <cell r="G522">
            <v>43227</v>
          </cell>
          <cell r="H522">
            <v>46149</v>
          </cell>
          <cell r="I522" t="str">
            <v>Active</v>
          </cell>
          <cell r="J522" t="str">
            <v>Philadelphia</v>
          </cell>
          <cell r="K522" t="str">
            <v>May</v>
          </cell>
        </row>
        <row r="523">
          <cell r="B523">
            <v>1795</v>
          </cell>
          <cell r="C523" t="str">
            <v>Stephen Smith</v>
          </cell>
          <cell r="D523" t="str">
            <v>philadelphia</v>
          </cell>
          <cell r="E523" t="str">
            <v>CFRS</v>
          </cell>
          <cell r="F523">
            <v>11351</v>
          </cell>
          <cell r="G523">
            <v>43578</v>
          </cell>
          <cell r="H523">
            <v>46149</v>
          </cell>
          <cell r="I523" t="str">
            <v>Active</v>
          </cell>
          <cell r="J523" t="str">
            <v>Philadelphia</v>
          </cell>
          <cell r="K523" t="str">
            <v>Apr</v>
          </cell>
        </row>
        <row r="524">
          <cell r="B524">
            <v>1802</v>
          </cell>
          <cell r="C524" t="str">
            <v>Susan  Conti-Corrigan</v>
          </cell>
          <cell r="D524" t="str">
            <v>philadelphia</v>
          </cell>
          <cell r="E524" t="str">
            <v>CRS</v>
          </cell>
          <cell r="F524">
            <v>11838</v>
          </cell>
          <cell r="G524">
            <v>43670</v>
          </cell>
          <cell r="H524">
            <v>44745</v>
          </cell>
          <cell r="I524" t="str">
            <v>Expired</v>
          </cell>
          <cell r="J524" t="str">
            <v>Philadelphia</v>
          </cell>
          <cell r="K524" t="str">
            <v>Jul</v>
          </cell>
        </row>
        <row r="525">
          <cell r="B525">
            <v>1803</v>
          </cell>
          <cell r="C525" t="str">
            <v>Susan Arnold</v>
          </cell>
          <cell r="D525" t="str">
            <v>philadelphia</v>
          </cell>
          <cell r="E525" t="str">
            <v>CRS</v>
          </cell>
          <cell r="F525">
            <v>14799</v>
          </cell>
          <cell r="G525">
            <v>43787</v>
          </cell>
          <cell r="H525">
            <v>45979</v>
          </cell>
          <cell r="I525" t="str">
            <v>Active</v>
          </cell>
          <cell r="J525" t="str">
            <v>Philadelphia</v>
          </cell>
          <cell r="K525" t="str">
            <v>Nov</v>
          </cell>
        </row>
        <row r="526">
          <cell r="B526">
            <v>1806</v>
          </cell>
          <cell r="C526" t="str">
            <v>Susan Hamlin-Smith</v>
          </cell>
          <cell r="D526" t="str">
            <v>philadelphia</v>
          </cell>
          <cell r="E526" t="str">
            <v>CRS</v>
          </cell>
          <cell r="F526">
            <v>10375</v>
          </cell>
          <cell r="G526">
            <v>42986</v>
          </cell>
          <cell r="H526">
            <v>45177</v>
          </cell>
          <cell r="I526" t="str">
            <v>Expired</v>
          </cell>
          <cell r="J526" t="str">
            <v>Philadelphia</v>
          </cell>
          <cell r="K526" t="str">
            <v>Sep</v>
          </cell>
        </row>
        <row r="527">
          <cell r="B527">
            <v>1813</v>
          </cell>
          <cell r="C527" t="str">
            <v>Suzanne  Givens</v>
          </cell>
          <cell r="D527" t="str">
            <v>philadelphia</v>
          </cell>
          <cell r="E527" t="str">
            <v>CRS</v>
          </cell>
          <cell r="F527">
            <v>17198</v>
          </cell>
          <cell r="G527">
            <v>44609</v>
          </cell>
          <cell r="H527">
            <v>46070</v>
          </cell>
          <cell r="I527" t="str">
            <v>Active</v>
          </cell>
          <cell r="J527" t="str">
            <v>Philadelphia</v>
          </cell>
          <cell r="K527" t="str">
            <v>Feb</v>
          </cell>
        </row>
        <row r="528">
          <cell r="B528">
            <v>1816</v>
          </cell>
          <cell r="C528" t="str">
            <v>Sybil Hillian</v>
          </cell>
          <cell r="D528" t="str">
            <v>philadelphia</v>
          </cell>
          <cell r="E528" t="str">
            <v>CRS</v>
          </cell>
          <cell r="F528">
            <v>17064</v>
          </cell>
          <cell r="G528">
            <v>44550</v>
          </cell>
          <cell r="H528">
            <v>45280</v>
          </cell>
          <cell r="I528" t="str">
            <v>Expired</v>
          </cell>
          <cell r="J528" t="str">
            <v>Philadelphia</v>
          </cell>
          <cell r="K528" t="str">
            <v>Dec</v>
          </cell>
        </row>
        <row r="529">
          <cell r="B529">
            <v>1817</v>
          </cell>
          <cell r="C529" t="str">
            <v>Taisha Polston</v>
          </cell>
          <cell r="D529" t="str">
            <v>philadelphia</v>
          </cell>
          <cell r="E529" t="str">
            <v>CRS</v>
          </cell>
          <cell r="F529">
            <v>14420</v>
          </cell>
          <cell r="G529">
            <v>43697</v>
          </cell>
          <cell r="H529">
            <v>44428</v>
          </cell>
          <cell r="I529" t="str">
            <v>Expired</v>
          </cell>
          <cell r="J529" t="str">
            <v>Philadelphia</v>
          </cell>
          <cell r="K529" t="str">
            <v>Aug</v>
          </cell>
        </row>
        <row r="530">
          <cell r="B530">
            <v>1819</v>
          </cell>
          <cell r="C530" t="str">
            <v>Tamara Brown</v>
          </cell>
          <cell r="D530" t="str">
            <v>philadelphia</v>
          </cell>
          <cell r="E530" t="str">
            <v>CRS</v>
          </cell>
          <cell r="F530">
            <v>8551</v>
          </cell>
          <cell r="G530">
            <v>41485</v>
          </cell>
          <cell r="H530">
            <v>42215</v>
          </cell>
          <cell r="I530" t="str">
            <v>Expired</v>
          </cell>
          <cell r="J530" t="str">
            <v>Philadelphia</v>
          </cell>
          <cell r="K530" t="str">
            <v>Jul</v>
          </cell>
        </row>
        <row r="531">
          <cell r="B531">
            <v>1821</v>
          </cell>
          <cell r="C531" t="str">
            <v>Tammie Matthews</v>
          </cell>
          <cell r="D531" t="str">
            <v>philadelphia</v>
          </cell>
          <cell r="E531" t="str">
            <v>CRS</v>
          </cell>
          <cell r="F531">
            <v>14016</v>
          </cell>
          <cell r="G531">
            <v>43670</v>
          </cell>
          <cell r="H531">
            <v>44401</v>
          </cell>
          <cell r="I531" t="str">
            <v>Expired</v>
          </cell>
          <cell r="J531" t="str">
            <v>Philadelphia</v>
          </cell>
          <cell r="K531" t="str">
            <v>Jul</v>
          </cell>
        </row>
        <row r="532">
          <cell r="B532">
            <v>1823</v>
          </cell>
          <cell r="C532" t="str">
            <v>Tanisha Palmer</v>
          </cell>
          <cell r="D532" t="str">
            <v>philadelphia</v>
          </cell>
          <cell r="E532" t="str">
            <v>CRS</v>
          </cell>
          <cell r="F532">
            <v>16229</v>
          </cell>
          <cell r="G532">
            <v>44372</v>
          </cell>
          <cell r="H532">
            <v>46563</v>
          </cell>
          <cell r="I532" t="str">
            <v>Active</v>
          </cell>
          <cell r="J532" t="str">
            <v>Philadelphia</v>
          </cell>
          <cell r="K532" t="str">
            <v>Jun</v>
          </cell>
        </row>
        <row r="533">
          <cell r="B533">
            <v>1824</v>
          </cell>
          <cell r="C533" t="str">
            <v>Tanisha Palmer</v>
          </cell>
          <cell r="D533" t="str">
            <v>philadelphia</v>
          </cell>
          <cell r="E533" t="str">
            <v>CFRS</v>
          </cell>
          <cell r="F533">
            <v>16229</v>
          </cell>
          <cell r="G533">
            <v>44326</v>
          </cell>
          <cell r="H533">
            <v>46517</v>
          </cell>
          <cell r="I533" t="str">
            <v>Active</v>
          </cell>
          <cell r="J533" t="str">
            <v>Philadelphia</v>
          </cell>
          <cell r="K533" t="str">
            <v>May</v>
          </cell>
        </row>
        <row r="534">
          <cell r="B534">
            <v>1827</v>
          </cell>
          <cell r="C534" t="str">
            <v>Tanya Leake</v>
          </cell>
          <cell r="D534" t="str">
            <v>philadelphia</v>
          </cell>
          <cell r="E534" t="str">
            <v>CRS</v>
          </cell>
          <cell r="F534">
            <v>10933</v>
          </cell>
          <cell r="G534">
            <v>43697</v>
          </cell>
          <cell r="H534">
            <v>44428</v>
          </cell>
          <cell r="I534" t="str">
            <v>Expired</v>
          </cell>
          <cell r="J534" t="str">
            <v>Philadelphia</v>
          </cell>
          <cell r="K534" t="str">
            <v>Aug</v>
          </cell>
        </row>
        <row r="535">
          <cell r="B535">
            <v>1831</v>
          </cell>
          <cell r="C535" t="str">
            <v>Tara Harshaw</v>
          </cell>
          <cell r="D535" t="str">
            <v>philadelphia</v>
          </cell>
          <cell r="E535" t="str">
            <v>CRS</v>
          </cell>
          <cell r="F535">
            <v>22095</v>
          </cell>
          <cell r="G535">
            <v>45812</v>
          </cell>
          <cell r="H535">
            <v>46542</v>
          </cell>
          <cell r="I535" t="str">
            <v>Active</v>
          </cell>
          <cell r="J535" t="str">
            <v>Philadelphia</v>
          </cell>
          <cell r="K535" t="str">
            <v>Jun</v>
          </cell>
        </row>
        <row r="536">
          <cell r="B536">
            <v>1834</v>
          </cell>
          <cell r="C536" t="str">
            <v>Taylor Burnhauser</v>
          </cell>
          <cell r="D536" t="str">
            <v>philadelphia</v>
          </cell>
          <cell r="E536" t="str">
            <v>CRS</v>
          </cell>
          <cell r="F536">
            <v>17153</v>
          </cell>
          <cell r="G536">
            <v>44599</v>
          </cell>
          <cell r="H536">
            <v>45329</v>
          </cell>
          <cell r="I536" t="str">
            <v>Expired</v>
          </cell>
          <cell r="J536" t="str">
            <v>Philadelphia</v>
          </cell>
          <cell r="K536" t="str">
            <v>Feb</v>
          </cell>
        </row>
        <row r="537">
          <cell r="B537">
            <v>1836</v>
          </cell>
          <cell r="C537" t="str">
            <v>Taymiyyah Saboor</v>
          </cell>
          <cell r="D537" t="str">
            <v>philadelphia</v>
          </cell>
          <cell r="E537" t="str">
            <v>CRS</v>
          </cell>
          <cell r="F537">
            <v>22104</v>
          </cell>
          <cell r="G537">
            <v>45812</v>
          </cell>
          <cell r="H537">
            <v>46542</v>
          </cell>
          <cell r="I537" t="str">
            <v>Active</v>
          </cell>
          <cell r="J537" t="str">
            <v>Philadelphia</v>
          </cell>
          <cell r="K537" t="str">
            <v>Jun</v>
          </cell>
        </row>
        <row r="538">
          <cell r="B538">
            <v>1837</v>
          </cell>
          <cell r="C538" t="str">
            <v>Tee DuBose</v>
          </cell>
          <cell r="D538" t="str">
            <v>philadelphia</v>
          </cell>
          <cell r="E538" t="str">
            <v>CRS</v>
          </cell>
          <cell r="F538">
            <v>19241</v>
          </cell>
          <cell r="G538">
            <v>45435</v>
          </cell>
          <cell r="H538">
            <v>46165</v>
          </cell>
          <cell r="I538" t="str">
            <v>Active</v>
          </cell>
          <cell r="J538" t="str">
            <v>Philadelphia</v>
          </cell>
          <cell r="K538" t="str">
            <v>May</v>
          </cell>
        </row>
        <row r="539">
          <cell r="B539">
            <v>1839</v>
          </cell>
          <cell r="C539" t="str">
            <v>Temple Knight</v>
          </cell>
          <cell r="D539" t="str">
            <v>philadelphia</v>
          </cell>
          <cell r="E539" t="str">
            <v>CRS</v>
          </cell>
          <cell r="F539">
            <v>13625</v>
          </cell>
          <cell r="G539">
            <v>43670</v>
          </cell>
          <cell r="H539">
            <v>44401</v>
          </cell>
          <cell r="I539" t="str">
            <v>Expired</v>
          </cell>
          <cell r="J539" t="str">
            <v>Philadelphia</v>
          </cell>
          <cell r="K539" t="str">
            <v>Jul</v>
          </cell>
        </row>
        <row r="540">
          <cell r="B540">
            <v>1840</v>
          </cell>
          <cell r="C540" t="str">
            <v>Teralynn Turner</v>
          </cell>
          <cell r="D540" t="str">
            <v>philadelphia</v>
          </cell>
          <cell r="E540" t="str">
            <v>CRS</v>
          </cell>
          <cell r="F540">
            <v>11353</v>
          </cell>
          <cell r="G540">
            <v>43227</v>
          </cell>
          <cell r="H540">
            <v>43958</v>
          </cell>
          <cell r="I540" t="str">
            <v>Expired</v>
          </cell>
          <cell r="J540" t="str">
            <v>Philadelphia</v>
          </cell>
          <cell r="K540" t="str">
            <v>May</v>
          </cell>
        </row>
        <row r="541">
          <cell r="B541">
            <v>1842</v>
          </cell>
          <cell r="C541" t="str">
            <v>Terri Sorrell</v>
          </cell>
          <cell r="D541" t="str">
            <v>philadelphia</v>
          </cell>
          <cell r="E541" t="str">
            <v>CRS</v>
          </cell>
          <cell r="F541">
            <v>11688</v>
          </cell>
          <cell r="G541">
            <v>43269</v>
          </cell>
          <cell r="H541">
            <v>46191</v>
          </cell>
          <cell r="I541" t="str">
            <v>Active</v>
          </cell>
          <cell r="J541" t="str">
            <v>Philadelphia</v>
          </cell>
          <cell r="K541" t="str">
            <v>Jun</v>
          </cell>
        </row>
        <row r="542">
          <cell r="B542">
            <v>1843</v>
          </cell>
          <cell r="C542" t="str">
            <v>Terri Sorrell</v>
          </cell>
          <cell r="D542" t="str">
            <v>philadelphia</v>
          </cell>
          <cell r="E542" t="str">
            <v>CFRS</v>
          </cell>
          <cell r="F542">
            <v>11688</v>
          </cell>
          <cell r="G542">
            <v>44285</v>
          </cell>
          <cell r="H542">
            <v>46191</v>
          </cell>
          <cell r="I542" t="str">
            <v>Active</v>
          </cell>
          <cell r="J542" t="str">
            <v>Philadelphia</v>
          </cell>
          <cell r="K542" t="str">
            <v>Mar</v>
          </cell>
        </row>
        <row r="543">
          <cell r="B543">
            <v>1848</v>
          </cell>
          <cell r="C543" t="str">
            <v>Terry Powell</v>
          </cell>
          <cell r="D543" t="str">
            <v>philadelphia</v>
          </cell>
          <cell r="E543" t="str">
            <v>CRS</v>
          </cell>
          <cell r="F543">
            <v>11891</v>
          </cell>
          <cell r="G543">
            <v>43297</v>
          </cell>
          <cell r="H543">
            <v>44028</v>
          </cell>
          <cell r="I543" t="str">
            <v>Expired</v>
          </cell>
          <cell r="J543" t="str">
            <v>Philadelphia</v>
          </cell>
          <cell r="K543" t="str">
            <v>Jul</v>
          </cell>
        </row>
        <row r="544">
          <cell r="B544">
            <v>1850</v>
          </cell>
          <cell r="C544" t="str">
            <v>Thelma Yancey</v>
          </cell>
          <cell r="D544" t="str">
            <v>philadelphia</v>
          </cell>
          <cell r="E544" t="str">
            <v>CRS</v>
          </cell>
          <cell r="F544">
            <v>8567</v>
          </cell>
          <cell r="G544">
            <v>41485</v>
          </cell>
          <cell r="H544">
            <v>42215</v>
          </cell>
          <cell r="I544" t="str">
            <v>Expired</v>
          </cell>
          <cell r="J544" t="str">
            <v>Philadelphia</v>
          </cell>
          <cell r="K544" t="str">
            <v>Jul</v>
          </cell>
        </row>
        <row r="545">
          <cell r="B545">
            <v>1851</v>
          </cell>
          <cell r="C545" t="str">
            <v>Theresa Bloom</v>
          </cell>
          <cell r="D545" t="str">
            <v>philadelphia</v>
          </cell>
          <cell r="E545" t="str">
            <v>CFRS</v>
          </cell>
          <cell r="F545">
            <v>12656</v>
          </cell>
          <cell r="G545">
            <v>43469</v>
          </cell>
          <cell r="H545">
            <v>44200</v>
          </cell>
          <cell r="I545" t="str">
            <v>Expired</v>
          </cell>
          <cell r="J545" t="str">
            <v>Philadelphia</v>
          </cell>
          <cell r="K545" t="str">
            <v>Jan</v>
          </cell>
        </row>
        <row r="546">
          <cell r="B546">
            <v>1852</v>
          </cell>
          <cell r="C546" t="str">
            <v>Theresa DePlante</v>
          </cell>
          <cell r="D546" t="str">
            <v>philadelphia</v>
          </cell>
          <cell r="E546" t="str">
            <v>CRS</v>
          </cell>
          <cell r="F546">
            <v>8942</v>
          </cell>
          <cell r="G546">
            <v>41817</v>
          </cell>
          <cell r="H546">
            <v>42548</v>
          </cell>
          <cell r="I546" t="str">
            <v>Expired</v>
          </cell>
          <cell r="J546" t="str">
            <v>Philadelphia</v>
          </cell>
          <cell r="K546" t="str">
            <v>Jun</v>
          </cell>
        </row>
        <row r="547">
          <cell r="B547">
            <v>1853</v>
          </cell>
          <cell r="C547" t="str">
            <v>Theresa Womack</v>
          </cell>
          <cell r="D547" t="str">
            <v>philadelphia</v>
          </cell>
          <cell r="E547" t="str">
            <v>CRS</v>
          </cell>
          <cell r="F547">
            <v>8402</v>
          </cell>
          <cell r="G547">
            <v>41393</v>
          </cell>
          <cell r="H547">
            <v>42123</v>
          </cell>
          <cell r="I547" t="str">
            <v>Expired</v>
          </cell>
          <cell r="J547" t="str">
            <v>Philadelphia</v>
          </cell>
          <cell r="K547" t="str">
            <v>Apr</v>
          </cell>
        </row>
        <row r="548">
          <cell r="B548">
            <v>1855</v>
          </cell>
          <cell r="C548" t="str">
            <v>Thomas Beaufort, Jr.</v>
          </cell>
          <cell r="D548" t="str">
            <v>philadelphia</v>
          </cell>
          <cell r="E548" t="str">
            <v>CRS</v>
          </cell>
          <cell r="F548">
            <v>8198</v>
          </cell>
          <cell r="G548">
            <v>41159</v>
          </cell>
          <cell r="H548">
            <v>42620</v>
          </cell>
          <cell r="I548" t="str">
            <v>Expired</v>
          </cell>
          <cell r="J548" t="str">
            <v>Philadelphia</v>
          </cell>
          <cell r="K548" t="str">
            <v>Sep</v>
          </cell>
        </row>
        <row r="549">
          <cell r="B549">
            <v>1861</v>
          </cell>
          <cell r="C549" t="str">
            <v>Thomas McKiernan</v>
          </cell>
          <cell r="D549" t="str">
            <v>philadelphia</v>
          </cell>
          <cell r="E549" t="str">
            <v>CRS</v>
          </cell>
          <cell r="F549">
            <v>8974</v>
          </cell>
          <cell r="G549">
            <v>41849</v>
          </cell>
          <cell r="H549">
            <v>42580</v>
          </cell>
          <cell r="I549" t="str">
            <v>Expired</v>
          </cell>
          <cell r="J549" t="str">
            <v>Philadelphia</v>
          </cell>
          <cell r="K549" t="str">
            <v>Jul</v>
          </cell>
        </row>
        <row r="550">
          <cell r="B550">
            <v>1863</v>
          </cell>
          <cell r="C550" t="str">
            <v>Thomas Qualters</v>
          </cell>
          <cell r="D550" t="str">
            <v>philadelphia</v>
          </cell>
          <cell r="E550" t="str">
            <v>CRS</v>
          </cell>
          <cell r="F550">
            <v>14421</v>
          </cell>
          <cell r="G550">
            <v>43697</v>
          </cell>
          <cell r="H550">
            <v>44428</v>
          </cell>
          <cell r="I550" t="str">
            <v>Expired</v>
          </cell>
          <cell r="J550" t="str">
            <v>Philadelphia</v>
          </cell>
          <cell r="K550" t="str">
            <v>Aug</v>
          </cell>
        </row>
        <row r="551">
          <cell r="B551">
            <v>1865</v>
          </cell>
          <cell r="C551" t="str">
            <v>Thomas Sheeran</v>
          </cell>
          <cell r="D551" t="str">
            <v>philadelphia</v>
          </cell>
          <cell r="E551" t="str">
            <v>CRS</v>
          </cell>
          <cell r="F551">
            <v>17670</v>
          </cell>
          <cell r="G551">
            <v>44765</v>
          </cell>
          <cell r="H551">
            <v>46226</v>
          </cell>
          <cell r="I551" t="str">
            <v>Active</v>
          </cell>
          <cell r="J551" t="str">
            <v>Philadelphia</v>
          </cell>
          <cell r="K551" t="str">
            <v>Jul</v>
          </cell>
        </row>
        <row r="552">
          <cell r="B552">
            <v>1870</v>
          </cell>
          <cell r="C552" t="str">
            <v>Tiffany David</v>
          </cell>
          <cell r="D552" t="str">
            <v>philadelphia</v>
          </cell>
          <cell r="E552" t="str">
            <v>CRS</v>
          </cell>
          <cell r="F552">
            <v>9051</v>
          </cell>
          <cell r="G552">
            <v>41936</v>
          </cell>
          <cell r="H552">
            <v>46319</v>
          </cell>
          <cell r="I552" t="str">
            <v>Active</v>
          </cell>
          <cell r="J552" t="str">
            <v>Philadelphia</v>
          </cell>
          <cell r="K552" t="str">
            <v>Oct</v>
          </cell>
        </row>
        <row r="553">
          <cell r="B553">
            <v>1878</v>
          </cell>
          <cell r="C553" t="str">
            <v>Tina Connor</v>
          </cell>
          <cell r="D553" t="str">
            <v>philadelphia</v>
          </cell>
          <cell r="E553" t="str">
            <v>CRS</v>
          </cell>
          <cell r="F553">
            <v>11166</v>
          </cell>
          <cell r="G553">
            <v>43900</v>
          </cell>
          <cell r="H553">
            <v>46137</v>
          </cell>
          <cell r="I553" t="str">
            <v>Active</v>
          </cell>
          <cell r="J553" t="str">
            <v>Philadelphia</v>
          </cell>
          <cell r="K553" t="str">
            <v>Mar</v>
          </cell>
        </row>
        <row r="554">
          <cell r="B554">
            <v>1879</v>
          </cell>
          <cell r="C554" t="str">
            <v>Tina Connor</v>
          </cell>
          <cell r="D554" t="str">
            <v>philadelphia</v>
          </cell>
          <cell r="E554" t="str">
            <v>CFRS</v>
          </cell>
          <cell r="F554">
            <v>11166</v>
          </cell>
          <cell r="G554">
            <v>44287</v>
          </cell>
          <cell r="H554">
            <v>46137</v>
          </cell>
          <cell r="I554" t="str">
            <v>Active</v>
          </cell>
          <cell r="J554" t="str">
            <v>Philadelphia</v>
          </cell>
          <cell r="K554" t="str">
            <v>Apr</v>
          </cell>
        </row>
        <row r="555">
          <cell r="B555">
            <v>1882</v>
          </cell>
          <cell r="C555" t="str">
            <v>Todd Shade</v>
          </cell>
          <cell r="D555" t="str">
            <v>philadelphia</v>
          </cell>
          <cell r="E555" t="str">
            <v>CRS</v>
          </cell>
          <cell r="F555">
            <v>8691</v>
          </cell>
          <cell r="G555">
            <v>41603</v>
          </cell>
          <cell r="H555">
            <v>42333</v>
          </cell>
          <cell r="I555" t="str">
            <v>Expired</v>
          </cell>
          <cell r="J555" t="str">
            <v>Philadelphia</v>
          </cell>
          <cell r="K555" t="str">
            <v>Nov</v>
          </cell>
        </row>
        <row r="556">
          <cell r="B556">
            <v>1884</v>
          </cell>
          <cell r="C556" t="str">
            <v>Toni Gogoj</v>
          </cell>
          <cell r="D556" t="str">
            <v>philadelphia</v>
          </cell>
          <cell r="E556" t="str">
            <v>CRS</v>
          </cell>
          <cell r="F556">
            <v>16226</v>
          </cell>
          <cell r="G556">
            <v>44509</v>
          </cell>
          <cell r="H556">
            <v>45787</v>
          </cell>
          <cell r="I556" t="str">
            <v>Lapsed</v>
          </cell>
          <cell r="J556" t="str">
            <v>Philadelphia</v>
          </cell>
          <cell r="K556" t="str">
            <v>Nov</v>
          </cell>
        </row>
        <row r="557">
          <cell r="B557">
            <v>1885</v>
          </cell>
          <cell r="C557" t="str">
            <v>Toni Gogoj</v>
          </cell>
          <cell r="D557" t="str">
            <v>philadelphia</v>
          </cell>
          <cell r="E557" t="str">
            <v>CFRS</v>
          </cell>
          <cell r="F557">
            <v>16226</v>
          </cell>
          <cell r="G557">
            <v>44326</v>
          </cell>
          <cell r="H557">
            <v>45787</v>
          </cell>
          <cell r="I557" t="str">
            <v>Lapsed</v>
          </cell>
          <cell r="J557" t="str">
            <v>Philadelphia</v>
          </cell>
          <cell r="K557" t="str">
            <v>May</v>
          </cell>
        </row>
        <row r="558">
          <cell r="B558">
            <v>1886</v>
          </cell>
          <cell r="C558" t="str">
            <v>Tonia Gaskins</v>
          </cell>
          <cell r="D558" t="str">
            <v>philadelphia</v>
          </cell>
          <cell r="E558" t="str">
            <v>CRS</v>
          </cell>
          <cell r="F558">
            <v>9169</v>
          </cell>
          <cell r="G558">
            <v>42132</v>
          </cell>
          <cell r="H558">
            <v>43593</v>
          </cell>
          <cell r="I558" t="str">
            <v>Expired</v>
          </cell>
          <cell r="J558" t="str">
            <v>Philadelphia</v>
          </cell>
          <cell r="K558" t="str">
            <v>May</v>
          </cell>
        </row>
        <row r="559">
          <cell r="B559">
            <v>1897</v>
          </cell>
          <cell r="C559" t="str">
            <v>Travis Grimes</v>
          </cell>
          <cell r="D559" t="str">
            <v>philadelphia</v>
          </cell>
          <cell r="E559" t="str">
            <v>CRS</v>
          </cell>
          <cell r="F559">
            <v>14755</v>
          </cell>
          <cell r="G559">
            <v>43770</v>
          </cell>
          <cell r="H559">
            <v>44501</v>
          </cell>
          <cell r="I559" t="str">
            <v>Expired</v>
          </cell>
          <cell r="J559" t="str">
            <v>Philadelphia</v>
          </cell>
          <cell r="K559" t="str">
            <v>Nov</v>
          </cell>
        </row>
        <row r="560">
          <cell r="B560">
            <v>1901</v>
          </cell>
          <cell r="C560" t="str">
            <v>Troy Edwards Mouzon</v>
          </cell>
          <cell r="D560" t="str">
            <v>philadelphia</v>
          </cell>
          <cell r="E560" t="str">
            <v>CRS</v>
          </cell>
          <cell r="F560">
            <v>14008</v>
          </cell>
          <cell r="G560">
            <v>43670</v>
          </cell>
          <cell r="H560">
            <v>44401</v>
          </cell>
          <cell r="I560" t="str">
            <v>Expired</v>
          </cell>
          <cell r="J560" t="str">
            <v>Philadelphia</v>
          </cell>
          <cell r="K560" t="str">
            <v>Jul</v>
          </cell>
        </row>
        <row r="561">
          <cell r="B561">
            <v>1902</v>
          </cell>
          <cell r="C561" t="str">
            <v>Tyhearia Carroll</v>
          </cell>
          <cell r="D561" t="str">
            <v>philadelphia</v>
          </cell>
          <cell r="E561" t="str">
            <v>CRS</v>
          </cell>
          <cell r="F561">
            <v>11340</v>
          </cell>
          <cell r="G561">
            <v>43227</v>
          </cell>
          <cell r="H561">
            <v>46149</v>
          </cell>
          <cell r="I561" t="str">
            <v>Active</v>
          </cell>
          <cell r="J561" t="str">
            <v>Philadelphia</v>
          </cell>
          <cell r="K561" t="str">
            <v>May</v>
          </cell>
        </row>
        <row r="562">
          <cell r="B562">
            <v>1905</v>
          </cell>
          <cell r="C562" t="str">
            <v>Tyrone Peake</v>
          </cell>
          <cell r="D562" t="str">
            <v>philadelphia</v>
          </cell>
          <cell r="E562" t="str">
            <v>CRS</v>
          </cell>
          <cell r="F562">
            <v>8562</v>
          </cell>
          <cell r="G562">
            <v>41485</v>
          </cell>
          <cell r="H562">
            <v>43676</v>
          </cell>
          <cell r="I562" t="str">
            <v>Expired</v>
          </cell>
          <cell r="J562" t="str">
            <v>Philadelphia</v>
          </cell>
          <cell r="K562" t="str">
            <v>Jul</v>
          </cell>
        </row>
        <row r="563">
          <cell r="B563">
            <v>1906</v>
          </cell>
          <cell r="C563" t="str">
            <v>Tyrone Sherard</v>
          </cell>
          <cell r="D563" t="str">
            <v>philadelphia</v>
          </cell>
          <cell r="E563" t="str">
            <v>CRS</v>
          </cell>
          <cell r="F563">
            <v>11713</v>
          </cell>
          <cell r="G563">
            <v>43272</v>
          </cell>
          <cell r="H563">
            <v>45464</v>
          </cell>
          <cell r="I563" t="str">
            <v>Lapsed</v>
          </cell>
          <cell r="J563" t="str">
            <v>Philadelphia</v>
          </cell>
          <cell r="K563" t="str">
            <v>Jun</v>
          </cell>
        </row>
        <row r="564">
          <cell r="B564">
            <v>1909</v>
          </cell>
          <cell r="C564" t="str">
            <v>Valerie Todd-Listman</v>
          </cell>
          <cell r="D564" t="str">
            <v>philadelphia</v>
          </cell>
          <cell r="E564" t="str">
            <v>CRS</v>
          </cell>
          <cell r="F564">
            <v>8781</v>
          </cell>
          <cell r="G564">
            <v>41710</v>
          </cell>
          <cell r="H564">
            <v>42441</v>
          </cell>
          <cell r="I564" t="str">
            <v>Expired</v>
          </cell>
          <cell r="J564" t="str">
            <v>Philadelphia</v>
          </cell>
          <cell r="K564" t="str">
            <v>Mar</v>
          </cell>
        </row>
        <row r="565">
          <cell r="B565">
            <v>1911</v>
          </cell>
          <cell r="C565" t="str">
            <v>Vanessa Fuller</v>
          </cell>
          <cell r="D565" t="str">
            <v>philadelphia</v>
          </cell>
          <cell r="E565" t="str">
            <v>CRS</v>
          </cell>
          <cell r="F565">
            <v>16223</v>
          </cell>
          <cell r="G565">
            <v>44323</v>
          </cell>
          <cell r="H565">
            <v>45053</v>
          </cell>
          <cell r="I565" t="str">
            <v>Expired</v>
          </cell>
          <cell r="J565" t="str">
            <v>Philadelphia</v>
          </cell>
          <cell r="K565" t="str">
            <v>May</v>
          </cell>
        </row>
        <row r="566">
          <cell r="B566">
            <v>1912</v>
          </cell>
          <cell r="C566" t="str">
            <v>Vera Willis</v>
          </cell>
          <cell r="D566" t="str">
            <v>philadelphia</v>
          </cell>
          <cell r="E566" t="str">
            <v>CRS</v>
          </cell>
          <cell r="F566">
            <v>11355</v>
          </cell>
          <cell r="G566">
            <v>43227</v>
          </cell>
          <cell r="H566">
            <v>43958</v>
          </cell>
          <cell r="I566" t="str">
            <v>Expired</v>
          </cell>
          <cell r="J566" t="str">
            <v>Philadelphia</v>
          </cell>
          <cell r="K566" t="str">
            <v>May</v>
          </cell>
        </row>
        <row r="567">
          <cell r="B567">
            <v>1913</v>
          </cell>
          <cell r="C567" t="str">
            <v>Vern Moore</v>
          </cell>
          <cell r="D567" t="str">
            <v>philadelphia</v>
          </cell>
          <cell r="E567" t="str">
            <v>CRS</v>
          </cell>
          <cell r="F567">
            <v>8515</v>
          </cell>
          <cell r="G567">
            <v>41464</v>
          </cell>
          <cell r="H567">
            <v>42194</v>
          </cell>
          <cell r="I567" t="str">
            <v>Expired</v>
          </cell>
          <cell r="J567" t="str">
            <v>Philadelphia</v>
          </cell>
          <cell r="K567" t="str">
            <v>Jul</v>
          </cell>
        </row>
        <row r="568">
          <cell r="B568">
            <v>1914</v>
          </cell>
          <cell r="C568" t="str">
            <v>Vernell Jones</v>
          </cell>
          <cell r="D568" t="str">
            <v>philadelphia</v>
          </cell>
          <cell r="E568" t="str">
            <v>CRS</v>
          </cell>
          <cell r="F568">
            <v>12035</v>
          </cell>
          <cell r="G568">
            <v>45519</v>
          </cell>
          <cell r="H568">
            <v>46249</v>
          </cell>
          <cell r="I568" t="str">
            <v>Active</v>
          </cell>
          <cell r="J568" t="str">
            <v>Philadelphia</v>
          </cell>
          <cell r="K568" t="str">
            <v>Aug</v>
          </cell>
        </row>
        <row r="569">
          <cell r="B569">
            <v>1915</v>
          </cell>
          <cell r="C569" t="str">
            <v>Veronica Kaiser</v>
          </cell>
          <cell r="D569" t="str">
            <v>philadelphia</v>
          </cell>
          <cell r="E569" t="str">
            <v>CRS</v>
          </cell>
          <cell r="F569">
            <v>10924</v>
          </cell>
          <cell r="G569">
            <v>43187</v>
          </cell>
          <cell r="H569">
            <v>46109</v>
          </cell>
          <cell r="I569" t="str">
            <v>Active</v>
          </cell>
          <cell r="J569" t="str">
            <v>Philadelphia</v>
          </cell>
          <cell r="K569" t="str">
            <v>Mar</v>
          </cell>
        </row>
        <row r="570">
          <cell r="B570">
            <v>1917</v>
          </cell>
          <cell r="C570" t="str">
            <v>Victor Scott</v>
          </cell>
          <cell r="D570" t="str">
            <v>philadelphia</v>
          </cell>
          <cell r="E570" t="str">
            <v>CRS</v>
          </cell>
          <cell r="F570">
            <v>14759</v>
          </cell>
          <cell r="G570">
            <v>43770</v>
          </cell>
          <cell r="H570">
            <v>44501</v>
          </cell>
          <cell r="I570" t="str">
            <v>Expired</v>
          </cell>
          <cell r="J570" t="str">
            <v>Philadelphia</v>
          </cell>
          <cell r="K570" t="str">
            <v>Nov</v>
          </cell>
        </row>
        <row r="571">
          <cell r="B571">
            <v>1923</v>
          </cell>
          <cell r="C571" t="str">
            <v>Victoria Perez</v>
          </cell>
          <cell r="D571" t="str">
            <v>philadelphia</v>
          </cell>
          <cell r="E571" t="str">
            <v>CRS</v>
          </cell>
          <cell r="F571">
            <v>14758</v>
          </cell>
          <cell r="G571">
            <v>43770</v>
          </cell>
          <cell r="H571">
            <v>44501</v>
          </cell>
          <cell r="I571" t="str">
            <v>Expired</v>
          </cell>
          <cell r="J571" t="str">
            <v>Philadelphia</v>
          </cell>
          <cell r="K571" t="str">
            <v>Nov</v>
          </cell>
        </row>
        <row r="572">
          <cell r="B572">
            <v>1926</v>
          </cell>
          <cell r="C572" t="str">
            <v>Vienna McGonigal</v>
          </cell>
          <cell r="D572" t="str">
            <v>philadelphia</v>
          </cell>
          <cell r="E572" t="str">
            <v>CRS</v>
          </cell>
          <cell r="F572">
            <v>21575</v>
          </cell>
          <cell r="G572">
            <v>45707</v>
          </cell>
          <cell r="H572">
            <v>46437</v>
          </cell>
          <cell r="I572" t="str">
            <v>Active</v>
          </cell>
          <cell r="J572" t="str">
            <v>Philadelphia</v>
          </cell>
          <cell r="K572" t="str">
            <v>Feb</v>
          </cell>
        </row>
        <row r="573">
          <cell r="B573">
            <v>1927</v>
          </cell>
          <cell r="C573" t="str">
            <v>Vincent  LeCompte</v>
          </cell>
          <cell r="D573" t="str">
            <v>philadelphia</v>
          </cell>
          <cell r="E573" t="str">
            <v>CRS</v>
          </cell>
          <cell r="F573">
            <v>21000</v>
          </cell>
          <cell r="G573">
            <v>45580</v>
          </cell>
          <cell r="H573">
            <v>46310</v>
          </cell>
          <cell r="I573" t="str">
            <v>Active</v>
          </cell>
          <cell r="J573" t="str">
            <v>Philadelphia</v>
          </cell>
          <cell r="K573" t="str">
            <v>Oct</v>
          </cell>
        </row>
        <row r="574">
          <cell r="B574">
            <v>1928</v>
          </cell>
          <cell r="C574" t="str">
            <v>Vincent Johnson</v>
          </cell>
          <cell r="D574" t="str">
            <v>philadelphia</v>
          </cell>
          <cell r="E574" t="str">
            <v>CRS</v>
          </cell>
          <cell r="F574">
            <v>8941</v>
          </cell>
          <cell r="G574">
            <v>41817</v>
          </cell>
          <cell r="H574">
            <v>44009</v>
          </cell>
          <cell r="I574" t="str">
            <v>Expired</v>
          </cell>
          <cell r="J574" t="str">
            <v>Philadelphia</v>
          </cell>
          <cell r="K574" t="str">
            <v>Jun</v>
          </cell>
        </row>
        <row r="575">
          <cell r="B575">
            <v>1932</v>
          </cell>
          <cell r="C575" t="str">
            <v>Virginia Vitella</v>
          </cell>
          <cell r="D575" t="str">
            <v>philadelphia</v>
          </cell>
          <cell r="E575" t="str">
            <v>CRS</v>
          </cell>
          <cell r="F575">
            <v>12005</v>
          </cell>
          <cell r="G575">
            <v>43313</v>
          </cell>
          <cell r="H575">
            <v>44774</v>
          </cell>
          <cell r="I575" t="str">
            <v>Expired</v>
          </cell>
          <cell r="J575" t="str">
            <v>Philadelphia</v>
          </cell>
          <cell r="K575" t="str">
            <v>Aug</v>
          </cell>
        </row>
        <row r="576">
          <cell r="B576">
            <v>1933</v>
          </cell>
          <cell r="C576" t="str">
            <v>Vivian Debro</v>
          </cell>
          <cell r="D576" t="str">
            <v>philadelphia</v>
          </cell>
          <cell r="E576" t="str">
            <v>CFRS</v>
          </cell>
          <cell r="F576">
            <v>16225</v>
          </cell>
          <cell r="G576">
            <v>44326</v>
          </cell>
          <cell r="H576">
            <v>45056</v>
          </cell>
          <cell r="I576" t="str">
            <v>Expired</v>
          </cell>
          <cell r="J576" t="str">
            <v>Philadelphia</v>
          </cell>
          <cell r="K576" t="str">
            <v>May</v>
          </cell>
        </row>
        <row r="577">
          <cell r="B577">
            <v>1936</v>
          </cell>
          <cell r="C577" t="str">
            <v>Wanda Hudson</v>
          </cell>
          <cell r="D577" t="str">
            <v>philadelphia</v>
          </cell>
          <cell r="E577" t="str">
            <v>CRS</v>
          </cell>
          <cell r="F577">
            <v>19869</v>
          </cell>
          <cell r="G577">
            <v>45336</v>
          </cell>
          <cell r="H577">
            <v>46067</v>
          </cell>
          <cell r="I577" t="str">
            <v>Active</v>
          </cell>
          <cell r="J577" t="str">
            <v>Philadelphia</v>
          </cell>
          <cell r="K577" t="str">
            <v>Feb</v>
          </cell>
        </row>
        <row r="578">
          <cell r="B578">
            <v>1938</v>
          </cell>
          <cell r="C578" t="str">
            <v>Warren Bernstein</v>
          </cell>
          <cell r="D578" t="str">
            <v>philadelphia</v>
          </cell>
          <cell r="E578" t="str">
            <v>CRS</v>
          </cell>
          <cell r="F578">
            <v>9537</v>
          </cell>
          <cell r="G578">
            <v>42440</v>
          </cell>
          <cell r="H578">
            <v>43170</v>
          </cell>
          <cell r="I578" t="str">
            <v>Expired</v>
          </cell>
          <cell r="J578" t="str">
            <v>Philadelphia</v>
          </cell>
          <cell r="K578" t="str">
            <v>Mar</v>
          </cell>
        </row>
        <row r="579">
          <cell r="B579">
            <v>1939</v>
          </cell>
          <cell r="C579" t="str">
            <v>Wayne Garrett</v>
          </cell>
          <cell r="D579" t="str">
            <v>philadelphia</v>
          </cell>
          <cell r="E579" t="str">
            <v>CRS</v>
          </cell>
          <cell r="F579">
            <v>19868</v>
          </cell>
          <cell r="G579">
            <v>45336</v>
          </cell>
          <cell r="H579">
            <v>46067</v>
          </cell>
          <cell r="I579" t="str">
            <v>Active</v>
          </cell>
          <cell r="J579" t="str">
            <v>Philadelphia</v>
          </cell>
          <cell r="K579" t="str">
            <v>Feb</v>
          </cell>
        </row>
        <row r="580">
          <cell r="B580">
            <v>1941</v>
          </cell>
          <cell r="C580" t="str">
            <v>Wilfredo Laboy</v>
          </cell>
          <cell r="D580" t="str">
            <v>philadelphia</v>
          </cell>
          <cell r="E580" t="str">
            <v>CRS</v>
          </cell>
          <cell r="F580">
            <v>10650</v>
          </cell>
          <cell r="G580">
            <v>43118</v>
          </cell>
          <cell r="H580">
            <v>43848</v>
          </cell>
          <cell r="I580" t="str">
            <v>Expired</v>
          </cell>
          <cell r="J580" t="str">
            <v>Philadelphia</v>
          </cell>
          <cell r="K580" t="str">
            <v>Jan</v>
          </cell>
        </row>
        <row r="581">
          <cell r="B581">
            <v>1942</v>
          </cell>
          <cell r="C581" t="str">
            <v>Wilfredo Rodriguez</v>
          </cell>
          <cell r="D581" t="str">
            <v>philadelphia</v>
          </cell>
          <cell r="E581" t="str">
            <v>CRS</v>
          </cell>
          <cell r="F581">
            <v>8202</v>
          </cell>
          <cell r="G581">
            <v>41159</v>
          </cell>
          <cell r="H581">
            <v>41889</v>
          </cell>
          <cell r="I581" t="str">
            <v>Expired</v>
          </cell>
          <cell r="J581" t="str">
            <v>Philadelphia</v>
          </cell>
          <cell r="K581" t="str">
            <v>Sep</v>
          </cell>
        </row>
        <row r="582">
          <cell r="B582">
            <v>1943</v>
          </cell>
          <cell r="C582" t="str">
            <v>William Blake</v>
          </cell>
          <cell r="D582" t="str">
            <v>philadelphia</v>
          </cell>
          <cell r="E582" t="str">
            <v>CRS</v>
          </cell>
          <cell r="F582">
            <v>8945</v>
          </cell>
          <cell r="G582">
            <v>41817</v>
          </cell>
          <cell r="H582">
            <v>44739</v>
          </cell>
          <cell r="I582" t="str">
            <v>Expired</v>
          </cell>
          <cell r="J582" t="str">
            <v>Philadelphia</v>
          </cell>
          <cell r="K582" t="str">
            <v>Jun</v>
          </cell>
        </row>
        <row r="583">
          <cell r="B583">
            <v>1944</v>
          </cell>
          <cell r="C583" t="str">
            <v>William Burrell</v>
          </cell>
          <cell r="D583" t="str">
            <v>philadelphia</v>
          </cell>
          <cell r="E583" t="str">
            <v>CRS</v>
          </cell>
          <cell r="F583">
            <v>11038</v>
          </cell>
          <cell r="G583">
            <v>43203</v>
          </cell>
          <cell r="H583">
            <v>43934</v>
          </cell>
          <cell r="I583" t="str">
            <v>Expired</v>
          </cell>
          <cell r="J583" t="str">
            <v>Philadelphia</v>
          </cell>
          <cell r="K583" t="str">
            <v>Apr</v>
          </cell>
        </row>
        <row r="584">
          <cell r="B584">
            <v>1945</v>
          </cell>
          <cell r="C584" t="str">
            <v>William Church</v>
          </cell>
          <cell r="D584" t="str">
            <v>philadelphia</v>
          </cell>
          <cell r="E584" t="str">
            <v>CRS</v>
          </cell>
          <cell r="F584">
            <v>8469</v>
          </cell>
          <cell r="G584">
            <v>41412</v>
          </cell>
          <cell r="H584">
            <v>42142</v>
          </cell>
          <cell r="I584" t="str">
            <v>Expired</v>
          </cell>
          <cell r="J584" t="str">
            <v>Philadelphia</v>
          </cell>
          <cell r="K584" t="str">
            <v>May</v>
          </cell>
        </row>
        <row r="585">
          <cell r="B585">
            <v>1948</v>
          </cell>
          <cell r="C585" t="str">
            <v>William Harding</v>
          </cell>
          <cell r="D585" t="str">
            <v>philadelphia</v>
          </cell>
          <cell r="E585" t="str">
            <v>CRS</v>
          </cell>
          <cell r="F585">
            <v>8287</v>
          </cell>
          <cell r="G585">
            <v>41263</v>
          </cell>
          <cell r="H585">
            <v>41993</v>
          </cell>
          <cell r="I585" t="str">
            <v>Expired</v>
          </cell>
          <cell r="J585" t="str">
            <v>Philadelphia</v>
          </cell>
          <cell r="K585" t="str">
            <v>Dec</v>
          </cell>
        </row>
        <row r="586">
          <cell r="B586">
            <v>1950</v>
          </cell>
          <cell r="C586" t="str">
            <v>William Johnson</v>
          </cell>
          <cell r="D586" t="str">
            <v>philadelphia</v>
          </cell>
          <cell r="E586" t="str">
            <v>CRS</v>
          </cell>
          <cell r="F586">
            <v>17871</v>
          </cell>
          <cell r="G586">
            <v>44833</v>
          </cell>
          <cell r="H586">
            <v>46294</v>
          </cell>
          <cell r="I586" t="str">
            <v>Active</v>
          </cell>
          <cell r="J586" t="str">
            <v>Philadelphia</v>
          </cell>
          <cell r="K586" t="str">
            <v>Sep</v>
          </cell>
        </row>
        <row r="587">
          <cell r="B587">
            <v>1958</v>
          </cell>
          <cell r="C587" t="str">
            <v>William West</v>
          </cell>
          <cell r="D587" t="str">
            <v>philadelphia</v>
          </cell>
          <cell r="E587" t="str">
            <v>CRS</v>
          </cell>
          <cell r="F587">
            <v>8401</v>
          </cell>
          <cell r="G587">
            <v>41393</v>
          </cell>
          <cell r="H587">
            <v>43584</v>
          </cell>
          <cell r="I587" t="str">
            <v>Expired</v>
          </cell>
          <cell r="J587" t="str">
            <v>Philadelphia</v>
          </cell>
          <cell r="K587" t="str">
            <v>Apr</v>
          </cell>
        </row>
        <row r="588">
          <cell r="B588">
            <v>1959</v>
          </cell>
          <cell r="C588" t="str">
            <v>William Williams</v>
          </cell>
          <cell r="D588" t="str">
            <v>philadelphia</v>
          </cell>
          <cell r="E588" t="str">
            <v>CRS</v>
          </cell>
          <cell r="F588">
            <v>11913</v>
          </cell>
          <cell r="G588">
            <v>43291</v>
          </cell>
          <cell r="H588">
            <v>45483</v>
          </cell>
          <cell r="I588" t="str">
            <v>Lapsed</v>
          </cell>
          <cell r="J588" t="str">
            <v>Philadelphia</v>
          </cell>
          <cell r="K588" t="str">
            <v>Jul</v>
          </cell>
        </row>
        <row r="589">
          <cell r="B589">
            <v>1960</v>
          </cell>
          <cell r="C589" t="str">
            <v>Willie Bullock</v>
          </cell>
          <cell r="D589" t="str">
            <v>philadelphia</v>
          </cell>
          <cell r="E589" t="str">
            <v>CRS</v>
          </cell>
          <cell r="F589">
            <v>19141</v>
          </cell>
          <cell r="G589">
            <v>45180</v>
          </cell>
          <cell r="H589">
            <v>45911</v>
          </cell>
          <cell r="I589" t="str">
            <v>Active</v>
          </cell>
          <cell r="J589" t="str">
            <v>Philadelphia</v>
          </cell>
          <cell r="K589" t="str">
            <v>Sep</v>
          </cell>
        </row>
        <row r="590">
          <cell r="B590">
            <v>1961</v>
          </cell>
          <cell r="C590" t="str">
            <v>Xashyl Morales</v>
          </cell>
          <cell r="D590" t="str">
            <v>philadelphia</v>
          </cell>
          <cell r="E590" t="str">
            <v>CRS</v>
          </cell>
          <cell r="F590">
            <v>11617</v>
          </cell>
          <cell r="G590">
            <v>45693</v>
          </cell>
          <cell r="H590">
            <v>46423</v>
          </cell>
          <cell r="I590" t="str">
            <v>Active</v>
          </cell>
          <cell r="J590" t="str">
            <v>Philadelphia</v>
          </cell>
          <cell r="K590" t="str">
            <v>Feb</v>
          </cell>
        </row>
        <row r="591">
          <cell r="B591">
            <v>1963</v>
          </cell>
          <cell r="C591" t="str">
            <v>Yashi Maynard</v>
          </cell>
          <cell r="D591" t="str">
            <v>philadelphia</v>
          </cell>
          <cell r="E591" t="str">
            <v>CRS</v>
          </cell>
          <cell r="F591">
            <v>9543</v>
          </cell>
          <cell r="G591">
            <v>42440</v>
          </cell>
          <cell r="H591">
            <v>43170</v>
          </cell>
          <cell r="I591" t="str">
            <v>Expired</v>
          </cell>
          <cell r="J591" t="str">
            <v>Philadelphia</v>
          </cell>
          <cell r="K591" t="str">
            <v>Mar</v>
          </cell>
        </row>
        <row r="592">
          <cell r="B592">
            <v>1967</v>
          </cell>
          <cell r="C592" t="str">
            <v>Yvette Cypress</v>
          </cell>
          <cell r="D592" t="str">
            <v>philadelphia</v>
          </cell>
          <cell r="E592" t="str">
            <v>CRS</v>
          </cell>
          <cell r="F592">
            <v>8462</v>
          </cell>
          <cell r="G592">
            <v>41412</v>
          </cell>
          <cell r="H592">
            <v>46525</v>
          </cell>
          <cell r="I592" t="str">
            <v>Active</v>
          </cell>
          <cell r="J592" t="str">
            <v>Philadelphia</v>
          </cell>
          <cell r="K592" t="str">
            <v>May</v>
          </cell>
        </row>
        <row r="593">
          <cell r="B593">
            <v>1968</v>
          </cell>
          <cell r="C593" t="str">
            <v>Yvette Kamimura-Jones</v>
          </cell>
          <cell r="D593" t="str">
            <v>philadelphia</v>
          </cell>
          <cell r="E593" t="str">
            <v>CRS</v>
          </cell>
          <cell r="F593">
            <v>16962</v>
          </cell>
          <cell r="G593">
            <v>45708</v>
          </cell>
          <cell r="H593">
            <v>46438</v>
          </cell>
          <cell r="I593" t="str">
            <v>Active</v>
          </cell>
          <cell r="J593" t="str">
            <v>Philadelphia</v>
          </cell>
          <cell r="K593" t="str">
            <v>Feb</v>
          </cell>
        </row>
        <row r="594">
          <cell r="B594">
            <v>1969</v>
          </cell>
          <cell r="C594" t="str">
            <v>Yvette Kamimura-Jones</v>
          </cell>
          <cell r="D594" t="str">
            <v>philadelphia</v>
          </cell>
          <cell r="E594" t="str">
            <v>CFRS</v>
          </cell>
          <cell r="F594">
            <v>16962</v>
          </cell>
          <cell r="G594">
            <v>45741</v>
          </cell>
          <cell r="H594">
            <v>46471</v>
          </cell>
          <cell r="I594" t="str">
            <v>Active</v>
          </cell>
          <cell r="J594" t="str">
            <v>Philadelphia</v>
          </cell>
          <cell r="K594" t="str">
            <v>Mar</v>
          </cell>
        </row>
        <row r="595">
          <cell r="B595">
            <v>1970</v>
          </cell>
          <cell r="C595" t="str">
            <v>Yvonne Flick</v>
          </cell>
          <cell r="D595" t="str">
            <v>philadelphia</v>
          </cell>
          <cell r="E595" t="str">
            <v>CRS</v>
          </cell>
          <cell r="F595">
            <v>19212</v>
          </cell>
          <cell r="G595">
            <v>45196</v>
          </cell>
          <cell r="H595">
            <v>45927</v>
          </cell>
          <cell r="I595" t="str">
            <v>Active</v>
          </cell>
          <cell r="J595" t="str">
            <v>Philadelphia</v>
          </cell>
          <cell r="K595" t="str">
            <v>Sep</v>
          </cell>
        </row>
        <row r="596">
          <cell r="B596">
            <v>1977</v>
          </cell>
          <cell r="C596" t="str">
            <v>Zina Patton</v>
          </cell>
          <cell r="D596" t="str">
            <v>philadelphia</v>
          </cell>
          <cell r="E596" t="str">
            <v>CRS</v>
          </cell>
          <cell r="F596">
            <v>8397</v>
          </cell>
          <cell r="G596">
            <v>41393</v>
          </cell>
          <cell r="H596">
            <v>42123</v>
          </cell>
          <cell r="I596" t="str">
            <v>Expired</v>
          </cell>
          <cell r="J596" t="str">
            <v>Philadelphia</v>
          </cell>
          <cell r="K596" t="str">
            <v>Apr</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topher Rodican" refreshedDate="45831.657927083332" createdVersion="8" refreshedVersion="8" minRefreshableVersion="3" recordCount="1977" xr:uid="{E9FA3D20-750C-425A-905F-E498C32C9ED4}">
  <cacheSource type="worksheet">
    <worksheetSource name="certifications"/>
  </cacheSource>
  <cacheFields count="12">
    <cacheField name="ID" numFmtId="0">
      <sharedItems containsSemiMixedTypes="0" containsString="0" containsNumber="1" containsInteger="1" minValue="1" maxValue="1977"/>
    </cacheField>
    <cacheField name="NAME" numFmtId="0">
      <sharedItems/>
    </cacheField>
    <cacheField name="CITY" numFmtId="0">
      <sharedItems/>
    </cacheField>
    <cacheField name="CREDENTIAL" numFmtId="0">
      <sharedItems count="3">
        <s v="CRS"/>
        <s v="CFRS"/>
        <s v="CRSS"/>
      </sharedItems>
    </cacheField>
    <cacheField name="NUMBER" numFmtId="0">
      <sharedItems containsMixedTypes="1" containsNumber="1" containsInteger="1" minValue="1719" maxValue="96010"/>
    </cacheField>
    <cacheField name="ISSUE DATE" numFmtId="14">
      <sharedItems containsSemiMixedTypes="0" containsNonDate="0" containsDate="1" containsString="0" minDate="2009-06-12T00:00:00" maxDate="2025-06-13T00:00:00" count="772">
        <d v="2023-08-22T00:00:00"/>
        <d v="2025-06-04T00:00:00"/>
        <d v="2018-06-18T00:00:00"/>
        <d v="2021-04-07T00:00:00"/>
        <d v="2022-06-02T00:00:00"/>
        <d v="2015-03-20T00:00:00"/>
        <d v="2019-01-14T00:00:00"/>
        <d v="2021-02-27T00:00:00"/>
        <d v="2023-07-05T00:00:00"/>
        <d v="2017-09-08T00:00:00"/>
        <d v="2018-08-01T00:00:00"/>
        <d v="2020-08-21T00:00:00"/>
        <d v="2021-10-09T00:00:00"/>
        <d v="2024-08-15T00:00:00"/>
        <d v="2013-04-29T00:00:00"/>
        <d v="2016-05-23T00:00:00"/>
        <d v="2024-08-29T00:00:00"/>
        <d v="2018-03-13T00:00:00"/>
        <d v="2022-09-27T00:00:00"/>
        <d v="2019-07-24T00:00:00"/>
        <d v="2019-10-09T00:00:00"/>
        <d v="2017-03-21T00:00:00"/>
        <d v="2024-08-20T00:00:00"/>
        <d v="2021-12-10T00:00:00"/>
        <d v="2016-06-27T00:00:00"/>
        <d v="2023-06-21T00:00:00"/>
        <d v="2023-03-25T00:00:00"/>
        <d v="2019-06-24T00:00:00"/>
        <d v="2019-09-10T00:00:00"/>
        <d v="2019-08-27T00:00:00"/>
        <d v="2019-02-08T00:00:00"/>
        <d v="2015-12-03T00:00:00"/>
        <d v="2020-04-15T00:00:00"/>
        <d v="2012-04-05T00:00:00"/>
        <d v="2024-05-09T00:00:00"/>
        <d v="2024-04-10T00:00:00"/>
        <d v="2018-01-18T00:00:00"/>
        <d v="2019-01-22T00:00:00"/>
        <d v="2022-01-28T00:00:00"/>
        <d v="2024-06-19T00:00:00"/>
        <d v="2015-10-14T00:00:00"/>
        <d v="2013-06-25T00:00:00"/>
        <d v="2023-02-04T00:00:00"/>
        <d v="2023-02-03T00:00:00"/>
        <d v="2023-10-28T00:00:00"/>
        <d v="2023-10-25T00:00:00"/>
        <d v="2024-02-14T00:00:00"/>
        <d v="2022-03-13T00:00:00"/>
        <d v="2017-01-18T00:00:00"/>
        <d v="2018-12-11T00:00:00"/>
        <d v="2016-10-27T00:00:00"/>
        <d v="2020-06-30T00:00:00"/>
        <d v="2020-12-07T00:00:00"/>
        <d v="2025-05-23T00:00:00"/>
        <d v="2024-11-09T00:00:00"/>
        <d v="2021-12-15T00:00:00"/>
        <d v="2021-11-03T00:00:00"/>
        <d v="2021-03-25T00:00:00"/>
        <d v="2022-02-17T00:00:00"/>
        <d v="2024-06-12T00:00:00"/>
        <d v="2015-05-20T00:00:00"/>
        <d v="2016-03-11T00:00:00"/>
        <d v="2021-06-29T00:00:00"/>
        <d v="2017-04-21T00:00:00"/>
        <d v="2024-12-24T00:00:00"/>
        <d v="2023-03-29T00:00:00"/>
        <d v="2024-06-07T00:00:00"/>
        <d v="2025-02-19T00:00:00"/>
        <d v="2024-06-26T00:00:00"/>
        <d v="2021-09-14T00:00:00"/>
        <d v="2021-07-15T00:00:00"/>
        <d v="2013-07-30T00:00:00"/>
        <d v="2018-06-28T00:00:00"/>
        <d v="2014-07-29T00:00:00"/>
        <d v="2018-09-26T00:00:00"/>
        <d v="2019-03-02T00:00:00"/>
        <d v="2010-10-08T00:00:00"/>
        <d v="2017-06-13T00:00:00"/>
        <d v="2019-05-01T00:00:00"/>
        <d v="2017-06-22T00:00:00"/>
        <d v="2014-06-27T00:00:00"/>
        <d v="2013-02-20T00:00:00"/>
        <d v="2022-08-18T00:00:00"/>
        <d v="2024-07-26T00:00:00"/>
        <d v="2019-08-20T00:00:00"/>
        <d v="2020-01-07T00:00:00"/>
        <d v="2022-05-06T00:00:00"/>
        <d v="2022-04-11T00:00:00"/>
        <d v="2017-12-12T00:00:00"/>
        <d v="2012-12-12T00:00:00"/>
        <d v="2024-03-01T00:00:00"/>
        <d v="2020-01-27T00:00:00"/>
        <d v="2021-01-08T00:00:00"/>
        <d v="2017-11-20T00:00:00"/>
        <d v="2020-07-29T00:00:00"/>
        <d v="2018-09-07T00:00:00"/>
        <d v="2013-11-25T00:00:00"/>
        <d v="2023-06-17T00:00:00"/>
        <d v="2025-05-15T00:00:00"/>
        <d v="2014-04-17T00:00:00"/>
        <d v="2022-02-18T00:00:00"/>
        <d v="2021-06-16T00:00:00"/>
        <d v="2021-01-26T00:00:00"/>
        <d v="2021-03-15T00:00:00"/>
        <d v="2018-06-21T00:00:00"/>
        <d v="2021-06-25T00:00:00"/>
        <d v="2013-05-18T00:00:00"/>
        <d v="2021-05-13T00:00:00"/>
        <d v="2024-09-18T00:00:00"/>
        <d v="2016-07-20T00:00:00"/>
        <d v="2019-12-19T00:00:00"/>
        <d v="2021-11-15T00:00:00"/>
        <d v="2022-02-16T00:00:00"/>
        <d v="2009-11-06T00:00:00"/>
        <d v="2023-04-06T00:00:00"/>
        <d v="2023-03-14T00:00:00"/>
        <d v="2019-01-25T00:00:00"/>
        <d v="2019-11-18T00:00:00"/>
        <d v="2025-03-12T00:00:00"/>
        <d v="2024-10-31T00:00:00"/>
        <d v="2009-08-04T00:00:00"/>
        <d v="2020-02-26T00:00:00"/>
        <d v="2020-01-10T00:00:00"/>
        <d v="2014-05-15T00:00:00"/>
        <d v="2023-04-23T00:00:00"/>
        <d v="2019-01-05T00:00:00"/>
        <d v="2018-03-09T00:00:00"/>
        <d v="2019-01-09T00:00:00"/>
        <d v="2021-02-22T00:00:00"/>
        <d v="2015-05-08T00:00:00"/>
        <d v="2024-05-22T00:00:00"/>
        <d v="2024-09-20T00:00:00"/>
        <d v="2024-05-23T00:00:00"/>
        <d v="2024-09-27T00:00:00"/>
        <d v="2017-01-31T00:00:00"/>
        <d v="2018-05-07T00:00:00"/>
        <d v="2022-01-27T00:00:00"/>
        <d v="2022-07-23T00:00:00"/>
        <d v="2022-07-03T00:00:00"/>
        <d v="2019-06-25T00:00:00"/>
        <d v="2024-11-04T00:00:00"/>
        <d v="2024-10-16T00:00:00"/>
        <d v="2012-03-09T00:00:00"/>
        <d v="2023-04-19T00:00:00"/>
        <d v="2022-11-15T00:00:00"/>
        <d v="2022-08-11T00:00:00"/>
        <d v="2022-10-06T00:00:00"/>
        <d v="2022-07-25T00:00:00"/>
        <d v="2019-03-17T00:00:00"/>
        <d v="2017-06-29T00:00:00"/>
        <d v="2015-12-08T00:00:00"/>
        <d v="2024-06-14T00:00:00"/>
        <d v="2024-05-28T00:00:00"/>
        <d v="2016-05-24T00:00:00"/>
        <d v="2022-10-12T00:00:00"/>
        <d v="2024-12-12T00:00:00"/>
        <d v="2018-04-13T00:00:00"/>
        <d v="2022-04-05T00:00:00"/>
        <d v="2018-08-10T00:00:00"/>
        <d v="2024-10-25T00:00:00"/>
        <d v="2019-05-20T00:00:00"/>
        <d v="2021-04-29T00:00:00"/>
        <d v="2010-03-18T00:00:00"/>
        <d v="2022-02-13T00:00:00"/>
        <d v="2013-10-30T00:00:00"/>
        <d v="2014-03-12T00:00:00"/>
        <d v="2024-10-07T00:00:00"/>
        <d v="2024-08-12T00:00:00"/>
        <d v="2024-07-23T00:00:00"/>
        <d v="2024-05-21T00:00:00"/>
        <d v="2012-07-21T00:00:00"/>
        <d v="2014-09-23T00:00:00"/>
        <d v="2023-05-02T00:00:00"/>
        <d v="2024-10-02T00:00:00"/>
        <d v="2021-01-25T00:00:00"/>
        <d v="2024-11-07T00:00:00"/>
        <d v="2017-08-28T00:00:00"/>
        <d v="2018-02-23T00:00:00"/>
        <d v="2009-09-12T00:00:00"/>
        <d v="2022-05-01T00:00:00"/>
        <d v="2023-05-09T00:00:00"/>
        <d v="2020-09-22T00:00:00"/>
        <d v="2022-01-25T00:00:00"/>
        <d v="2024-08-01T00:00:00"/>
        <d v="2020-08-28T00:00:00"/>
        <d v="2021-05-10T00:00:00"/>
        <d v="2023-09-01T00:00:00"/>
        <d v="2025-04-28T00:00:00"/>
        <d v="2024-10-27T00:00:00"/>
        <d v="2024-10-23T00:00:00"/>
        <d v="2019-07-17T00:00:00"/>
        <d v="2019-03-11T00:00:00"/>
        <d v="2009-06-18T00:00:00"/>
        <d v="2016-03-17T00:00:00"/>
        <d v="2016-06-16T00:00:00"/>
        <d v="2019-08-09T00:00:00"/>
        <d v="2024-05-01T00:00:00"/>
        <d v="2018-04-05T00:00:00"/>
        <d v="2022-11-29T00:00:00"/>
        <d v="2021-03-31T00:00:00"/>
        <d v="2024-08-26T00:00:00"/>
        <d v="2024-05-14T00:00:00"/>
        <d v="2021-06-21T00:00:00"/>
        <d v="2022-05-16T00:00:00"/>
        <d v="2023-05-18T00:00:00"/>
        <d v="2024-10-15T00:00:00"/>
        <d v="2023-12-04T00:00:00"/>
        <d v="2019-06-10T00:00:00"/>
        <d v="2020-03-10T00:00:00"/>
        <d v="2021-07-20T00:00:00"/>
        <d v="2024-03-25T00:00:00"/>
        <d v="2017-05-30T00:00:00"/>
        <d v="2021-10-10T00:00:00"/>
        <d v="2014-06-05T00:00:00"/>
        <d v="2015-03-06T00:00:00"/>
        <d v="2025-06-09T00:00:00"/>
        <d v="2013-12-12T00:00:00"/>
        <d v="2012-09-07T00:00:00"/>
        <d v="2023-11-03T00:00:00"/>
        <d v="2025-06-02T00:00:00"/>
        <d v="2016-07-06T00:00:00"/>
        <d v="2020-12-21T00:00:00"/>
        <d v="2024-12-31T00:00:00"/>
        <d v="2023-08-29T00:00:00"/>
        <d v="2019-11-01T00:00:00"/>
        <d v="2021-03-10T00:00:00"/>
        <d v="2019-11-22T00:00:00"/>
        <d v="2023-06-30T00:00:00"/>
        <d v="2019-05-14T00:00:00"/>
        <d v="2024-04-22T00:00:00"/>
        <d v="2023-10-13T00:00:00"/>
        <d v="2023-08-15T00:00:00"/>
        <d v="2022-10-15T00:00:00"/>
        <d v="2022-09-22T00:00:00"/>
        <d v="2020-11-28T00:00:00"/>
        <d v="2022-06-27T00:00:00"/>
        <d v="2019-11-07T00:00:00"/>
        <d v="2022-04-08T00:00:00"/>
        <d v="2025-06-12T00:00:00"/>
        <d v="2021-11-04T00:00:00"/>
        <d v="2023-02-05T00:00:00"/>
        <d v="2021-04-15T00:00:00"/>
        <d v="2022-07-10T00:00:00"/>
        <d v="2022-12-12T00:00:00"/>
        <d v="2019-08-28T00:00:00"/>
        <d v="2022-04-25T00:00:00"/>
        <d v="2016-09-14T00:00:00"/>
        <d v="2019-02-01T00:00:00"/>
        <d v="2022-01-04T00:00:00"/>
        <d v="2021-06-26T00:00:00"/>
        <d v="2011-10-07T00:00:00"/>
        <d v="2015-09-11T00:00:00"/>
        <d v="2013-12-16T00:00:00"/>
        <d v="2014-08-01T00:00:00"/>
        <d v="2018-10-31T00:00:00"/>
        <d v="2017-01-11T00:00:00"/>
        <d v="2023-07-28T00:00:00"/>
        <d v="2020-10-15T00:00:00"/>
        <d v="2022-11-10T00:00:00"/>
        <d v="2021-12-01T00:00:00"/>
        <d v="2025-01-22T00:00:00"/>
        <d v="2025-03-02T00:00:00"/>
        <d v="2022-10-03T00:00:00"/>
        <d v="2023-04-17T00:00:00"/>
        <d v="2011-03-11T00:00:00"/>
        <d v="2022-01-09T00:00:00"/>
        <d v="2022-06-01T00:00:00"/>
        <d v="2024-11-05T00:00:00"/>
        <d v="2025-03-25T00:00:00"/>
        <d v="2023-06-16T00:00:00"/>
        <d v="2015-11-19T00:00:00"/>
        <d v="2023-05-28T00:00:00"/>
        <d v="2023-05-24T00:00:00"/>
        <d v="2021-09-22T00:00:00"/>
        <d v="2016-08-19T00:00:00"/>
        <d v="2021-06-18T00:00:00"/>
        <d v="2024-09-06T00:00:00"/>
        <d v="2018-09-24T00:00:00"/>
        <d v="2017-06-05T00:00:00"/>
        <d v="2021-03-29T00:00:00"/>
        <d v="2016-09-09T00:00:00"/>
        <d v="2018-08-14T00:00:00"/>
        <d v="2022-09-12T00:00:00"/>
        <d v="2024-07-10T00:00:00"/>
        <d v="2018-02-26T00:00:00"/>
        <d v="2025-02-03T00:00:00"/>
        <d v="2021-03-22T00:00:00"/>
        <d v="2013-02-26T00:00:00"/>
        <d v="2019-12-10T00:00:00"/>
        <d v="2014-06-26T00:00:00"/>
        <d v="2023-09-05T00:00:00"/>
        <d v="2014-10-10T00:00:00"/>
        <d v="2022-08-28T00:00:00"/>
        <d v="2022-03-15T00:00:00"/>
        <d v="2021-10-29T00:00:00"/>
        <d v="2023-03-20T00:00:00"/>
        <d v="2024-05-24T00:00:00"/>
        <d v="2013-09-24T00:00:00"/>
        <d v="2019-02-10T00:00:00"/>
        <d v="2023-05-10T00:00:00"/>
        <d v="2024-10-22T00:00:00"/>
        <d v="2015-06-17T00:00:00"/>
        <d v="2023-03-28T00:00:00"/>
        <d v="2023-01-30T00:00:00"/>
        <d v="2021-04-17T00:00:00"/>
        <d v="2018-05-25T00:00:00"/>
        <d v="2020-05-23T00:00:00"/>
        <d v="2023-01-13T00:00:00"/>
        <d v="2015-06-25T00:00:00"/>
        <d v="2024-02-20T00:00:00"/>
        <d v="2016-11-12T00:00:00"/>
        <d v="2021-01-16T00:00:00"/>
        <d v="2020-12-24T00:00:00"/>
        <d v="2019-03-19T00:00:00"/>
        <d v="2023-07-23T00:00:00"/>
        <d v="2023-12-07T00:00:00"/>
        <d v="2024-02-05T00:00:00"/>
        <d v="2024-12-17T00:00:00"/>
        <d v="2019-04-19T00:00:00"/>
        <d v="2024-10-19T00:00:00"/>
        <d v="2025-04-25T00:00:00"/>
        <d v="2023-12-19T00:00:00"/>
        <d v="2023-06-01T00:00:00"/>
        <d v="2013-09-13T00:00:00"/>
        <d v="2022-06-28T00:00:00"/>
        <d v="2022-03-31T00:00:00"/>
        <d v="2013-04-24T00:00:00"/>
        <d v="2025-01-13T00:00:00"/>
        <d v="2021-01-15T00:00:00"/>
        <d v="2013-07-31T00:00:00"/>
        <d v="2023-04-12T00:00:00"/>
        <d v="2022-09-26T00:00:00"/>
        <d v="2025-02-12T00:00:00"/>
        <d v="2024-12-03T00:00:00"/>
        <d v="2022-12-26T00:00:00"/>
        <d v="2025-02-15T00:00:00"/>
        <d v="2024-04-17T00:00:00"/>
        <d v="2022-04-10T00:00:00"/>
        <d v="2020-07-22T00:00:00"/>
        <d v="2019-06-14T00:00:00"/>
        <d v="2018-06-12T00:00:00"/>
        <d v="2024-11-21T00:00:00"/>
        <d v="2023-06-29T00:00:00"/>
        <d v="2025-03-07T00:00:00"/>
        <d v="2014-06-25T00:00:00"/>
        <d v="2024-06-15T00:00:00"/>
        <d v="2022-12-09T00:00:00"/>
        <d v="2022-10-28T00:00:00"/>
        <d v="2020-05-08T00:00:00"/>
        <d v="2025-05-16T00:00:00"/>
        <d v="2013-07-09T00:00:00"/>
        <d v="2023-11-27T00:00:00"/>
        <d v="2023-02-09T00:00:00"/>
        <d v="2024-07-03T00:00:00"/>
        <d v="2011-06-30T00:00:00"/>
        <d v="2013-06-01T00:00:00"/>
        <d v="2023-12-11T00:00:00"/>
        <d v="2025-06-05T00:00:00"/>
        <d v="2023-09-22T00:00:00"/>
        <d v="2010-03-12T00:00:00"/>
        <d v="2021-10-26T00:00:00"/>
        <d v="2016-04-06T00:00:00"/>
        <d v="2020-01-17T00:00:00"/>
        <d v="2024-07-24T00:00:00"/>
        <d v="2022-11-25T00:00:00"/>
        <d v="2021-06-30T00:00:00"/>
        <d v="2023-02-17T00:00:00"/>
        <d v="2015-08-13T00:00:00"/>
        <d v="2018-11-13T00:00:00"/>
        <d v="2017-06-10T00:00:00"/>
        <d v="2024-03-12T00:00:00"/>
        <d v="2023-02-14T00:00:00"/>
        <d v="2021-12-14T00:00:00"/>
        <d v="2018-09-25T00:00:00"/>
        <d v="2012-04-03T00:00:00"/>
        <d v="2023-03-18T00:00:00"/>
        <d v="2021-06-03T00:00:00"/>
        <d v="2019-03-22T00:00:00"/>
        <d v="2025-05-24T00:00:00"/>
        <d v="2011-12-20T00:00:00"/>
        <d v="2022-10-05T00:00:00"/>
        <d v="2022-12-27T00:00:00"/>
        <d v="2021-08-10T00:00:00"/>
        <d v="2009-06-12T00:00:00"/>
        <d v="2025-03-03T00:00:00"/>
        <d v="2023-12-12T00:00:00"/>
        <d v="2020-07-28T00:00:00"/>
        <d v="2021-07-28T00:00:00"/>
        <d v="2023-11-07T00:00:00"/>
        <d v="2018-05-17T00:00:00"/>
        <d v="2025-02-20T00:00:00"/>
        <d v="2018-06-20T00:00:00"/>
        <d v="2022-04-21T00:00:00"/>
        <d v="2021-06-12T00:00:00"/>
        <d v="2021-06-06T00:00:00"/>
        <d v="2022-06-05T00:00:00"/>
        <d v="2024-06-10T00:00:00"/>
        <d v="2024-08-17T00:00:00"/>
        <d v="2016-11-09T00:00:00"/>
        <d v="2021-12-22T00:00:00"/>
        <d v="2021-12-13T00:00:00"/>
        <d v="2017-06-26T00:00:00"/>
        <d v="2016-10-05T00:00:00"/>
        <d v="2023-02-06T00:00:00"/>
        <d v="2017-10-27T00:00:00"/>
        <d v="2022-10-11T00:00:00"/>
        <d v="2024-12-04T00:00:00"/>
        <d v="2022-01-17T00:00:00"/>
        <d v="2025-06-06T00:00:00"/>
        <d v="2023-03-26T00:00:00"/>
        <d v="2013-12-17T00:00:00"/>
        <d v="2024-03-24T00:00:00"/>
        <d v="2024-03-21T00:00:00"/>
        <d v="2023-05-01T00:00:00"/>
        <d v="2021-06-14T00:00:00"/>
        <d v="2019-05-02T00:00:00"/>
        <d v="2022-12-16T00:00:00"/>
        <d v="2022-10-18T00:00:00"/>
        <d v="2022-05-11T00:00:00"/>
        <d v="2023-11-01T00:00:00"/>
        <d v="2023-12-30T00:00:00"/>
        <d v="2020-09-15T00:00:00"/>
        <d v="2025-05-07T00:00:00"/>
        <d v="2024-06-17T00:00:00"/>
        <d v="2020-11-05T00:00:00"/>
        <d v="2022-10-13T00:00:00"/>
        <d v="2023-10-03T00:00:00"/>
        <d v="2011-04-14T00:00:00"/>
        <d v="2022-07-01T00:00:00"/>
        <d v="2021-02-01T00:00:00"/>
        <d v="2021-03-19T00:00:00"/>
        <d v="2024-01-07T00:00:00"/>
        <d v="2022-05-20T00:00:00"/>
        <d v="2022-01-11T00:00:00"/>
        <d v="2023-09-25T00:00:00"/>
        <d v="2023-06-15T00:00:00"/>
        <d v="2023-06-12T00:00:00"/>
        <d v="2021-10-23T00:00:00"/>
        <d v="2023-11-14T00:00:00"/>
        <d v="2021-04-06T00:00:00"/>
        <d v="2023-02-25T00:00:00"/>
        <d v="2023-05-16T00:00:00"/>
        <d v="2021-11-10T00:00:00"/>
        <d v="2018-01-16T00:00:00"/>
        <d v="2013-05-10T00:00:00"/>
        <d v="2024-09-24T00:00:00"/>
        <d v="2023-07-10T00:00:00"/>
        <d v="2024-12-30T00:00:00"/>
        <d v="2024-10-30T00:00:00"/>
        <d v="2019-09-06T00:00:00"/>
        <d v="2018-05-04T00:00:00"/>
        <d v="2025-02-14T00:00:00"/>
        <d v="2024-10-13T00:00:00"/>
        <d v="2013-10-23T00:00:00"/>
        <d v="2013-08-15T00:00:00"/>
        <d v="2015-10-08T00:00:00"/>
        <d v="2015-06-04T00:00:00"/>
        <d v="2019-08-13T00:00:00"/>
        <d v="2021-01-14T00:00:00"/>
        <d v="2022-05-21T00:00:00"/>
        <d v="2025-04-14T00:00:00"/>
        <d v="2024-04-11T00:00:00"/>
        <d v="2024-09-12T00:00:00"/>
        <d v="2024-02-03T00:00:00"/>
        <d v="2022-01-13T00:00:00"/>
        <d v="2022-01-05T00:00:00"/>
        <d v="2018-03-26T00:00:00"/>
        <d v="2023-05-22T00:00:00"/>
        <d v="2023-07-25T00:00:00"/>
        <d v="2018-11-20T00:00:00"/>
        <d v="2021-03-21T00:00:00"/>
        <d v="2022-12-20T00:00:00"/>
        <d v="2025-06-10T00:00:00"/>
        <d v="2024-04-18T00:00:00"/>
        <d v="2022-07-27T00:00:00"/>
        <d v="2024-09-29T00:00:00"/>
        <d v="2020-08-24T00:00:00"/>
        <d v="2021-07-14T00:00:00"/>
        <d v="2021-12-07T00:00:00"/>
        <d v="2021-07-13T00:00:00"/>
        <d v="2025-05-27T00:00:00"/>
        <d v="2009-11-02T00:00:00"/>
        <d v="2010-09-10T00:00:00"/>
        <d v="2010-01-11T00:00:00"/>
        <d v="2024-06-25T00:00:00"/>
        <d v="2022-05-12T00:00:00"/>
        <d v="2023-08-01T00:00:00"/>
        <d v="2023-07-21T00:00:00"/>
        <d v="2024-09-25T00:00:00"/>
        <d v="2024-10-21T00:00:00"/>
        <d v="2024-01-10T00:00:00"/>
        <d v="2019-12-30T00:00:00"/>
        <d v="2024-05-31T00:00:00"/>
        <d v="2022-05-27T00:00:00"/>
        <d v="2025-01-17T00:00:00"/>
        <d v="2024-03-14T00:00:00"/>
        <d v="2019-05-25T00:00:00"/>
        <d v="2020-11-17T00:00:00"/>
        <d v="2022-11-18T00:00:00"/>
        <d v="2020-10-20T00:00:00"/>
        <d v="2018-05-24T00:00:00"/>
        <d v="2022-08-08T00:00:00"/>
        <d v="2018-02-06T00:00:00"/>
        <d v="2025-02-25T00:00:00"/>
        <d v="2023-12-05T00:00:00"/>
        <d v="2015-03-11T00:00:00"/>
        <d v="2024-06-04T00:00:00"/>
        <d v="2016-02-11T00:00:00"/>
        <d v="2025-01-28T00:00:00"/>
        <d v="2022-01-15T00:00:00"/>
        <d v="2015-09-10T00:00:00"/>
        <d v="2022-06-17T00:00:00"/>
        <d v="2025-05-29T00:00:00"/>
        <d v="2022-09-29T00:00:00"/>
        <d v="2020-08-17T00:00:00"/>
        <d v="2021-03-16T00:00:00"/>
        <d v="2024-11-18T00:00:00"/>
        <d v="2023-12-21T00:00:00"/>
        <d v="2024-01-05T00:00:00"/>
        <d v="2022-07-05T00:00:00"/>
        <d v="2024-12-19T00:00:00"/>
        <d v="2019-05-21T00:00:00"/>
        <d v="2020-12-30T00:00:00"/>
        <d v="2024-04-12T00:00:00"/>
        <d v="2024-07-20T00:00:00"/>
        <d v="2025-04-30T00:00:00"/>
        <d v="2023-07-24T00:00:00"/>
        <d v="2025-04-09T00:00:00"/>
        <d v="2021-11-23T00:00:00"/>
        <d v="2022-02-11T00:00:00"/>
        <d v="2019-05-31T00:00:00"/>
        <d v="2021-06-17T00:00:00"/>
        <d v="2019-05-28T00:00:00"/>
        <d v="2025-04-22T00:00:00"/>
        <d v="2023-09-08T00:00:00"/>
        <d v="2025-04-15T00:00:00"/>
        <d v="2022-09-25T00:00:00"/>
        <d v="2022-09-28T00:00:00"/>
        <d v="2024-03-31T00:00:00"/>
        <d v="2024-01-29T00:00:00"/>
        <d v="2025-04-17T00:00:00"/>
        <d v="2022-11-01T00:00:00"/>
        <d v="2022-04-13T00:00:00"/>
        <d v="2024-02-21T00:00:00"/>
        <d v="2022-04-18T00:00:00"/>
        <d v="2022-08-13T00:00:00"/>
        <d v="2024-07-05T00:00:00"/>
        <d v="2024-07-02T00:00:00"/>
        <d v="2024-03-04T00:00:00"/>
        <d v="2023-05-25T00:00:00"/>
        <d v="2022-07-07T00:00:00"/>
        <d v="2022-07-14T00:00:00"/>
        <d v="2024-11-02T00:00:00"/>
        <d v="2019-05-10T00:00:00"/>
        <d v="2021-01-01T00:00:00"/>
        <d v="2020-12-16T00:00:00"/>
        <d v="2025-03-26T00:00:00"/>
        <d v="2021-12-11T00:00:00"/>
        <d v="2014-10-24T00:00:00"/>
        <d v="2021-01-05T00:00:00"/>
        <d v="2025-01-11T00:00:00"/>
        <d v="2025-01-12T00:00:00"/>
        <d v="2018-10-23T00:00:00"/>
        <d v="2024-11-19T00:00:00"/>
        <d v="2018-04-28T00:00:00"/>
        <d v="2024-04-30T00:00:00"/>
        <d v="2023-11-20T00:00:00"/>
        <d v="2019-02-09T00:00:00"/>
        <d v="2024-04-01T00:00:00"/>
        <d v="2025-03-27T00:00:00"/>
        <d v="2023-04-13T00:00:00"/>
        <d v="2024-01-15T00:00:00"/>
        <d v="2021-04-03T00:00:00"/>
        <d v="2023-01-26T00:00:00"/>
        <d v="2022-01-16T00:00:00"/>
        <d v="2025-04-20T00:00:00"/>
        <d v="2022-01-07T00:00:00"/>
        <d v="2022-06-10T00:00:00"/>
        <d v="2017-06-17T00:00:00"/>
        <d v="2019-04-25T00:00:00"/>
        <d v="2018-08-15T00:00:00"/>
        <d v="2021-02-18T00:00:00"/>
        <d v="2022-10-26T00:00:00"/>
        <d v="2024-11-12T00:00:00"/>
        <d v="2024-11-01T00:00:00"/>
        <d v="2021-11-19T00:00:00"/>
        <d v="2021-01-06T00:00:00"/>
        <d v="2022-10-02T00:00:00"/>
        <d v="2022-10-20T00:00:00"/>
        <d v="2021-05-19T00:00:00"/>
        <d v="2024-11-30T00:00:00"/>
        <d v="2021-04-05T00:00:00"/>
        <d v="2022-07-09T00:00:00"/>
        <d v="2024-01-19T00:00:00"/>
        <d v="2024-01-09T00:00:00"/>
        <d v="2016-07-25T00:00:00"/>
        <d v="2024-11-23T00:00:00"/>
        <d v="2023-01-27T00:00:00"/>
        <d v="2019-05-19T00:00:00"/>
        <d v="2019-06-18T00:00:00"/>
        <d v="2024-12-22T00:00:00"/>
        <d v="2024-11-25T00:00:00"/>
        <d v="2022-04-22T00:00:00"/>
        <d v="2024-01-12T00:00:00"/>
        <d v="2022-08-29T00:00:00"/>
        <d v="2024-05-08T00:00:00"/>
        <d v="2020-09-17T00:00:00"/>
        <d v="2022-04-26T00:00:00"/>
        <d v="2021-11-16T00:00:00"/>
        <d v="2018-08-22T00:00:00"/>
        <d v="2021-06-04T00:00:00"/>
        <d v="2018-11-15T00:00:00"/>
        <d v="2023-10-14T00:00:00"/>
        <d v="2014-02-18T00:00:00"/>
        <d v="2022-12-01T00:00:00"/>
        <d v="2024-02-13T00:00:00"/>
        <d v="2024-01-16T00:00:00"/>
        <d v="2022-03-22T00:00:00"/>
        <d v="2022-03-17T00:00:00"/>
        <d v="2023-07-11T00:00:00"/>
        <d v="2021-02-17T00:00:00"/>
        <d v="2021-04-18T00:00:00"/>
        <d v="2009-12-22T00:00:00"/>
        <d v="2024-04-05T00:00:00"/>
        <d v="2024-09-26T00:00:00"/>
        <d v="2020-12-22T00:00:00"/>
        <d v="2020-09-18T00:00:00"/>
        <d v="2018-06-05T00:00:00"/>
        <d v="2021-08-11T00:00:00"/>
        <d v="2020-12-23T00:00:00"/>
        <d v="2021-01-19T00:00:00"/>
        <d v="2010-11-09T00:00:00"/>
        <d v="2021-06-09T00:00:00"/>
        <d v="2023-09-29T00:00:00"/>
        <d v="2025-05-22T00:00:00"/>
        <d v="2021-12-02T00:00:00"/>
        <d v="2024-08-10T00:00:00"/>
        <d v="2023-12-01T00:00:00"/>
        <d v="2025-01-25T00:00:00"/>
        <d v="2011-04-21T00:00:00"/>
        <d v="2022-10-27T00:00:00"/>
        <d v="2025-01-24T00:00:00"/>
        <d v="2023-02-08T00:00:00"/>
        <d v="2023-06-09T00:00:00"/>
        <d v="2014-05-14T00:00:00"/>
        <d v="2022-04-28T00:00:00"/>
        <d v="2024-09-19T00:00:00"/>
        <d v="2022-12-04T00:00:00"/>
        <d v="2022-12-07T00:00:00"/>
        <d v="2024-11-08T00:00:00"/>
        <d v="2019-03-27T00:00:00"/>
        <d v="2022-06-14T00:00:00"/>
        <d v="2023-04-03T00:00:00"/>
        <d v="2016-12-08T00:00:00"/>
        <d v="2021-10-21T00:00:00"/>
        <d v="2023-01-21T00:00:00"/>
        <d v="2023-09-12T00:00:00"/>
        <d v="2013-08-21T00:00:00"/>
        <d v="2022-08-04T00:00:00"/>
        <d v="2024-07-17T00:00:00"/>
        <d v="2021-04-20T00:00:00"/>
        <d v="2021-03-12T00:00:00"/>
        <d v="2025-01-21T00:00:00"/>
        <d v="2024-07-25T00:00:00"/>
        <d v="2019-08-02T00:00:00"/>
        <d v="2025-01-30T00:00:00"/>
        <d v="2021-02-10T00:00:00"/>
        <d v="2018-07-03T00:00:00"/>
        <d v="2023-08-17T00:00:00"/>
        <d v="2023-08-16T00:00:00"/>
        <d v="2016-05-16T00:00:00"/>
        <d v="2023-02-16T00:00:00"/>
        <d v="2023-02-15T00:00:00"/>
        <d v="2022-04-14T00:00:00"/>
        <d v="2022-04-07T00:00:00"/>
        <d v="2022-02-04T00:00:00"/>
        <d v="2016-11-30T00:00:00"/>
        <d v="2024-10-10T00:00:00"/>
        <d v="2018-09-19T00:00:00"/>
        <d v="2021-09-13T00:00:00"/>
        <d v="2019-02-14T00:00:00"/>
        <d v="2022-06-20T00:00:00"/>
        <d v="2022-11-22T00:00:00"/>
        <d v="2021-02-12T00:00:00"/>
        <d v="2019-10-03T00:00:00"/>
        <d v="2022-10-29T00:00:00"/>
        <d v="2017-09-12T00:00:00"/>
        <d v="2023-03-21T00:00:00"/>
        <d v="2021-03-23T00:00:00"/>
        <d v="2023-06-07T00:00:00"/>
        <d v="2016-08-04T00:00:00"/>
        <d v="2022-02-14T00:00:00"/>
        <d v="2022-09-18T00:00:00"/>
        <d v="2024-12-05T00:00:00"/>
        <d v="2025-03-05T00:00:00"/>
        <d v="2022-07-28T00:00:00"/>
        <d v="2022-10-19T00:00:00"/>
        <d v="2019-04-04T00:00:00"/>
        <d v="2019-02-22T00:00:00"/>
        <d v="2025-02-27T00:00:00"/>
        <d v="2025-04-10T00:00:00"/>
        <d v="2021-08-02T00:00:00"/>
        <d v="2015-05-27T00:00:00"/>
        <d v="2025-04-27T00:00:00"/>
        <d v="2022-01-21T00:00:00"/>
        <d v="2023-07-19T00:00:00"/>
        <d v="2024-12-26T00:00:00"/>
        <d v="2025-03-17T00:00:00"/>
        <d v="2021-05-29T00:00:00"/>
        <d v="2019-03-12T00:00:00"/>
        <d v="2022-05-04T00:00:00"/>
        <d v="2019-07-31T00:00:00"/>
        <d v="2014-07-09T00:00:00"/>
        <d v="2025-03-11T00:00:00"/>
        <d v="2018-05-16T00:00:00"/>
        <d v="2021-09-23T00:00:00"/>
        <d v="2024-01-24T00:00:00"/>
        <d v="2024-02-06T00:00:00"/>
        <d v="2022-11-17T00:00:00"/>
        <d v="2023-09-28T00:00:00"/>
        <d v="2017-06-01T00:00:00"/>
        <d v="2024-12-16T00:00:00"/>
        <d v="2023-01-08T00:00:00"/>
        <d v="2021-05-27T00:00:00"/>
        <d v="2019-04-23T00:00:00"/>
        <d v="2024-05-29T00:00:00"/>
        <d v="2023-07-07T00:00:00"/>
        <d v="2025-05-20T00:00:00"/>
        <d v="2020-12-04T00:00:00"/>
        <d v="2021-12-20T00:00:00"/>
        <d v="2019-01-08T00:00:00"/>
        <d v="2020-07-20T00:00:00"/>
        <d v="2021-06-19T00:00:00"/>
        <d v="2022-02-07T00:00:00"/>
        <d v="2025-01-08T00:00:00"/>
        <d v="2021-03-30T00:00:00"/>
        <d v="2024-09-17T00:00:00"/>
        <d v="2019-06-17T00:00:00"/>
        <d v="2018-07-16T00:00:00"/>
        <d v="2019-12-18T00:00:00"/>
        <d v="2019-01-04T00:00:00"/>
        <d v="2024-01-02T00:00:00"/>
        <d v="2021-12-18T00:00:00"/>
        <d v="2023-01-31T00:00:00"/>
        <d v="2023-07-31T00:00:00"/>
        <d v="2013-01-11T00:00:00"/>
        <d v="2021-04-01T00:00:00"/>
        <d v="2023-04-26T00:00:00"/>
        <d v="2021-11-09T00:00:00"/>
        <d v="2024-03-15T00:00:00"/>
        <d v="2013-03-21T00:00:00"/>
        <d v="2024-03-02T00:00:00"/>
        <d v="2023-11-23T00:00:00"/>
        <d v="2024-04-24T00:00:00"/>
        <d v="2025-02-07T00:00:00"/>
        <d v="2021-05-07T00:00:00"/>
        <d v="2018-03-28T00:00:00"/>
        <d v="2019-06-21T00:00:00"/>
        <d v="2021-02-13T00:00:00"/>
        <d v="2022-03-11T00:00:00"/>
        <d v="2012-12-20T00:00:00"/>
        <d v="2021-01-17T00:00:00"/>
        <d v="2022-02-03T00:00:00"/>
        <d v="2018-07-10T00:00:00"/>
        <d v="2023-09-11T00:00:00"/>
        <d v="2025-02-05T00:00:00"/>
        <d v="2023-10-08T00:00:00"/>
        <d v="2023-02-20T00:00:00"/>
        <d v="2023-09-27T00:00:00"/>
        <d v="2023-11-28T00:00:00"/>
        <d v="2023-06-18T00:00:00"/>
        <d v="2017-06-27T00:00:00"/>
      </sharedItems>
      <fieldGroup par="11"/>
    </cacheField>
    <cacheField name="EXP DATE" numFmtId="14">
      <sharedItems containsSemiMixedTypes="0" containsNonDate="0" containsDate="1" containsString="0" minDate="2011-06-18T00:00:00" maxDate="2027-12-10T00:00:00"/>
    </cacheField>
    <cacheField name="STATUS" numFmtId="0">
      <sharedItems count="5">
        <s v="Active"/>
        <s v="Expired"/>
        <s v="Lapsed"/>
        <s v="Ethics Violation"/>
        <s v="Inactive"/>
      </sharedItems>
    </cacheField>
    <cacheField name="COUNTY" numFmtId="0">
      <sharedItems count="8">
        <s v="Schuylkill"/>
        <s v="Berks"/>
        <s v="Lancaster"/>
        <s v="Delaware"/>
        <s v="Chester"/>
        <s v="Montgomery"/>
        <s v="Philadelphia"/>
        <s v="Bucks"/>
      </sharedItems>
    </cacheField>
    <cacheField name="Months (ISSUE DATE)" numFmtId="0" databaseField="0">
      <fieldGroup base="5">
        <rangePr groupBy="months" startDate="2009-06-12T00:00:00" endDate="2025-06-13T00:00:00"/>
        <groupItems count="14">
          <s v="&lt;6/12/2009"/>
          <s v="Jan"/>
          <s v="Feb"/>
          <s v="Mar"/>
          <s v="Apr"/>
          <s v="May"/>
          <s v="Jun"/>
          <s v="Jul"/>
          <s v="Aug"/>
          <s v="Sep"/>
          <s v="Oct"/>
          <s v="Nov"/>
          <s v="Dec"/>
          <s v="&gt;6/13/2025"/>
        </groupItems>
      </fieldGroup>
    </cacheField>
    <cacheField name="Quarters (ISSUE DATE)" numFmtId="0" databaseField="0">
      <fieldGroup base="5">
        <rangePr groupBy="quarters" startDate="2009-06-12T00:00:00" endDate="2025-06-13T00:00:00"/>
        <groupItems count="6">
          <s v="&lt;6/12/2009"/>
          <s v="Qtr1"/>
          <s v="Qtr2"/>
          <s v="Qtr3"/>
          <s v="Qtr4"/>
          <s v="&gt;6/13/2025"/>
        </groupItems>
      </fieldGroup>
    </cacheField>
    <cacheField name="Years (ISSUE DATE)" numFmtId="0" databaseField="0">
      <fieldGroup base="5">
        <rangePr groupBy="years" startDate="2009-06-12T00:00:00" endDate="2025-06-13T00:00:00"/>
        <groupItems count="19">
          <s v="&lt;6/12/2009"/>
          <s v="2009"/>
          <s v="2010"/>
          <s v="2011"/>
          <s v="2012"/>
          <s v="2013"/>
          <s v="2014"/>
          <s v="2015"/>
          <s v="2016"/>
          <s v="2017"/>
          <s v="2018"/>
          <s v="2019"/>
          <s v="2020"/>
          <s v="2021"/>
          <s v="2022"/>
          <s v="2023"/>
          <s v="2024"/>
          <s v="2025"/>
          <s v="&gt;6/13/2025"/>
        </groupItems>
      </fieldGroup>
    </cacheField>
  </cacheFields>
  <extLst>
    <ext xmlns:x14="http://schemas.microsoft.com/office/spreadsheetml/2009/9/main" uri="{725AE2AE-9491-48be-B2B4-4EB974FC3084}">
      <x14:pivotCacheDefinition pivotCacheId="2955772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77">
  <r>
    <n v="1"/>
    <s v="(Jaclyn) Jackie Zukoski"/>
    <s v="minersville"/>
    <x v="0"/>
    <n v="19035"/>
    <x v="0"/>
    <d v="2025-08-22T00:00:00"/>
    <x v="0"/>
    <x v="0"/>
  </r>
  <r>
    <n v="2"/>
    <s v="Aaron Hutson"/>
    <s v="reading"/>
    <x v="0"/>
    <n v="22097"/>
    <x v="1"/>
    <d v="2027-06-04T00:00:00"/>
    <x v="0"/>
    <x v="1"/>
  </r>
  <r>
    <n v="3"/>
    <s v="Aaron Prager"/>
    <s v="reading"/>
    <x v="0"/>
    <n v="11685"/>
    <x v="2"/>
    <d v="2020-06-18T00:00:00"/>
    <x v="1"/>
    <x v="1"/>
  </r>
  <r>
    <n v="4"/>
    <s v="Abigail Di Sanzo"/>
    <s v="lancaster"/>
    <x v="0"/>
    <n v="16166"/>
    <x v="3"/>
    <d v="2023-04-07T00:00:00"/>
    <x v="1"/>
    <x v="2"/>
  </r>
  <r>
    <n v="5"/>
    <s v="Adam  Birch"/>
    <s v="crum lynne"/>
    <x v="0"/>
    <n v="17516"/>
    <x v="4"/>
    <d v="2026-06-02T00:00:00"/>
    <x v="0"/>
    <x v="3"/>
  </r>
  <r>
    <n v="6"/>
    <s v="Adam Sledd"/>
    <s v="downingtown"/>
    <x v="0"/>
    <n v="9144"/>
    <x v="5"/>
    <d v="2027-03-20T00:00:00"/>
    <x v="0"/>
    <x v="4"/>
  </r>
  <r>
    <n v="7"/>
    <s v="Adam Sledd"/>
    <s v="downingtown"/>
    <x v="1"/>
    <n v="9144"/>
    <x v="6"/>
    <d v="2027-03-20T00:00:00"/>
    <x v="0"/>
    <x v="4"/>
  </r>
  <r>
    <n v="8"/>
    <s v="Adam Sledd"/>
    <s v="downingtown"/>
    <x v="2"/>
    <n v="9144"/>
    <x v="7"/>
    <d v="2027-02-27T00:00:00"/>
    <x v="0"/>
    <x v="4"/>
  </r>
  <r>
    <n v="9"/>
    <s v="Ademola Wood"/>
    <s v="norristown"/>
    <x v="1"/>
    <n v="18694"/>
    <x v="8"/>
    <d v="2027-07-05T00:00:00"/>
    <x v="0"/>
    <x v="5"/>
  </r>
  <r>
    <n v="10"/>
    <s v="Adonna Rowe"/>
    <s v="philadelphia"/>
    <x v="0"/>
    <n v="19554"/>
    <x v="1"/>
    <d v="2027-06-04T00:00:00"/>
    <x v="0"/>
    <x v="6"/>
  </r>
  <r>
    <n v="11"/>
    <s v="Adrianne Lynch"/>
    <s v="wallingford"/>
    <x v="0"/>
    <n v="10376"/>
    <x v="9"/>
    <d v="2021-09-08T00:00:00"/>
    <x v="1"/>
    <x v="3"/>
  </r>
  <r>
    <n v="12"/>
    <s v="Aimee Clark"/>
    <s v="feasterville trevose"/>
    <x v="0"/>
    <n v="11990"/>
    <x v="10"/>
    <d v="2022-08-01T00:00:00"/>
    <x v="1"/>
    <x v="7"/>
  </r>
  <r>
    <n v="13"/>
    <s v="Aimee Clark"/>
    <s v="feasterville trevose"/>
    <x v="1"/>
    <n v="11990"/>
    <x v="11"/>
    <d v="2022-08-21T00:00:00"/>
    <x v="1"/>
    <x v="7"/>
  </r>
  <r>
    <n v="14"/>
    <s v="Aimee Clark"/>
    <s v="feasterville trevose"/>
    <x v="2"/>
    <n v="11990"/>
    <x v="12"/>
    <d v="2023-10-09T00:00:00"/>
    <x v="1"/>
    <x v="7"/>
  </r>
  <r>
    <n v="15"/>
    <s v="Alan Fenstermaker"/>
    <s v="phoenixville"/>
    <x v="0"/>
    <n v="20685"/>
    <x v="13"/>
    <d v="2026-08-15T00:00:00"/>
    <x v="0"/>
    <x v="4"/>
  </r>
  <r>
    <n v="16"/>
    <s v="Albert Pickett"/>
    <s v="philadelphia"/>
    <x v="0"/>
    <n v="8398"/>
    <x v="14"/>
    <d v="2015-04-29T00:00:00"/>
    <x v="1"/>
    <x v="6"/>
  </r>
  <r>
    <n v="17"/>
    <s v="Albert Rementer"/>
    <s v="philadelphia"/>
    <x v="0"/>
    <n v="9611"/>
    <x v="15"/>
    <d v="2018-05-23T00:00:00"/>
    <x v="1"/>
    <x v="6"/>
  </r>
  <r>
    <n v="18"/>
    <s v="Alec Keck"/>
    <s v="lancaster"/>
    <x v="0"/>
    <n v="20773"/>
    <x v="16"/>
    <d v="2026-08-29T00:00:00"/>
    <x v="0"/>
    <x v="2"/>
  </r>
  <r>
    <n v="19"/>
    <s v="Alejandro Galarza"/>
    <s v="lancaster"/>
    <x v="0"/>
    <n v="10808"/>
    <x v="17"/>
    <d v="2020-03-13T00:00:00"/>
    <x v="1"/>
    <x v="2"/>
  </r>
  <r>
    <n v="20"/>
    <s v="Alex Bloomer"/>
    <s v="bensalem"/>
    <x v="0"/>
    <n v="17863"/>
    <x v="18"/>
    <d v="2026-09-27T00:00:00"/>
    <x v="0"/>
    <x v="7"/>
  </r>
  <r>
    <n v="21"/>
    <s v="Alex Bloomer"/>
    <s v="bensalem"/>
    <x v="1"/>
    <n v="17863"/>
    <x v="18"/>
    <d v="2026-09-27T00:00:00"/>
    <x v="0"/>
    <x v="7"/>
  </r>
  <r>
    <n v="22"/>
    <s v="Alexa Geist"/>
    <s v="bristol"/>
    <x v="0"/>
    <n v="14009"/>
    <x v="19"/>
    <d v="2025-07-24T00:00:00"/>
    <x v="0"/>
    <x v="7"/>
  </r>
  <r>
    <n v="23"/>
    <s v="Alexander Brengle"/>
    <s v="philadelphia"/>
    <x v="0"/>
    <n v="13594"/>
    <x v="20"/>
    <d v="2025-10-09T00:00:00"/>
    <x v="0"/>
    <x v="6"/>
  </r>
  <r>
    <n v="24"/>
    <s v="Alexander Van Houten"/>
    <s v="warrington"/>
    <x v="0"/>
    <n v="10090"/>
    <x v="21"/>
    <d v="2019-03-21T00:00:00"/>
    <x v="1"/>
    <x v="7"/>
  </r>
  <r>
    <n v="25"/>
    <s v="Alexandra Canale"/>
    <s v="pottstown"/>
    <x v="0"/>
    <n v="20708"/>
    <x v="22"/>
    <d v="2026-08-20T00:00:00"/>
    <x v="0"/>
    <x v="4"/>
  </r>
  <r>
    <n v="26"/>
    <s v="Alexandra Perez"/>
    <s v="tamaqua"/>
    <x v="0"/>
    <n v="17028"/>
    <x v="23"/>
    <d v="2025-12-10T00:00:00"/>
    <x v="0"/>
    <x v="0"/>
  </r>
  <r>
    <n v="27"/>
    <s v="Alexandra Rinaldi"/>
    <s v="sellersville"/>
    <x v="0"/>
    <n v="9691"/>
    <x v="24"/>
    <d v="2020-06-27T00:00:00"/>
    <x v="1"/>
    <x v="7"/>
  </r>
  <r>
    <n v="28"/>
    <s v="Alexandra Sharf"/>
    <s v="horsham"/>
    <x v="0"/>
    <n v="18447"/>
    <x v="25"/>
    <d v="2027-03-25T00:00:00"/>
    <x v="0"/>
    <x v="5"/>
  </r>
  <r>
    <n v="29"/>
    <s v="Alexandra Sharf"/>
    <s v="horsham"/>
    <x v="1"/>
    <n v="18447"/>
    <x v="26"/>
    <d v="2027-03-25T00:00:00"/>
    <x v="0"/>
    <x v="5"/>
  </r>
  <r>
    <n v="30"/>
    <s v="Alexandra Szymanski"/>
    <s v="lititz"/>
    <x v="0"/>
    <n v="13722"/>
    <x v="27"/>
    <d v="2021-06-24T00:00:00"/>
    <x v="1"/>
    <x v="2"/>
  </r>
  <r>
    <n v="31"/>
    <s v="Alexandria DelGatto"/>
    <s v="boothwyn"/>
    <x v="0"/>
    <n v="11293"/>
    <x v="28"/>
    <d v="2024-05-04T00:00:00"/>
    <x v="1"/>
    <x v="3"/>
  </r>
  <r>
    <n v="32"/>
    <s v="Alexis Mercado"/>
    <s v="mount joy"/>
    <x v="1"/>
    <n v="14463"/>
    <x v="29"/>
    <d v="2021-08-27T00:00:00"/>
    <x v="1"/>
    <x v="2"/>
  </r>
  <r>
    <n v="33"/>
    <s v="Alice Ciocco"/>
    <s v="berwyn"/>
    <x v="1"/>
    <n v="12828"/>
    <x v="30"/>
    <d v="2021-02-08T00:00:00"/>
    <x v="1"/>
    <x v="4"/>
  </r>
  <r>
    <n v="34"/>
    <s v="Alice Dillman"/>
    <s v="reading"/>
    <x v="0"/>
    <n v="9427"/>
    <x v="31"/>
    <d v="2017-12-03T00:00:00"/>
    <x v="1"/>
    <x v="1"/>
  </r>
  <r>
    <n v="35"/>
    <s v="Alicia Sanchez"/>
    <s v="philadelphia"/>
    <x v="0"/>
    <n v="10011"/>
    <x v="32"/>
    <d v="2024-04-15T00:00:00"/>
    <x v="1"/>
    <x v="6"/>
  </r>
  <r>
    <n v="36"/>
    <s v="Alicia Sessions"/>
    <s v="philadelphia"/>
    <x v="0"/>
    <n v="8076"/>
    <x v="33"/>
    <d v="2014-04-05T00:00:00"/>
    <x v="1"/>
    <x v="6"/>
  </r>
  <r>
    <n v="37"/>
    <s v="Alisen Vanger"/>
    <s v="tamaqua"/>
    <x v="0"/>
    <n v="20240"/>
    <x v="34"/>
    <d v="2026-05-09T00:00:00"/>
    <x v="0"/>
    <x v="0"/>
  </r>
  <r>
    <n v="38"/>
    <s v="Alisha Hickey"/>
    <s v="north wales"/>
    <x v="0"/>
    <n v="11091"/>
    <x v="35"/>
    <d v="2026-04-10T00:00:00"/>
    <x v="0"/>
    <x v="5"/>
  </r>
  <r>
    <n v="39"/>
    <s v="Alison Dunn"/>
    <s v="bristol"/>
    <x v="0"/>
    <n v="10658"/>
    <x v="36"/>
    <d v="2026-01-18T00:00:00"/>
    <x v="0"/>
    <x v="7"/>
  </r>
  <r>
    <n v="40"/>
    <s v="Alison Dunn"/>
    <s v="bristol"/>
    <x v="1"/>
    <n v="10658"/>
    <x v="37"/>
    <d v="2026-01-18T00:00:00"/>
    <x v="0"/>
    <x v="7"/>
  </r>
  <r>
    <n v="41"/>
    <s v="Alison Dunn"/>
    <s v="bristol"/>
    <x v="2"/>
    <n v="10658"/>
    <x v="38"/>
    <d v="2026-01-18T00:00:00"/>
    <x v="0"/>
    <x v="7"/>
  </r>
  <r>
    <n v="42"/>
    <s v="Alison Eibl"/>
    <s v="bristol"/>
    <x v="1"/>
    <n v="20452"/>
    <x v="39"/>
    <d v="2026-06-19T00:00:00"/>
    <x v="0"/>
    <x v="7"/>
  </r>
  <r>
    <n v="43"/>
    <s v="Alison Slickers"/>
    <s v="philadelphia"/>
    <x v="0"/>
    <n v="9393"/>
    <x v="40"/>
    <d v="2021-10-14T00:00:00"/>
    <x v="1"/>
    <x v="6"/>
  </r>
  <r>
    <n v="44"/>
    <s v="Alison Tarrant"/>
    <s v="coatesville"/>
    <x v="0"/>
    <n v="13636"/>
    <x v="19"/>
    <d v="2021-07-24T00:00:00"/>
    <x v="1"/>
    <x v="4"/>
  </r>
  <r>
    <n v="45"/>
    <s v="Allen Johnson"/>
    <s v="levittown"/>
    <x v="0"/>
    <n v="8500"/>
    <x v="41"/>
    <d v="2017-06-25T00:00:00"/>
    <x v="1"/>
    <x v="7"/>
  </r>
  <r>
    <n v="46"/>
    <s v="Allen Pratt"/>
    <s v="philadelphia"/>
    <x v="0"/>
    <n v="18277"/>
    <x v="42"/>
    <d v="2025-02-04T00:00:00"/>
    <x v="2"/>
    <x v="6"/>
  </r>
  <r>
    <n v="47"/>
    <s v="Allen Pratt"/>
    <s v="philadelphia"/>
    <x v="1"/>
    <n v="18277"/>
    <x v="43"/>
    <d v="2025-02-03T00:00:00"/>
    <x v="2"/>
    <x v="6"/>
  </r>
  <r>
    <n v="48"/>
    <s v="Allison Dracha"/>
    <s v="temple"/>
    <x v="0"/>
    <n v="19300"/>
    <x v="44"/>
    <d v="2025-10-28T00:00:00"/>
    <x v="0"/>
    <x v="1"/>
  </r>
  <r>
    <n v="49"/>
    <s v="Allison Dracha"/>
    <s v="temple"/>
    <x v="1"/>
    <n v="19300"/>
    <x v="45"/>
    <d v="2025-10-25T00:00:00"/>
    <x v="0"/>
    <x v="1"/>
  </r>
  <r>
    <n v="50"/>
    <s v="Allison Travis"/>
    <s v="philadelphia"/>
    <x v="0"/>
    <n v="19873"/>
    <x v="46"/>
    <d v="2026-02-14T00:00:00"/>
    <x v="0"/>
    <x v="6"/>
  </r>
  <r>
    <n v="51"/>
    <s v="Allison Wray"/>
    <s v="philadelphia"/>
    <x v="0"/>
    <n v="10659"/>
    <x v="36"/>
    <d v="2026-01-18T00:00:00"/>
    <x v="0"/>
    <x v="6"/>
  </r>
  <r>
    <n v="52"/>
    <s v="Allycia Barr"/>
    <s v="ephrata"/>
    <x v="0"/>
    <n v="17233"/>
    <x v="47"/>
    <d v="2026-03-13T00:00:00"/>
    <x v="0"/>
    <x v="2"/>
  </r>
  <r>
    <n v="53"/>
    <s v="Alma Payne"/>
    <s v="philadelphia"/>
    <x v="0"/>
    <n v="10008"/>
    <x v="48"/>
    <d v="2019-01-18T00:00:00"/>
    <x v="1"/>
    <x v="6"/>
  </r>
  <r>
    <n v="54"/>
    <s v="Alonzo Cooper"/>
    <s v="reading"/>
    <x v="0"/>
    <n v="12571"/>
    <x v="49"/>
    <d v="2020-12-11T00:00:00"/>
    <x v="1"/>
    <x v="1"/>
  </r>
  <r>
    <n v="55"/>
    <s v="Althea Josephs-Evans"/>
    <s v="reading"/>
    <x v="0"/>
    <n v="9880"/>
    <x v="50"/>
    <d v="2018-10-27T00:00:00"/>
    <x v="1"/>
    <x v="1"/>
  </r>
  <r>
    <n v="56"/>
    <s v="Alysa Lightcap"/>
    <s v="reading"/>
    <x v="0"/>
    <n v="15290"/>
    <x v="51"/>
    <d v="2022-06-30T00:00:00"/>
    <x v="1"/>
    <x v="1"/>
  </r>
  <r>
    <n v="57"/>
    <s v="Alyssa Fillman"/>
    <s v="pottstown"/>
    <x v="0"/>
    <n v="13706"/>
    <x v="27"/>
    <d v="2021-06-24T00:00:00"/>
    <x v="1"/>
    <x v="4"/>
  </r>
  <r>
    <n v="58"/>
    <s v="Alyssa Goodwin"/>
    <s v="philadelphia"/>
    <x v="0"/>
    <n v="15697"/>
    <x v="52"/>
    <d v="2026-12-07T00:00:00"/>
    <x v="0"/>
    <x v="6"/>
  </r>
  <r>
    <n v="59"/>
    <s v="Alyssa Hari"/>
    <s v="philadelphia"/>
    <x v="0"/>
    <n v="22017"/>
    <x v="53"/>
    <d v="2027-05-23T00:00:00"/>
    <x v="0"/>
    <x v="6"/>
  </r>
  <r>
    <n v="60"/>
    <s v="Alyssa Sarazin"/>
    <s v="philadelphia"/>
    <x v="0"/>
    <n v="21104"/>
    <x v="54"/>
    <d v="2026-11-09T00:00:00"/>
    <x v="0"/>
    <x v="6"/>
  </r>
  <r>
    <n v="61"/>
    <s v="Amalthea Leland"/>
    <s v="norristown"/>
    <x v="0"/>
    <n v="14546"/>
    <x v="55"/>
    <d v="2025-12-15T00:00:00"/>
    <x v="0"/>
    <x v="5"/>
  </r>
  <r>
    <n v="62"/>
    <s v="Amalthea Leland"/>
    <s v="norristown"/>
    <x v="1"/>
    <n v="14546"/>
    <x v="56"/>
    <d v="2025-11-03T00:00:00"/>
    <x v="0"/>
    <x v="5"/>
  </r>
  <r>
    <n v="63"/>
    <s v="Amanda  Pitt"/>
    <s v="harleysville"/>
    <x v="0"/>
    <n v="16126"/>
    <x v="57"/>
    <d v="2027-03-25T00:00:00"/>
    <x v="0"/>
    <x v="5"/>
  </r>
  <r>
    <n v="64"/>
    <s v="Amanda Burns"/>
    <s v="temple"/>
    <x v="1"/>
    <n v="8596"/>
    <x v="58"/>
    <d v="2026-02-17T00:00:00"/>
    <x v="0"/>
    <x v="1"/>
  </r>
  <r>
    <n v="65"/>
    <s v="Amanda Carneiro"/>
    <s v="dublin"/>
    <x v="0"/>
    <n v="20414"/>
    <x v="59"/>
    <d v="2026-06-12T00:00:00"/>
    <x v="0"/>
    <x v="7"/>
  </r>
  <r>
    <n v="66"/>
    <s v="Amanda Davidheiser"/>
    <s v="blandon"/>
    <x v="0"/>
    <n v="9183"/>
    <x v="60"/>
    <d v="2021-05-20T00:00:00"/>
    <x v="1"/>
    <x v="1"/>
  </r>
  <r>
    <n v="67"/>
    <s v="Amanda Drummond"/>
    <s v="philadelphia"/>
    <x v="0"/>
    <n v="9539"/>
    <x v="61"/>
    <d v="2018-03-11T00:00:00"/>
    <x v="1"/>
    <x v="6"/>
  </r>
  <r>
    <n v="68"/>
    <s v="Amanda Flasher"/>
    <s v="spring city"/>
    <x v="0"/>
    <n v="16560"/>
    <x v="62"/>
    <d v="2023-06-29T00:00:00"/>
    <x v="1"/>
    <x v="4"/>
  </r>
  <r>
    <n v="69"/>
    <s v="Amanda Leary"/>
    <s v="quakertown"/>
    <x v="0"/>
    <n v="22098"/>
    <x v="1"/>
    <d v="2027-06-04T00:00:00"/>
    <x v="0"/>
    <x v="7"/>
  </r>
  <r>
    <n v="70"/>
    <s v="Amanda Monturano"/>
    <s v="warminster"/>
    <x v="0"/>
    <n v="10654"/>
    <x v="36"/>
    <d v="2024-01-18T00:00:00"/>
    <x v="1"/>
    <x v="7"/>
  </r>
  <r>
    <n v="71"/>
    <s v="Amanda Rook"/>
    <s v="warminster"/>
    <x v="0"/>
    <n v="10117"/>
    <x v="63"/>
    <d v="2019-04-21T00:00:00"/>
    <x v="1"/>
    <x v="7"/>
  </r>
  <r>
    <n v="72"/>
    <s v="Amanda Swallow"/>
    <s v="ridley park"/>
    <x v="0"/>
    <n v="21307"/>
    <x v="64"/>
    <d v="2026-12-24T00:00:00"/>
    <x v="0"/>
    <x v="3"/>
  </r>
  <r>
    <n v="73"/>
    <s v="Amani Gethers"/>
    <s v="philadelphia"/>
    <x v="0"/>
    <n v="18466"/>
    <x v="65"/>
    <d v="2025-03-29T00:00:00"/>
    <x v="2"/>
    <x v="6"/>
  </r>
  <r>
    <n v="74"/>
    <s v="Amaryllis Boger"/>
    <s v="lancaster"/>
    <x v="0"/>
    <n v="20389"/>
    <x v="66"/>
    <d v="2026-06-07T00:00:00"/>
    <x v="0"/>
    <x v="2"/>
  </r>
  <r>
    <n v="75"/>
    <s v="Amber  Costarella"/>
    <s v="millersville"/>
    <x v="0"/>
    <n v="21572"/>
    <x v="67"/>
    <d v="2027-02-19T00:00:00"/>
    <x v="0"/>
    <x v="2"/>
  </r>
  <r>
    <n v="76"/>
    <s v="Amber Cox"/>
    <s v="bristol"/>
    <x v="0"/>
    <n v="16119"/>
    <x v="57"/>
    <d v="2027-03-25T00:00:00"/>
    <x v="0"/>
    <x v="7"/>
  </r>
  <r>
    <n v="77"/>
    <s v="Amber Finnegan"/>
    <s v="philadelphia"/>
    <x v="0"/>
    <n v="20503"/>
    <x v="68"/>
    <d v="2026-06-26T00:00:00"/>
    <x v="0"/>
    <x v="6"/>
  </r>
  <r>
    <n v="78"/>
    <s v="Amber Razzano"/>
    <s v="reading"/>
    <x v="0"/>
    <n v="16836"/>
    <x v="69"/>
    <d v="2025-09-14T00:00:00"/>
    <x v="0"/>
    <x v="1"/>
  </r>
  <r>
    <n v="79"/>
    <s v="Amear Mitchell"/>
    <s v="philadelphia"/>
    <x v="1"/>
    <n v="16676"/>
    <x v="70"/>
    <d v="2023-07-15T00:00:00"/>
    <x v="1"/>
    <x v="6"/>
  </r>
  <r>
    <n v="80"/>
    <s v="Amelia Petersen"/>
    <s v="philadelphia"/>
    <x v="0"/>
    <n v="8563"/>
    <x v="71"/>
    <d v="2015-07-30T00:00:00"/>
    <x v="1"/>
    <x v="6"/>
  </r>
  <r>
    <n v="81"/>
    <s v="Amy  Incledon"/>
    <s v="reading"/>
    <x v="0"/>
    <n v="11824"/>
    <x v="72"/>
    <d v="2022-06-28T00:00:00"/>
    <x v="1"/>
    <x v="1"/>
  </r>
  <r>
    <n v="82"/>
    <s v="Amy Bostwick"/>
    <s v="new hope"/>
    <x v="0"/>
    <n v="8965"/>
    <x v="73"/>
    <d v="2016-07-29T00:00:00"/>
    <x v="1"/>
    <x v="7"/>
  </r>
  <r>
    <n v="83"/>
    <s v="Amy Highley"/>
    <s v="robesonia"/>
    <x v="0"/>
    <n v="9187"/>
    <x v="60"/>
    <d v="2021-05-20T00:00:00"/>
    <x v="1"/>
    <x v="1"/>
  </r>
  <r>
    <n v="84"/>
    <s v="Amy Horning"/>
    <s v="reading"/>
    <x v="0"/>
    <n v="12359"/>
    <x v="74"/>
    <d v="2020-09-26T00:00:00"/>
    <x v="1"/>
    <x v="1"/>
  </r>
  <r>
    <n v="85"/>
    <s v="Amy Kunkle"/>
    <s v="doylestown"/>
    <x v="1"/>
    <n v="12953"/>
    <x v="75"/>
    <d v="2027-03-02T00:00:00"/>
    <x v="0"/>
    <x v="7"/>
  </r>
  <r>
    <n v="86"/>
    <s v="Amy Mitchell"/>
    <s v="sinking spring"/>
    <x v="0"/>
    <n v="7649"/>
    <x v="76"/>
    <d v="2022-10-08T00:00:00"/>
    <x v="1"/>
    <x v="1"/>
  </r>
  <r>
    <n v="87"/>
    <s v="Amy Rapp"/>
    <s v="reading"/>
    <x v="0"/>
    <n v="11831"/>
    <x v="72"/>
    <d v="2020-06-28T00:00:00"/>
    <x v="1"/>
    <x v="1"/>
  </r>
  <r>
    <n v="88"/>
    <s v="Amy Schmidt"/>
    <s v="doylestown"/>
    <x v="0"/>
    <n v="10169"/>
    <x v="77"/>
    <d v="2021-06-13T00:00:00"/>
    <x v="1"/>
    <x v="7"/>
  </r>
  <r>
    <n v="89"/>
    <s v="Amy Schmidt"/>
    <s v="doylestown"/>
    <x v="1"/>
    <n v="10169"/>
    <x v="78"/>
    <d v="2021-05-01T00:00:00"/>
    <x v="1"/>
    <x v="7"/>
  </r>
  <r>
    <n v="90"/>
    <s v="Anais Clemente Colon"/>
    <s v="reading"/>
    <x v="0"/>
    <n v="9877"/>
    <x v="50"/>
    <d v="2020-10-27T00:00:00"/>
    <x v="1"/>
    <x v="1"/>
  </r>
  <r>
    <n v="91"/>
    <s v="Andrea Brown"/>
    <s v="lancaster"/>
    <x v="0"/>
    <n v="10163"/>
    <x v="77"/>
    <d v="2023-06-13T00:00:00"/>
    <x v="1"/>
    <x v="2"/>
  </r>
  <r>
    <n v="92"/>
    <s v="Andrea Cicchetti"/>
    <s v="richboro"/>
    <x v="0"/>
    <n v="8552"/>
    <x v="71"/>
    <d v="2015-07-30T00:00:00"/>
    <x v="1"/>
    <x v="7"/>
  </r>
  <r>
    <n v="93"/>
    <s v="Andrea Dames"/>
    <s v="langhorne"/>
    <x v="0"/>
    <n v="10250"/>
    <x v="79"/>
    <d v="2019-06-22T00:00:00"/>
    <x v="1"/>
    <x v="7"/>
  </r>
  <r>
    <n v="94"/>
    <s v="Andre'a Floyd"/>
    <s v="philadelphia"/>
    <x v="0"/>
    <n v="8936"/>
    <x v="80"/>
    <d v="2016-06-27T00:00:00"/>
    <x v="1"/>
    <x v="6"/>
  </r>
  <r>
    <n v="95"/>
    <s v="Andrea Lamour-Harrington"/>
    <s v="philadelphia"/>
    <x v="0"/>
    <n v="8332"/>
    <x v="81"/>
    <d v="2015-02-20T00:00:00"/>
    <x v="1"/>
    <x v="6"/>
  </r>
  <r>
    <n v="96"/>
    <s v="Andrea Moser"/>
    <s v="bechtelsville"/>
    <x v="0"/>
    <n v="17771"/>
    <x v="82"/>
    <d v="2026-08-18T00:00:00"/>
    <x v="0"/>
    <x v="1"/>
  </r>
  <r>
    <n v="97"/>
    <s v="Andrea Moser"/>
    <s v="bechtelsville"/>
    <x v="1"/>
    <n v="17771"/>
    <x v="83"/>
    <d v="2026-07-26T00:00:00"/>
    <x v="0"/>
    <x v="1"/>
  </r>
  <r>
    <n v="98"/>
    <s v="Andrea Rivera"/>
    <s v="philadelphia"/>
    <x v="0"/>
    <n v="14422"/>
    <x v="84"/>
    <d v="2021-08-20T00:00:00"/>
    <x v="1"/>
    <x v="6"/>
  </r>
  <r>
    <n v="99"/>
    <s v="Andrea Rivera"/>
    <s v="philadelphia"/>
    <x v="1"/>
    <n v="14422"/>
    <x v="85"/>
    <d v="2022-01-07T00:00:00"/>
    <x v="1"/>
    <x v="6"/>
  </r>
  <r>
    <n v="100"/>
    <s v="Andrea Rose"/>
    <s v="birdsboro"/>
    <x v="0"/>
    <n v="17339"/>
    <x v="86"/>
    <d v="2026-05-06T00:00:00"/>
    <x v="0"/>
    <x v="1"/>
  </r>
  <r>
    <n v="101"/>
    <s v="Andrea Rose"/>
    <s v="birdsboro"/>
    <x v="1"/>
    <n v="17339"/>
    <x v="87"/>
    <d v="2026-04-11T00:00:00"/>
    <x v="0"/>
    <x v="1"/>
  </r>
  <r>
    <n v="102"/>
    <s v="Andrea Sledge"/>
    <s v="mohnton"/>
    <x v="0"/>
    <n v="10596"/>
    <x v="88"/>
    <d v="2025-12-12T00:00:00"/>
    <x v="0"/>
    <x v="1"/>
  </r>
  <r>
    <n v="103"/>
    <s v="Andrea Stevenson"/>
    <s v="philadelphia"/>
    <x v="0"/>
    <n v="8273"/>
    <x v="89"/>
    <d v="2016-12-12T00:00:00"/>
    <x v="1"/>
    <x v="6"/>
  </r>
  <r>
    <n v="104"/>
    <s v="Andres Rodriguez, Jr., II"/>
    <s v="upper darby"/>
    <x v="0"/>
    <n v="19953"/>
    <x v="90"/>
    <d v="2026-03-01T00:00:00"/>
    <x v="0"/>
    <x v="3"/>
  </r>
  <r>
    <n v="105"/>
    <s v="Andrew Bassininsky"/>
    <s v="pottsville"/>
    <x v="0"/>
    <n v="15072"/>
    <x v="91"/>
    <d v="2022-01-27T00:00:00"/>
    <x v="1"/>
    <x v="0"/>
  </r>
  <r>
    <n v="106"/>
    <s v="Andrew Deery"/>
    <s v="phoenixville"/>
    <x v="1"/>
    <n v="15815"/>
    <x v="92"/>
    <d v="2023-01-08T00:00:00"/>
    <x v="1"/>
    <x v="4"/>
  </r>
  <r>
    <n v="107"/>
    <s v="Andrew Dooley"/>
    <s v="hatboro"/>
    <x v="0"/>
    <n v="8391"/>
    <x v="14"/>
    <d v="2021-04-29T00:00:00"/>
    <x v="1"/>
    <x v="5"/>
  </r>
  <r>
    <n v="108"/>
    <s v="Andrew Eisenhauer"/>
    <s v="womelsdorf"/>
    <x v="0"/>
    <n v="8050"/>
    <x v="93"/>
    <d v="2019-11-20T00:00:00"/>
    <x v="1"/>
    <x v="1"/>
  </r>
  <r>
    <n v="109"/>
    <s v="Andrew Hahn"/>
    <s v="lancaster"/>
    <x v="0"/>
    <n v="12727"/>
    <x v="6"/>
    <d v="2023-01-14T00:00:00"/>
    <x v="1"/>
    <x v="2"/>
  </r>
  <r>
    <n v="110"/>
    <s v="Andrew Kelly"/>
    <s v="norristown"/>
    <x v="0"/>
    <n v="15343"/>
    <x v="94"/>
    <d v="2024-07-29T00:00:00"/>
    <x v="2"/>
    <x v="5"/>
  </r>
  <r>
    <n v="111"/>
    <s v="Andrew Matthews"/>
    <s v="drexel hill"/>
    <x v="0"/>
    <n v="12219"/>
    <x v="95"/>
    <d v="2022-09-07T00:00:00"/>
    <x v="1"/>
    <x v="3"/>
  </r>
  <r>
    <n v="112"/>
    <s v="Andrew Pfleger"/>
    <s v="philadelphia"/>
    <x v="0"/>
    <n v="15295"/>
    <x v="51"/>
    <d v="2024-06-30T00:00:00"/>
    <x v="2"/>
    <x v="6"/>
  </r>
  <r>
    <n v="113"/>
    <s v="Andrew Pimentel"/>
    <s v="bala cynwyd"/>
    <x v="0"/>
    <n v="12000"/>
    <x v="10"/>
    <d v="2026-08-01T00:00:00"/>
    <x v="0"/>
    <x v="5"/>
  </r>
  <r>
    <n v="114"/>
    <s v="Angela Chavarria"/>
    <s v="boyertown"/>
    <x v="0"/>
    <n v="20239"/>
    <x v="34"/>
    <d v="2026-05-09T00:00:00"/>
    <x v="0"/>
    <x v="1"/>
  </r>
  <r>
    <n v="115"/>
    <s v="Angela Haring"/>
    <s v="hamburg"/>
    <x v="0"/>
    <n v="11823"/>
    <x v="72"/>
    <d v="2020-06-28T00:00:00"/>
    <x v="1"/>
    <x v="1"/>
  </r>
  <r>
    <n v="116"/>
    <s v="Angela Jakubowski"/>
    <s v="schuylkill haven"/>
    <x v="0"/>
    <n v="8686"/>
    <x v="96"/>
    <d v="2015-11-25T00:00:00"/>
    <x v="1"/>
    <x v="0"/>
  </r>
  <r>
    <n v="117"/>
    <s v="Angela Mebane"/>
    <s v="philadelphia"/>
    <x v="0"/>
    <n v="15345"/>
    <x v="94"/>
    <d v="2022-07-29T00:00:00"/>
    <x v="1"/>
    <x v="6"/>
  </r>
  <r>
    <n v="118"/>
    <s v="Angela Naber"/>
    <s v="telford"/>
    <x v="0"/>
    <n v="18741"/>
    <x v="97"/>
    <d v="2025-06-17T00:00:00"/>
    <x v="2"/>
    <x v="5"/>
  </r>
  <r>
    <n v="119"/>
    <s v="Angela Pleva"/>
    <s v="pottsville"/>
    <x v="0"/>
    <n v="10511"/>
    <x v="98"/>
    <d v="2027-05-15T00:00:00"/>
    <x v="0"/>
    <x v="0"/>
  </r>
  <r>
    <n v="120"/>
    <s v="Angela Reznick"/>
    <s v="wyomissing"/>
    <x v="0"/>
    <n v="8821"/>
    <x v="99"/>
    <d v="2022-04-17T00:00:00"/>
    <x v="1"/>
    <x v="1"/>
  </r>
  <r>
    <n v="121"/>
    <s v="Angela Reznick"/>
    <s v="wyomissing"/>
    <x v="1"/>
    <n v="8821"/>
    <x v="52"/>
    <d v="2022-12-07T00:00:00"/>
    <x v="1"/>
    <x v="1"/>
  </r>
  <r>
    <n v="122"/>
    <s v="Angela Richardson"/>
    <s v="philadelphia"/>
    <x v="0"/>
    <n v="10009"/>
    <x v="48"/>
    <d v="2019-01-18T00:00:00"/>
    <x v="1"/>
    <x v="6"/>
  </r>
  <r>
    <n v="123"/>
    <s v="Angela Rivera"/>
    <s v="topton"/>
    <x v="0"/>
    <n v="17047"/>
    <x v="55"/>
    <d v="2025-12-15T00:00:00"/>
    <x v="0"/>
    <x v="1"/>
  </r>
  <r>
    <n v="124"/>
    <s v="Angela Sanders"/>
    <s v="levittown"/>
    <x v="0"/>
    <n v="17196"/>
    <x v="100"/>
    <d v="2024-02-18T00:00:00"/>
    <x v="1"/>
    <x v="7"/>
  </r>
  <r>
    <n v="125"/>
    <s v="Angela Smith"/>
    <s v="philadelphia"/>
    <x v="0"/>
    <n v="8325"/>
    <x v="81"/>
    <d v="2023-02-20T00:00:00"/>
    <x v="1"/>
    <x v="6"/>
  </r>
  <r>
    <n v="126"/>
    <s v="Angela Welsh"/>
    <s v="minersville"/>
    <x v="0"/>
    <n v="16416"/>
    <x v="101"/>
    <d v="2025-06-16T00:00:00"/>
    <x v="2"/>
    <x v="0"/>
  </r>
  <r>
    <n v="127"/>
    <s v="Angelo Colon"/>
    <s v="philadelphia"/>
    <x v="0"/>
    <n v="10373"/>
    <x v="9"/>
    <d v="2019-09-08T00:00:00"/>
    <x v="1"/>
    <x v="6"/>
  </r>
  <r>
    <n v="128"/>
    <s v="Anise Robinson"/>
    <s v="norristown"/>
    <x v="0"/>
    <n v="17775"/>
    <x v="82"/>
    <d v="2026-08-18T00:00:00"/>
    <x v="0"/>
    <x v="5"/>
  </r>
  <r>
    <n v="129"/>
    <s v="Ann Marie Drosnock"/>
    <s v="quakertown"/>
    <x v="0"/>
    <n v="15909"/>
    <x v="102"/>
    <d v="2027-01-26T00:00:00"/>
    <x v="0"/>
    <x v="7"/>
  </r>
  <r>
    <n v="130"/>
    <s v="Ann Schwartz"/>
    <s v="wernersville"/>
    <x v="0"/>
    <n v="7420"/>
    <x v="103"/>
    <d v="2027-03-15T00:00:00"/>
    <x v="0"/>
    <x v="1"/>
  </r>
  <r>
    <n v="131"/>
    <s v="Anna Bonilla"/>
    <s v="philadelphia"/>
    <x v="0"/>
    <n v="10780"/>
    <x v="104"/>
    <d v="2026-06-21T00:00:00"/>
    <x v="0"/>
    <x v="6"/>
  </r>
  <r>
    <n v="132"/>
    <s v="Anna Bruecks"/>
    <s v="harleysville"/>
    <x v="0"/>
    <n v="12965"/>
    <x v="105"/>
    <d v="2023-06-25T00:00:00"/>
    <x v="1"/>
    <x v="5"/>
  </r>
  <r>
    <n v="133"/>
    <s v="Anna Campbell"/>
    <s v="philadelphia"/>
    <x v="0"/>
    <n v="8447"/>
    <x v="106"/>
    <d v="2015-05-18T00:00:00"/>
    <x v="1"/>
    <x v="6"/>
  </r>
  <r>
    <n v="134"/>
    <s v="Anna Hogan"/>
    <s v="hatboro"/>
    <x v="0"/>
    <n v="16242"/>
    <x v="107"/>
    <d v="2023-05-13T00:00:00"/>
    <x v="1"/>
    <x v="5"/>
  </r>
  <r>
    <n v="135"/>
    <s v="Anna Kolody"/>
    <s v="philadelphia"/>
    <x v="0"/>
    <n v="20851"/>
    <x v="108"/>
    <d v="2026-09-18T00:00:00"/>
    <x v="0"/>
    <x v="6"/>
  </r>
  <r>
    <n v="136"/>
    <s v="Anna Lynn"/>
    <s v="bensalem"/>
    <x v="0"/>
    <n v="9724"/>
    <x v="109"/>
    <d v="2018-07-20T00:00:00"/>
    <x v="1"/>
    <x v="7"/>
  </r>
  <r>
    <n v="137"/>
    <s v="Anna Marie DiVita"/>
    <s v="holland"/>
    <x v="0"/>
    <n v="14943"/>
    <x v="110"/>
    <d v="2021-12-19T00:00:00"/>
    <x v="1"/>
    <x v="7"/>
  </r>
  <r>
    <n v="138"/>
    <s v="Anna Nejman"/>
    <s v="huntingdon valley"/>
    <x v="0"/>
    <n v="11999"/>
    <x v="10"/>
    <d v="2024-08-01T00:00:00"/>
    <x v="2"/>
    <x v="5"/>
  </r>
  <r>
    <n v="139"/>
    <s v="Anna Pizzica"/>
    <s v="columbia"/>
    <x v="0"/>
    <n v="13715"/>
    <x v="27"/>
    <d v="2025-06-24T00:00:00"/>
    <x v="0"/>
    <x v="2"/>
  </r>
  <r>
    <n v="140"/>
    <s v="Anna Weklicz"/>
    <s v="philadelphia"/>
    <x v="0"/>
    <n v="16984"/>
    <x v="111"/>
    <d v="2023-11-15T00:00:00"/>
    <x v="1"/>
    <x v="6"/>
  </r>
  <r>
    <n v="141"/>
    <s v="AnnaMarie Easley"/>
    <s v="philadelphia"/>
    <x v="0"/>
    <n v="10000"/>
    <x v="48"/>
    <d v="2019-01-18T00:00:00"/>
    <x v="1"/>
    <x v="6"/>
  </r>
  <r>
    <n v="142"/>
    <s v="Annamarie Graf"/>
    <s v="schwenksville"/>
    <x v="0"/>
    <n v="14945"/>
    <x v="110"/>
    <d v="2025-12-19T00:00:00"/>
    <x v="0"/>
    <x v="5"/>
  </r>
  <r>
    <n v="143"/>
    <s v="Anne Emery"/>
    <s v="bristol"/>
    <x v="0"/>
    <n v="17186"/>
    <x v="112"/>
    <d v="2024-02-16T00:00:00"/>
    <x v="1"/>
    <x v="7"/>
  </r>
  <r>
    <n v="144"/>
    <s v="Anne Feil"/>
    <s v="reading"/>
    <x v="0"/>
    <n v="7392"/>
    <x v="113"/>
    <d v="2015-11-06T00:00:00"/>
    <x v="1"/>
    <x v="1"/>
  </r>
  <r>
    <n v="145"/>
    <s v="Anne Ginder"/>
    <s v="willow street"/>
    <x v="0"/>
    <n v="18419"/>
    <x v="114"/>
    <d v="2027-04-06T00:00:00"/>
    <x v="0"/>
    <x v="2"/>
  </r>
  <r>
    <n v="146"/>
    <s v="Anne Ginder"/>
    <s v="willow street"/>
    <x v="1"/>
    <n v="18419"/>
    <x v="115"/>
    <d v="2027-03-14T00:00:00"/>
    <x v="0"/>
    <x v="2"/>
  </r>
  <r>
    <n v="147"/>
    <s v="Annika Odhner"/>
    <s v="bensalem"/>
    <x v="0"/>
    <n v="8274"/>
    <x v="89"/>
    <d v="2014-12-12T00:00:00"/>
    <x v="1"/>
    <x v="7"/>
  </r>
  <r>
    <n v="148"/>
    <s v="Anthony Bynum"/>
    <s v="philadelphia"/>
    <x v="0"/>
    <n v="15696"/>
    <x v="52"/>
    <d v="2026-12-07T00:00:00"/>
    <x v="0"/>
    <x v="6"/>
  </r>
  <r>
    <n v="149"/>
    <s v="Anthony Czarnecki"/>
    <s v="reading"/>
    <x v="0"/>
    <n v="12773"/>
    <x v="116"/>
    <d v="2021-01-25T00:00:00"/>
    <x v="1"/>
    <x v="1"/>
  </r>
  <r>
    <n v="150"/>
    <s v="Anthony DiLauri, Jr."/>
    <s v="rehrersburg"/>
    <x v="0"/>
    <n v="12572"/>
    <x v="49"/>
    <d v="2020-12-11T00:00:00"/>
    <x v="1"/>
    <x v="1"/>
  </r>
  <r>
    <n v="151"/>
    <s v="Anthony Porter"/>
    <s v="philadelphia"/>
    <x v="0"/>
    <n v="14806"/>
    <x v="117"/>
    <d v="2021-11-18T00:00:00"/>
    <x v="1"/>
    <x v="6"/>
  </r>
  <r>
    <n v="152"/>
    <s v="Anthony Stewart"/>
    <s v="philadelphia"/>
    <x v="0"/>
    <n v="10012"/>
    <x v="48"/>
    <d v="2021-01-18T00:00:00"/>
    <x v="1"/>
    <x v="6"/>
  </r>
  <r>
    <n v="153"/>
    <s v="Anthony Tatro"/>
    <s v="philadelphia"/>
    <x v="0"/>
    <n v="21717"/>
    <x v="118"/>
    <d v="2027-03-12T00:00:00"/>
    <x v="0"/>
    <x v="6"/>
  </r>
  <r>
    <n v="154"/>
    <s v="Anthony Williams"/>
    <s v="reading"/>
    <x v="0"/>
    <n v="21067"/>
    <x v="119"/>
    <d v="2026-10-31T00:00:00"/>
    <x v="0"/>
    <x v="1"/>
  </r>
  <r>
    <n v="155"/>
    <s v="Antoinette Jackson-Aziz"/>
    <s v="philadelphia"/>
    <x v="0"/>
    <n v="7314"/>
    <x v="120"/>
    <d v="2015-08-04T00:00:00"/>
    <x v="1"/>
    <x v="6"/>
  </r>
  <r>
    <n v="156"/>
    <s v="Antonio McNear"/>
    <s v="lancaster"/>
    <x v="0"/>
    <n v="15140"/>
    <x v="121"/>
    <d v="2022-02-26T00:00:00"/>
    <x v="1"/>
    <x v="2"/>
  </r>
  <r>
    <n v="157"/>
    <s v="Antonio Rivera"/>
    <s v="reading"/>
    <x v="0"/>
    <n v="15023"/>
    <x v="122"/>
    <d v="2022-01-10T00:00:00"/>
    <x v="1"/>
    <x v="1"/>
  </r>
  <r>
    <n v="158"/>
    <s v="April Ermold"/>
    <s v="reading"/>
    <x v="0"/>
    <n v="8865"/>
    <x v="123"/>
    <d v="2026-05-15T00:00:00"/>
    <x v="0"/>
    <x v="1"/>
  </r>
  <r>
    <n v="159"/>
    <s v="April Underwood"/>
    <s v="levittown"/>
    <x v="0"/>
    <n v="18534"/>
    <x v="124"/>
    <d v="2027-04-23T00:00:00"/>
    <x v="0"/>
    <x v="7"/>
  </r>
  <r>
    <n v="160"/>
    <s v="Aretha Swift"/>
    <s v="abington"/>
    <x v="1"/>
    <n v="12657"/>
    <x v="125"/>
    <d v="2021-01-05T00:00:00"/>
    <x v="1"/>
    <x v="5"/>
  </r>
  <r>
    <n v="161"/>
    <s v="Ariane Cooney"/>
    <s v="wernersville"/>
    <x v="0"/>
    <n v="8863"/>
    <x v="123"/>
    <d v="2016-05-15T00:00:00"/>
    <x v="1"/>
    <x v="1"/>
  </r>
  <r>
    <n v="162"/>
    <s v="Arielle Shepro"/>
    <s v="columbia"/>
    <x v="0"/>
    <n v="15025"/>
    <x v="122"/>
    <d v="2022-01-10T00:00:00"/>
    <x v="1"/>
    <x v="2"/>
  </r>
  <r>
    <n v="163"/>
    <s v="Arlene Clemick"/>
    <s v="bensalem"/>
    <x v="0"/>
    <n v="10788"/>
    <x v="126"/>
    <d v="2026-03-09T00:00:00"/>
    <x v="0"/>
    <x v="7"/>
  </r>
  <r>
    <n v="164"/>
    <s v="Arlington Johnson Jr."/>
    <s v="coatesville"/>
    <x v="0"/>
    <n v="12690"/>
    <x v="127"/>
    <d v="2027-01-09T00:00:00"/>
    <x v="0"/>
    <x v="4"/>
  </r>
  <r>
    <n v="165"/>
    <s v="Arlington Johnson Jr."/>
    <s v="coatesville"/>
    <x v="1"/>
    <n v="12690"/>
    <x v="128"/>
    <d v="2027-01-09T00:00:00"/>
    <x v="0"/>
    <x v="4"/>
  </r>
  <r>
    <n v="166"/>
    <s v="Arthur Stewart"/>
    <s v="philadelphia"/>
    <x v="0"/>
    <n v="9175"/>
    <x v="129"/>
    <d v="2027-05-08T00:00:00"/>
    <x v="0"/>
    <x v="6"/>
  </r>
  <r>
    <n v="167"/>
    <s v="Arvin Alston"/>
    <s v="willow street"/>
    <x v="0"/>
    <n v="16164"/>
    <x v="3"/>
    <d v="2027-04-07T00:00:00"/>
    <x v="0"/>
    <x v="2"/>
  </r>
  <r>
    <n v="168"/>
    <s v="Ashlee  Foster"/>
    <s v="philadelphia"/>
    <x v="0"/>
    <n v="20328"/>
    <x v="130"/>
    <d v="2026-05-22T00:00:00"/>
    <x v="0"/>
    <x v="6"/>
  </r>
  <r>
    <n v="169"/>
    <s v="Ashleigh Germond"/>
    <s v="brookhaven"/>
    <x v="0"/>
    <n v="20866"/>
    <x v="131"/>
    <d v="2026-09-20T00:00:00"/>
    <x v="0"/>
    <x v="3"/>
  </r>
  <r>
    <n v="170"/>
    <s v="Ashley Brunstetter-McCloughy"/>
    <s v="philadelphia"/>
    <x v="0"/>
    <n v="20337"/>
    <x v="132"/>
    <d v="2026-05-23T00:00:00"/>
    <x v="0"/>
    <x v="6"/>
  </r>
  <r>
    <n v="171"/>
    <s v="Ashley Brunstetter-McCloughy"/>
    <s v="philadelphia"/>
    <x v="1"/>
    <n v="20337"/>
    <x v="133"/>
    <d v="2026-09-27T00:00:00"/>
    <x v="0"/>
    <x v="6"/>
  </r>
  <r>
    <n v="172"/>
    <s v="Ashley Gilley"/>
    <s v="perkasie"/>
    <x v="0"/>
    <n v="8555"/>
    <x v="71"/>
    <d v="2015-07-30T00:00:00"/>
    <x v="1"/>
    <x v="7"/>
  </r>
  <r>
    <n v="173"/>
    <s v="Ashley Grande"/>
    <s v="langhorne"/>
    <x v="0"/>
    <n v="10026"/>
    <x v="134"/>
    <d v="2019-01-31T00:00:00"/>
    <x v="1"/>
    <x v="7"/>
  </r>
  <r>
    <n v="174"/>
    <s v="Ashley Hosseini"/>
    <s v="newtown square"/>
    <x v="0"/>
    <n v="11341"/>
    <x v="135"/>
    <d v="2022-05-07T00:00:00"/>
    <x v="1"/>
    <x v="3"/>
  </r>
  <r>
    <n v="175"/>
    <s v="Ashley Kuhar"/>
    <s v="sellersville"/>
    <x v="0"/>
    <n v="16527"/>
    <x v="105"/>
    <d v="2027-06-25T00:00:00"/>
    <x v="0"/>
    <x v="7"/>
  </r>
  <r>
    <n v="176"/>
    <s v="Ashley Kuhar"/>
    <s v="sellersville"/>
    <x v="1"/>
    <n v="16527"/>
    <x v="136"/>
    <d v="2027-06-25T00:00:00"/>
    <x v="0"/>
    <x v="7"/>
  </r>
  <r>
    <n v="177"/>
    <s v="Ashley Lederach"/>
    <s v="pottstown"/>
    <x v="0"/>
    <n v="17605"/>
    <x v="137"/>
    <d v="2026-07-23T00:00:00"/>
    <x v="0"/>
    <x v="4"/>
  </r>
  <r>
    <n v="178"/>
    <s v="Ashley Lederach"/>
    <s v="pottstown"/>
    <x v="1"/>
    <n v="17605"/>
    <x v="138"/>
    <d v="2026-07-03T00:00:00"/>
    <x v="0"/>
    <x v="4"/>
  </r>
  <r>
    <n v="179"/>
    <s v="Ashley Mitchell"/>
    <s v="warminster"/>
    <x v="0"/>
    <n v="13741"/>
    <x v="139"/>
    <d v="2021-06-25T00:00:00"/>
    <x v="1"/>
    <x v="7"/>
  </r>
  <r>
    <n v="180"/>
    <s v="Audrey  Macindoe"/>
    <s v="philadelphia"/>
    <x v="0"/>
    <n v="21008"/>
    <x v="140"/>
    <d v="2026-11-04T00:00:00"/>
    <x v="0"/>
    <x v="6"/>
  </r>
  <r>
    <n v="181"/>
    <s v="Audrey  Macindoe"/>
    <s v="philadelphia"/>
    <x v="1"/>
    <n v="21008"/>
    <x v="141"/>
    <d v="2026-10-16T00:00:00"/>
    <x v="0"/>
    <x v="6"/>
  </r>
  <r>
    <n v="182"/>
    <s v="Audrey Pawling"/>
    <s v="reading"/>
    <x v="0"/>
    <n v="8875"/>
    <x v="123"/>
    <d v="2016-05-15T00:00:00"/>
    <x v="1"/>
    <x v="1"/>
  </r>
  <r>
    <n v="183"/>
    <s v="Barbara Brenny"/>
    <s v="philadelphia"/>
    <x v="0"/>
    <n v="16672"/>
    <x v="44"/>
    <d v="2025-10-28T00:00:00"/>
    <x v="0"/>
    <x v="6"/>
  </r>
  <r>
    <n v="184"/>
    <s v="Barbara Burns"/>
    <s v="elkins park"/>
    <x v="0"/>
    <n v="15133"/>
    <x v="121"/>
    <d v="2022-02-26T00:00:00"/>
    <x v="1"/>
    <x v="5"/>
  </r>
  <r>
    <n v="185"/>
    <s v="Barbara Donald"/>
    <s v="mount joy"/>
    <x v="0"/>
    <n v="8394"/>
    <x v="14"/>
    <d v="2015-04-29T00:00:00"/>
    <x v="1"/>
    <x v="2"/>
  </r>
  <r>
    <n v="186"/>
    <s v="Barbara Hentosh"/>
    <s v="yardley"/>
    <x v="0"/>
    <n v="8048"/>
    <x v="142"/>
    <d v="2020-03-09T00:00:00"/>
    <x v="1"/>
    <x v="7"/>
  </r>
  <r>
    <n v="187"/>
    <s v="Barbara Lewis"/>
    <s v="philadelphia"/>
    <x v="0"/>
    <n v="14837"/>
    <x v="1"/>
    <d v="2027-06-04T00:00:00"/>
    <x v="0"/>
    <x v="6"/>
  </r>
  <r>
    <n v="188"/>
    <s v="Barbara Vou'se-Friedman"/>
    <s v="reading"/>
    <x v="0"/>
    <n v="12568"/>
    <x v="49"/>
    <d v="2024-12-11T00:00:00"/>
    <x v="2"/>
    <x v="1"/>
  </r>
  <r>
    <n v="189"/>
    <s v="Barry Remes"/>
    <s v="bernville"/>
    <x v="0"/>
    <n v="6708"/>
    <x v="36"/>
    <d v="2020-01-18T00:00:00"/>
    <x v="1"/>
    <x v="1"/>
  </r>
  <r>
    <n v="190"/>
    <s v="Barry Salop"/>
    <s v="wynnewood"/>
    <x v="0"/>
    <n v="10793"/>
    <x v="126"/>
    <d v="2020-03-09T00:00:00"/>
    <x v="1"/>
    <x v="5"/>
  </r>
  <r>
    <n v="191"/>
    <s v="Beckey VanEtten"/>
    <s v="fleetwood"/>
    <x v="1"/>
    <n v="18522"/>
    <x v="143"/>
    <d v="2027-04-19T00:00:00"/>
    <x v="0"/>
    <x v="1"/>
  </r>
  <r>
    <n v="192"/>
    <s v="Becky Skarzynski"/>
    <s v="perkasie"/>
    <x v="0"/>
    <n v="18035"/>
    <x v="144"/>
    <d v="2024-11-15T00:00:00"/>
    <x v="2"/>
    <x v="7"/>
  </r>
  <r>
    <n v="193"/>
    <s v="Benita Dixon"/>
    <s v="philadelphia"/>
    <x v="0"/>
    <n v="8937"/>
    <x v="84"/>
    <d v="2025-08-20T00:00:00"/>
    <x v="0"/>
    <x v="6"/>
  </r>
  <r>
    <n v="194"/>
    <s v="Benjamin Kurten"/>
    <s v="havertown"/>
    <x v="0"/>
    <n v="17730"/>
    <x v="145"/>
    <d v="2026-08-11T00:00:00"/>
    <x v="0"/>
    <x v="3"/>
  </r>
  <r>
    <n v="195"/>
    <s v="Benjamin Moore"/>
    <s v="philadelphia"/>
    <x v="0"/>
    <n v="17676"/>
    <x v="146"/>
    <d v="2026-10-06T00:00:00"/>
    <x v="0"/>
    <x v="6"/>
  </r>
  <r>
    <n v="196"/>
    <s v="Benjamin Moore"/>
    <s v="philadelphia"/>
    <x v="1"/>
    <n v="17676"/>
    <x v="147"/>
    <d v="2026-07-25T00:00:00"/>
    <x v="0"/>
    <x v="6"/>
  </r>
  <r>
    <n v="197"/>
    <s v="Beth Brandt"/>
    <s v="lancaster"/>
    <x v="1"/>
    <n v="13021"/>
    <x v="148"/>
    <d v="2027-03-17T00:00:00"/>
    <x v="0"/>
    <x v="2"/>
  </r>
  <r>
    <n v="198"/>
    <s v="Beth Goodman"/>
    <s v="fleetwood"/>
    <x v="0"/>
    <n v="7153"/>
    <x v="149"/>
    <d v="2025-06-29T00:00:00"/>
    <x v="0"/>
    <x v="1"/>
  </r>
  <r>
    <n v="199"/>
    <s v="Beth Shannon"/>
    <s v="west chester"/>
    <x v="0"/>
    <n v="9449"/>
    <x v="150"/>
    <d v="2017-12-08T00:00:00"/>
    <x v="1"/>
    <x v="4"/>
  </r>
  <r>
    <n v="200"/>
    <s v="Betsy Hernandez"/>
    <s v="philadelphia"/>
    <x v="0"/>
    <n v="12218"/>
    <x v="95"/>
    <d v="2026-09-07T00:00:00"/>
    <x v="0"/>
    <x v="6"/>
  </r>
  <r>
    <n v="201"/>
    <s v="Beverly Harrington"/>
    <s v="langhorne"/>
    <x v="0"/>
    <n v="16786"/>
    <x v="151"/>
    <d v="2026-06-14T00:00:00"/>
    <x v="0"/>
    <x v="7"/>
  </r>
  <r>
    <n v="202"/>
    <s v="Beverly Harrington"/>
    <s v="langhorne"/>
    <x v="1"/>
    <n v="16786"/>
    <x v="152"/>
    <d v="2026-05-28T00:00:00"/>
    <x v="0"/>
    <x v="7"/>
  </r>
  <r>
    <n v="203"/>
    <s v="Beverly Minton"/>
    <s v="collegeville"/>
    <x v="0"/>
    <n v="15711"/>
    <x v="52"/>
    <d v="2022-12-07T00:00:00"/>
    <x v="1"/>
    <x v="5"/>
  </r>
  <r>
    <n v="204"/>
    <s v="Beverly Russell"/>
    <s v="philadelphia"/>
    <x v="0"/>
    <n v="10010"/>
    <x v="48"/>
    <d v="2021-01-18T00:00:00"/>
    <x v="1"/>
    <x v="6"/>
  </r>
  <r>
    <n v="205"/>
    <s v="Billy Curtis"/>
    <s v="philadelphia"/>
    <x v="0"/>
    <n v="9600"/>
    <x v="153"/>
    <d v="2018-05-24T00:00:00"/>
    <x v="1"/>
    <x v="6"/>
  </r>
  <r>
    <n v="206"/>
    <s v="Bob Schmidt"/>
    <s v="bensalem"/>
    <x v="0"/>
    <n v="12376"/>
    <x v="127"/>
    <d v="2026-10-02T00:00:00"/>
    <x v="0"/>
    <x v="7"/>
  </r>
  <r>
    <n v="207"/>
    <s v="Bobbie Deo"/>
    <s v="bristol"/>
    <x v="0"/>
    <n v="17946"/>
    <x v="154"/>
    <d v="2024-10-12T00:00:00"/>
    <x v="2"/>
    <x v="7"/>
  </r>
  <r>
    <n v="208"/>
    <s v="Bolt Eichner"/>
    <s v="philadelphia"/>
    <x v="0"/>
    <n v="21254"/>
    <x v="155"/>
    <d v="2026-12-12T00:00:00"/>
    <x v="0"/>
    <x v="6"/>
  </r>
  <r>
    <n v="209"/>
    <s v="Bonita Pritchette"/>
    <s v="philadelphia"/>
    <x v="0"/>
    <n v="11061"/>
    <x v="156"/>
    <d v="2022-04-13T00:00:00"/>
    <x v="1"/>
    <x v="6"/>
  </r>
  <r>
    <n v="210"/>
    <s v="Bonnie Liebel"/>
    <s v="philadelphia"/>
    <x v="0"/>
    <n v="17304"/>
    <x v="157"/>
    <d v="2024-04-05T00:00:00"/>
    <x v="1"/>
    <x v="6"/>
  </r>
  <r>
    <n v="211"/>
    <s v="Bonnie MacIntosh"/>
    <s v="langhorne"/>
    <x v="0"/>
    <n v="11711"/>
    <x v="104"/>
    <d v="2020-06-21T00:00:00"/>
    <x v="1"/>
    <x v="7"/>
  </r>
  <r>
    <n v="212"/>
    <s v="Bonnie MacIntosh"/>
    <s v="langhorne"/>
    <x v="1"/>
    <n v="11711"/>
    <x v="158"/>
    <d v="2020-08-10T00:00:00"/>
    <x v="1"/>
    <x v="7"/>
  </r>
  <r>
    <n v="213"/>
    <s v="Bonnie Nickle"/>
    <s v="wernersville"/>
    <x v="0"/>
    <n v="21046"/>
    <x v="159"/>
    <d v="2026-10-25T00:00:00"/>
    <x v="0"/>
    <x v="1"/>
  </r>
  <r>
    <n v="214"/>
    <s v="Bonnie Shuster"/>
    <s v="philadelphia"/>
    <x v="0"/>
    <n v="14953"/>
    <x v="110"/>
    <d v="2021-12-19T00:00:00"/>
    <x v="1"/>
    <x v="6"/>
  </r>
  <r>
    <n v="215"/>
    <s v="Brad Peffer"/>
    <s v="ephrata"/>
    <x v="1"/>
    <n v="13355"/>
    <x v="160"/>
    <d v="2021-05-20T00:00:00"/>
    <x v="1"/>
    <x v="2"/>
  </r>
  <r>
    <n v="216"/>
    <s v="Brad Ramsey"/>
    <s v="reading"/>
    <x v="0"/>
    <n v="15021"/>
    <x v="122"/>
    <d v="2022-01-10T00:00:00"/>
    <x v="1"/>
    <x v="1"/>
  </r>
  <r>
    <n v="217"/>
    <s v="Brad Schweitzer"/>
    <s v="birdsboro"/>
    <x v="0"/>
    <n v="8934"/>
    <x v="80"/>
    <d v="2026-06-27T00:00:00"/>
    <x v="0"/>
    <x v="1"/>
  </r>
  <r>
    <n v="218"/>
    <s v="Brad Schweitzer"/>
    <s v="birdsboro"/>
    <x v="2"/>
    <n v="8934"/>
    <x v="161"/>
    <d v="2026-06-27T00:00:00"/>
    <x v="0"/>
    <x v="1"/>
  </r>
  <r>
    <n v="219"/>
    <s v="Bradford Meck"/>
    <s v="philadelphia"/>
    <x v="0"/>
    <n v="12693"/>
    <x v="127"/>
    <d v="2021-01-09T00:00:00"/>
    <x v="1"/>
    <x v="6"/>
  </r>
  <r>
    <n v="220"/>
    <s v="Bradley Egolf"/>
    <s v="sinking spring"/>
    <x v="0"/>
    <n v="7504"/>
    <x v="162"/>
    <d v="2012-03-18T00:00:00"/>
    <x v="1"/>
    <x v="1"/>
  </r>
  <r>
    <n v="221"/>
    <s v="Brandi O'Brien"/>
    <s v="nottingham"/>
    <x v="0"/>
    <n v="17163"/>
    <x v="163"/>
    <d v="2026-02-13T00:00:00"/>
    <x v="0"/>
    <x v="4"/>
  </r>
  <r>
    <n v="222"/>
    <s v="Brandi Roseberry"/>
    <s v="levittown"/>
    <x v="0"/>
    <n v="17307"/>
    <x v="157"/>
    <d v="2026-04-05T00:00:00"/>
    <x v="0"/>
    <x v="7"/>
  </r>
  <r>
    <n v="223"/>
    <s v="Brandon Geiger"/>
    <s v="reading"/>
    <x v="0"/>
    <n v="15076"/>
    <x v="91"/>
    <d v="2022-01-27T00:00:00"/>
    <x v="1"/>
    <x v="1"/>
  </r>
  <r>
    <n v="224"/>
    <s v="Brandon Griffith"/>
    <s v="reading"/>
    <x v="0"/>
    <n v="12775"/>
    <x v="116"/>
    <d v="2021-01-25T00:00:00"/>
    <x v="1"/>
    <x v="1"/>
  </r>
  <r>
    <n v="225"/>
    <s v="Brandon Hildebrand"/>
    <s v="ephrata"/>
    <x v="0"/>
    <n v="12729"/>
    <x v="6"/>
    <d v="2021-01-14T00:00:00"/>
    <x v="1"/>
    <x v="2"/>
  </r>
  <r>
    <n v="226"/>
    <s v="Brandon Newman"/>
    <s v="norristown"/>
    <x v="0"/>
    <n v="14017"/>
    <x v="19"/>
    <d v="2021-07-24T00:00:00"/>
    <x v="1"/>
    <x v="5"/>
  </r>
  <r>
    <n v="227"/>
    <s v="Brandon Riley"/>
    <s v="philadelphia"/>
    <x v="0"/>
    <n v="8659"/>
    <x v="164"/>
    <d v="2017-10-30T00:00:00"/>
    <x v="1"/>
    <x v="6"/>
  </r>
  <r>
    <n v="228"/>
    <s v="Brandon Russell"/>
    <s v="willow grove"/>
    <x v="0"/>
    <n v="8786"/>
    <x v="165"/>
    <d v="2018-03-12T00:00:00"/>
    <x v="1"/>
    <x v="5"/>
  </r>
  <r>
    <n v="229"/>
    <s v="Breelyn Worley"/>
    <s v="downingtown"/>
    <x v="0"/>
    <n v="14552"/>
    <x v="163"/>
    <d v="2026-02-13T00:00:00"/>
    <x v="0"/>
    <x v="4"/>
  </r>
  <r>
    <n v="230"/>
    <s v="Brenda  Carpenter"/>
    <s v="berwyn"/>
    <x v="1"/>
    <n v="20936"/>
    <x v="166"/>
    <d v="2026-10-07T00:00:00"/>
    <x v="0"/>
    <x v="4"/>
  </r>
  <r>
    <n v="231"/>
    <s v="Brenda Lacy"/>
    <s v="schwenksville"/>
    <x v="0"/>
    <n v="20610"/>
    <x v="167"/>
    <d v="2026-08-12T00:00:00"/>
    <x v="0"/>
    <x v="5"/>
  </r>
  <r>
    <n v="232"/>
    <s v="Brenda Lacy"/>
    <s v="schwenksville"/>
    <x v="1"/>
    <n v="20610"/>
    <x v="168"/>
    <d v="2026-07-23T00:00:00"/>
    <x v="0"/>
    <x v="5"/>
  </r>
  <r>
    <n v="233"/>
    <s v="Brenda McNeely"/>
    <s v="lancaster"/>
    <x v="0"/>
    <n v="11683"/>
    <x v="2"/>
    <d v="2022-06-18T00:00:00"/>
    <x v="1"/>
    <x v="2"/>
  </r>
  <r>
    <n v="234"/>
    <s v="Brendan DelGatto"/>
    <s v="boothwyn"/>
    <x v="0"/>
    <n v="14688"/>
    <x v="28"/>
    <d v="2021-09-10T00:00:00"/>
    <x v="1"/>
    <x v="3"/>
  </r>
  <r>
    <n v="235"/>
    <s v="Brendan Letts"/>
    <s v="media"/>
    <x v="0"/>
    <n v="9608"/>
    <x v="15"/>
    <d v="2018-05-23T00:00:00"/>
    <x v="1"/>
    <x v="3"/>
  </r>
  <r>
    <n v="236"/>
    <s v="Brent Glazer"/>
    <s v="philadelphia"/>
    <x v="0"/>
    <n v="16111"/>
    <x v="3"/>
    <d v="2027-03-25T00:00:00"/>
    <x v="0"/>
    <x v="6"/>
  </r>
  <r>
    <n v="237"/>
    <s v="Brent Glazer"/>
    <s v="philadelphia"/>
    <x v="1"/>
    <n v="16111"/>
    <x v="57"/>
    <d v="2027-03-25T00:00:00"/>
    <x v="0"/>
    <x v="6"/>
  </r>
  <r>
    <n v="238"/>
    <s v="Brent Hoover"/>
    <s v="reading"/>
    <x v="0"/>
    <n v="10300"/>
    <x v="149"/>
    <d v="2019-06-29T00:00:00"/>
    <x v="1"/>
    <x v="1"/>
  </r>
  <r>
    <n v="239"/>
    <s v="Brent Reber"/>
    <s v="orwigsburg"/>
    <x v="0"/>
    <n v="20323"/>
    <x v="169"/>
    <d v="2026-05-21T00:00:00"/>
    <x v="0"/>
    <x v="0"/>
  </r>
  <r>
    <n v="240"/>
    <s v="Brett Ford"/>
    <s v="philadelphia"/>
    <x v="0"/>
    <n v="22094"/>
    <x v="1"/>
    <d v="2027-06-04T00:00:00"/>
    <x v="0"/>
    <x v="6"/>
  </r>
  <r>
    <n v="241"/>
    <s v="Brett Lucas"/>
    <s v="reading"/>
    <x v="0"/>
    <n v="16833"/>
    <x v="69"/>
    <d v="2023-09-14T00:00:00"/>
    <x v="1"/>
    <x v="1"/>
  </r>
  <r>
    <n v="242"/>
    <s v="Brian Gemberling"/>
    <s v="rehrersburg"/>
    <x v="0"/>
    <n v="12725"/>
    <x v="6"/>
    <d v="2021-01-14T00:00:00"/>
    <x v="1"/>
    <x v="1"/>
  </r>
  <r>
    <n v="243"/>
    <s v="Brian Grishaber"/>
    <s v="levittown"/>
    <x v="0"/>
    <n v="10253"/>
    <x v="79"/>
    <d v="2019-06-22T00:00:00"/>
    <x v="1"/>
    <x v="7"/>
  </r>
  <r>
    <n v="244"/>
    <s v="Brian Harrington"/>
    <s v="king of prussia"/>
    <x v="0"/>
    <n v="12564"/>
    <x v="49"/>
    <d v="2020-12-11T00:00:00"/>
    <x v="1"/>
    <x v="5"/>
  </r>
  <r>
    <n v="245"/>
    <s v="Brian Kammerer"/>
    <s v="reading"/>
    <x v="0"/>
    <n v="7741"/>
    <x v="30"/>
    <d v="2025-02-08T00:00:00"/>
    <x v="2"/>
    <x v="1"/>
  </r>
  <r>
    <n v="246"/>
    <s v="Brian Kaye"/>
    <s v="perkasie"/>
    <x v="0"/>
    <n v="10256"/>
    <x v="79"/>
    <d v="2025-06-22T00:00:00"/>
    <x v="0"/>
    <x v="7"/>
  </r>
  <r>
    <n v="247"/>
    <s v="Brian Linson"/>
    <s v="philadelphia"/>
    <x v="0"/>
    <n v="8161"/>
    <x v="170"/>
    <d v="2014-07-21T00:00:00"/>
    <x v="1"/>
    <x v="6"/>
  </r>
  <r>
    <n v="248"/>
    <s v="Brian Mentzer"/>
    <s v="sellersville"/>
    <x v="0"/>
    <n v="9024"/>
    <x v="171"/>
    <d v="2016-09-23T00:00:00"/>
    <x v="1"/>
    <x v="7"/>
  </r>
  <r>
    <n v="249"/>
    <s v="Brian Perna"/>
    <s v="collegeville"/>
    <x v="0"/>
    <n v="14950"/>
    <x v="110"/>
    <d v="2021-12-19T00:00:00"/>
    <x v="3"/>
    <x v="5"/>
  </r>
  <r>
    <n v="250"/>
    <s v="Brian Sapp"/>
    <s v="broomall"/>
    <x v="0"/>
    <n v="18568"/>
    <x v="172"/>
    <d v="2027-05-02T00:00:00"/>
    <x v="0"/>
    <x v="3"/>
  </r>
  <r>
    <n v="251"/>
    <s v="Brian Tobin"/>
    <s v="philadelphia"/>
    <x v="0"/>
    <n v="20927"/>
    <x v="173"/>
    <d v="2026-10-02T00:00:00"/>
    <x v="0"/>
    <x v="6"/>
  </r>
  <r>
    <n v="252"/>
    <s v="Brian Wilson"/>
    <s v="hatboro"/>
    <x v="0"/>
    <n v="15713"/>
    <x v="52"/>
    <d v="2026-12-07T00:00:00"/>
    <x v="0"/>
    <x v="5"/>
  </r>
  <r>
    <n v="253"/>
    <s v="Briana Capone"/>
    <s v="clifton heights"/>
    <x v="0"/>
    <n v="15908"/>
    <x v="174"/>
    <d v="2025-01-25T00:00:00"/>
    <x v="2"/>
    <x v="3"/>
  </r>
  <r>
    <n v="254"/>
    <s v="Brianna Barbii Duncan"/>
    <s v="philadelphia"/>
    <x v="0"/>
    <n v="21091"/>
    <x v="175"/>
    <d v="2026-11-07T00:00:00"/>
    <x v="0"/>
    <x v="6"/>
  </r>
  <r>
    <n v="255"/>
    <s v="Brianne Sadowskas"/>
    <s v="reading"/>
    <x v="0"/>
    <n v="13719"/>
    <x v="27"/>
    <d v="2025-06-24T00:00:00"/>
    <x v="0"/>
    <x v="1"/>
  </r>
  <r>
    <n v="256"/>
    <s v="Bridget Lease"/>
    <s v="lancaster"/>
    <x v="0"/>
    <n v="10353"/>
    <x v="176"/>
    <d v="2025-08-28T00:00:00"/>
    <x v="0"/>
    <x v="2"/>
  </r>
  <r>
    <n v="257"/>
    <s v="Brittany Kalajian"/>
    <s v="pottstown"/>
    <x v="0"/>
    <n v="12778"/>
    <x v="116"/>
    <d v="2021-01-25T00:00:00"/>
    <x v="1"/>
    <x v="4"/>
  </r>
  <r>
    <n v="258"/>
    <s v="Brittney Pester"/>
    <s v="new ringgold"/>
    <x v="0"/>
    <n v="15020"/>
    <x v="122"/>
    <d v="2022-01-10T00:00:00"/>
    <x v="1"/>
    <x v="0"/>
  </r>
  <r>
    <n v="259"/>
    <s v="Brook Harris"/>
    <s v="lititz"/>
    <x v="0"/>
    <n v="10713"/>
    <x v="177"/>
    <d v="2026-02-23T00:00:00"/>
    <x v="0"/>
    <x v="2"/>
  </r>
  <r>
    <n v="260"/>
    <s v="Brooke Feldman"/>
    <s v="philadelphia"/>
    <x v="0"/>
    <n v="7344"/>
    <x v="178"/>
    <d v="2011-09-12T00:00:00"/>
    <x v="1"/>
    <x v="6"/>
  </r>
  <r>
    <n v="261"/>
    <s v="Brooke Moats"/>
    <s v="lansdale"/>
    <x v="0"/>
    <n v="17407"/>
    <x v="179"/>
    <d v="2024-05-01T00:00:00"/>
    <x v="1"/>
    <x v="5"/>
  </r>
  <r>
    <n v="262"/>
    <s v="Brooke Moats"/>
    <s v="lansdale"/>
    <x v="1"/>
    <n v="17407"/>
    <x v="180"/>
    <d v="2025-05-09T00:00:00"/>
    <x v="2"/>
    <x v="5"/>
  </r>
  <r>
    <n v="263"/>
    <s v="Brooke Shockley"/>
    <s v="harleysville"/>
    <x v="0"/>
    <n v="15524"/>
    <x v="181"/>
    <d v="2026-09-22T00:00:00"/>
    <x v="0"/>
    <x v="5"/>
  </r>
  <r>
    <n v="264"/>
    <s v="Bruce Bingaman"/>
    <s v="gilbertsville"/>
    <x v="0"/>
    <n v="9441"/>
    <x v="150"/>
    <d v="2017-12-08T00:00:00"/>
    <x v="1"/>
    <x v="5"/>
  </r>
  <r>
    <n v="265"/>
    <s v="Bruce Moll"/>
    <s v="red hill"/>
    <x v="0"/>
    <n v="15719"/>
    <x v="52"/>
    <d v="2026-12-07T00:00:00"/>
    <x v="0"/>
    <x v="5"/>
  </r>
  <r>
    <n v="266"/>
    <s v="Bryan Kellagher"/>
    <s v="downingtown"/>
    <x v="0"/>
    <n v="17131"/>
    <x v="182"/>
    <d v="2024-01-25T00:00:00"/>
    <x v="1"/>
    <x v="4"/>
  </r>
  <r>
    <n v="267"/>
    <s v="Cade Feeney"/>
    <s v="levittown"/>
    <x v="0"/>
    <n v="8554"/>
    <x v="71"/>
    <d v="2015-07-30T00:00:00"/>
    <x v="1"/>
    <x v="7"/>
  </r>
  <r>
    <n v="268"/>
    <s v="Caitlin Binck"/>
    <s v="brookhaven"/>
    <x v="0"/>
    <n v="10159"/>
    <x v="77"/>
    <d v="2019-06-13T00:00:00"/>
    <x v="1"/>
    <x v="3"/>
  </r>
  <r>
    <n v="269"/>
    <s v="Caitlyn DeFrank"/>
    <s v="malvern"/>
    <x v="0"/>
    <n v="20637"/>
    <x v="183"/>
    <d v="2026-08-01T00:00:00"/>
    <x v="0"/>
    <x v="4"/>
  </r>
  <r>
    <n v="270"/>
    <s v="Caleb Henry"/>
    <s v="reading"/>
    <x v="0"/>
    <n v="9185"/>
    <x v="60"/>
    <d v="2017-05-20T00:00:00"/>
    <x v="1"/>
    <x v="1"/>
  </r>
  <r>
    <n v="271"/>
    <s v="Cameron Jackson"/>
    <s v="philadelphia"/>
    <x v="0"/>
    <n v="11047"/>
    <x v="156"/>
    <d v="2026-04-13T00:00:00"/>
    <x v="0"/>
    <x v="6"/>
  </r>
  <r>
    <n v="272"/>
    <s v="Candace Gaston"/>
    <s v="philadelphia"/>
    <x v="0"/>
    <n v="10002"/>
    <x v="48"/>
    <d v="2019-01-18T00:00:00"/>
    <x v="1"/>
    <x v="6"/>
  </r>
  <r>
    <n v="273"/>
    <s v="Candy Sosinski"/>
    <s v="bensalem"/>
    <x v="0"/>
    <n v="15447"/>
    <x v="184"/>
    <d v="2026-08-28T00:00:00"/>
    <x v="0"/>
    <x v="7"/>
  </r>
  <r>
    <n v="274"/>
    <s v="Carl Forman"/>
    <s v="norristown"/>
    <x v="0"/>
    <n v="15340"/>
    <x v="94"/>
    <d v="2024-07-29T00:00:00"/>
    <x v="2"/>
    <x v="5"/>
  </r>
  <r>
    <n v="275"/>
    <s v="Carla Calabrese"/>
    <s v="philadelphia"/>
    <x v="0"/>
    <n v="16228"/>
    <x v="105"/>
    <d v="2027-06-25T00:00:00"/>
    <x v="0"/>
    <x v="6"/>
  </r>
  <r>
    <n v="276"/>
    <s v="Carla Calabrese"/>
    <s v="philadelphia"/>
    <x v="1"/>
    <n v="16228"/>
    <x v="185"/>
    <d v="2025-05-10T00:00:00"/>
    <x v="2"/>
    <x v="6"/>
  </r>
  <r>
    <n v="277"/>
    <s v="Carla Geohaghan"/>
    <s v="folcroft"/>
    <x v="0"/>
    <n v="19094"/>
    <x v="186"/>
    <d v="2025-09-01T00:00:00"/>
    <x v="0"/>
    <x v="3"/>
  </r>
  <r>
    <n v="278"/>
    <s v="Carla Sofronski"/>
    <s v="feasterville trevose"/>
    <x v="0"/>
    <n v="9614"/>
    <x v="15"/>
    <d v="2018-05-23T00:00:00"/>
    <x v="1"/>
    <x v="7"/>
  </r>
  <r>
    <n v="279"/>
    <s v="Carmen  Batista-Mejia"/>
    <s v="philadelphia"/>
    <x v="0"/>
    <n v="12201"/>
    <x v="187"/>
    <d v="2027-04-28T00:00:00"/>
    <x v="0"/>
    <x v="6"/>
  </r>
  <r>
    <n v="280"/>
    <s v="Carmen  Batista-Mejia"/>
    <s v="philadelphia"/>
    <x v="1"/>
    <n v="12201"/>
    <x v="188"/>
    <d v="2026-10-27T00:00:00"/>
    <x v="0"/>
    <x v="6"/>
  </r>
  <r>
    <n v="281"/>
    <s v="Carmen  Lagomasini"/>
    <s v="philadelphia"/>
    <x v="1"/>
    <n v="19891"/>
    <x v="189"/>
    <d v="2026-10-23T00:00:00"/>
    <x v="0"/>
    <x v="6"/>
  </r>
  <r>
    <n v="282"/>
    <s v="Carmen Albrecht"/>
    <s v="reading"/>
    <x v="0"/>
    <n v="15071"/>
    <x v="91"/>
    <d v="2026-01-27T00:00:00"/>
    <x v="0"/>
    <x v="1"/>
  </r>
  <r>
    <n v="283"/>
    <s v="Carmen Medina"/>
    <s v="lancaster"/>
    <x v="1"/>
    <n v="14346"/>
    <x v="84"/>
    <d v="2021-08-20T00:00:00"/>
    <x v="1"/>
    <x v="2"/>
  </r>
  <r>
    <n v="284"/>
    <s v="Carmine D'Uva"/>
    <s v="willow grove"/>
    <x v="1"/>
    <n v="13897"/>
    <x v="190"/>
    <d v="2021-07-17T00:00:00"/>
    <x v="1"/>
    <x v="5"/>
  </r>
  <r>
    <n v="285"/>
    <s v="Carol Foschini"/>
    <s v="manheim"/>
    <x v="1"/>
    <n v="12958"/>
    <x v="191"/>
    <d v="2021-03-11T00:00:00"/>
    <x v="1"/>
    <x v="2"/>
  </r>
  <r>
    <n v="286"/>
    <s v="Carol Glass"/>
    <s v="lancaster"/>
    <x v="0"/>
    <n v="7258"/>
    <x v="192"/>
    <d v="2011-06-18T00:00:00"/>
    <x v="1"/>
    <x v="2"/>
  </r>
  <r>
    <n v="287"/>
    <s v="Carol Rostucher"/>
    <s v="philadelphia"/>
    <x v="0"/>
    <n v="9547"/>
    <x v="193"/>
    <d v="2022-03-17T00:00:00"/>
    <x v="1"/>
    <x v="6"/>
  </r>
  <r>
    <n v="288"/>
    <s v="Caroline Brown"/>
    <s v="reading"/>
    <x v="0"/>
    <n v="9650"/>
    <x v="194"/>
    <d v="2018-06-16T00:00:00"/>
    <x v="1"/>
    <x v="1"/>
  </r>
  <r>
    <n v="289"/>
    <s v="Carolyn Brooks"/>
    <s v="reading"/>
    <x v="0"/>
    <n v="14239"/>
    <x v="195"/>
    <d v="2025-08-09T00:00:00"/>
    <x v="0"/>
    <x v="1"/>
  </r>
  <r>
    <n v="290"/>
    <s v="Carolyn Faddis"/>
    <s v="honey brook"/>
    <x v="0"/>
    <n v="15350"/>
    <x v="181"/>
    <d v="2022-09-22T00:00:00"/>
    <x v="1"/>
    <x v="4"/>
  </r>
  <r>
    <n v="291"/>
    <s v="Carolyn Mauras"/>
    <s v="norristown"/>
    <x v="1"/>
    <n v="20189"/>
    <x v="196"/>
    <d v="2026-05-01T00:00:00"/>
    <x v="0"/>
    <x v="5"/>
  </r>
  <r>
    <n v="292"/>
    <s v="Carrie Martin"/>
    <s v="bristol"/>
    <x v="0"/>
    <n v="9725"/>
    <x v="109"/>
    <d v="2018-07-20T00:00:00"/>
    <x v="1"/>
    <x v="7"/>
  </r>
  <r>
    <n v="293"/>
    <s v="Caryn Malatesta"/>
    <s v="west chester"/>
    <x v="1"/>
    <n v="9571"/>
    <x v="197"/>
    <d v="2026-04-05T00:00:00"/>
    <x v="0"/>
    <x v="4"/>
  </r>
  <r>
    <n v="294"/>
    <s v="Casey Shanahan"/>
    <s v="media"/>
    <x v="1"/>
    <n v="18066"/>
    <x v="198"/>
    <d v="2024-11-29T00:00:00"/>
    <x v="2"/>
    <x v="3"/>
  </r>
  <r>
    <n v="295"/>
    <s v="Casilyn Papirio"/>
    <s v="fairless hills"/>
    <x v="0"/>
    <n v="10265"/>
    <x v="79"/>
    <d v="2023-06-22T00:00:00"/>
    <x v="1"/>
    <x v="7"/>
  </r>
  <r>
    <n v="296"/>
    <s v="Cassandra Barnett"/>
    <s v="philadelphia"/>
    <x v="0"/>
    <n v="9998"/>
    <x v="199"/>
    <d v="2023-03-31T00:00:00"/>
    <x v="1"/>
    <x v="6"/>
  </r>
  <r>
    <n v="297"/>
    <s v="Cassandra Barnett"/>
    <s v="shillington"/>
    <x v="0"/>
    <n v="20763"/>
    <x v="200"/>
    <d v="2026-08-26T00:00:00"/>
    <x v="0"/>
    <x v="1"/>
  </r>
  <r>
    <n v="298"/>
    <s v="Catherine Kavanaugh"/>
    <s v="lancaster"/>
    <x v="0"/>
    <n v="15480"/>
    <x v="201"/>
    <d v="2026-05-14T00:00:00"/>
    <x v="0"/>
    <x v="2"/>
  </r>
  <r>
    <n v="299"/>
    <s v="Catherine McLaughlin"/>
    <s v="bristol"/>
    <x v="0"/>
    <n v="8275"/>
    <x v="89"/>
    <d v="2014-12-12T00:00:00"/>
    <x v="1"/>
    <x v="7"/>
  </r>
  <r>
    <n v="300"/>
    <s v="Cathleen Mullane"/>
    <s v="philadelphia"/>
    <x v="0"/>
    <n v="11410"/>
    <x v="202"/>
    <d v="2025-06-21T00:00:00"/>
    <x v="0"/>
    <x v="6"/>
  </r>
  <r>
    <n v="301"/>
    <s v="Cathy Cruz"/>
    <s v="reading"/>
    <x v="0"/>
    <n v="16524"/>
    <x v="105"/>
    <d v="2023-06-25T00:00:00"/>
    <x v="1"/>
    <x v="1"/>
  </r>
  <r>
    <n v="302"/>
    <s v="Cecelia Bruce"/>
    <s v="philadelphia"/>
    <x v="0"/>
    <n v="17443"/>
    <x v="203"/>
    <d v="2024-05-16T00:00:00"/>
    <x v="1"/>
    <x v="6"/>
  </r>
  <r>
    <n v="303"/>
    <s v="Cecil Dunmore"/>
    <s v="philadelphia"/>
    <x v="0"/>
    <n v="14007"/>
    <x v="19"/>
    <d v="2023-07-24T00:00:00"/>
    <x v="1"/>
    <x v="6"/>
  </r>
  <r>
    <n v="304"/>
    <s v="Cecilia Velasquez"/>
    <s v="norristown"/>
    <x v="0"/>
    <s v="0566"/>
    <x v="204"/>
    <d v="2027-12-09T00:00:00"/>
    <x v="0"/>
    <x v="5"/>
  </r>
  <r>
    <n v="305"/>
    <s v="Cecily Levan"/>
    <s v="hamburg"/>
    <x v="0"/>
    <n v="15018"/>
    <x v="122"/>
    <d v="2022-01-10T00:00:00"/>
    <x v="1"/>
    <x v="1"/>
  </r>
  <r>
    <n v="306"/>
    <s v="Celestine Leavingston"/>
    <s v="philadelphia"/>
    <x v="0"/>
    <n v="14804"/>
    <x v="117"/>
    <d v="2025-11-18T00:00:00"/>
    <x v="0"/>
    <x v="6"/>
  </r>
  <r>
    <n v="307"/>
    <s v="Chamonix Rassekh"/>
    <s v="levittown"/>
    <x v="0"/>
    <n v="13742"/>
    <x v="139"/>
    <d v="2021-06-25T00:00:00"/>
    <x v="1"/>
    <x v="7"/>
  </r>
  <r>
    <n v="308"/>
    <s v="Chardonee Lee"/>
    <s v="lansdowne"/>
    <x v="0"/>
    <n v="21001"/>
    <x v="205"/>
    <d v="2026-10-15T00:00:00"/>
    <x v="0"/>
    <x v="3"/>
  </r>
  <r>
    <n v="309"/>
    <s v="Charlene Ison"/>
    <s v="philadelphia"/>
    <x v="0"/>
    <n v="14416"/>
    <x v="84"/>
    <d v="2021-08-20T00:00:00"/>
    <x v="1"/>
    <x v="6"/>
  </r>
  <r>
    <n v="310"/>
    <s v="Charlene Sigg"/>
    <s v="hamburg"/>
    <x v="0"/>
    <n v="9434"/>
    <x v="31"/>
    <d v="2019-12-03T00:00:00"/>
    <x v="1"/>
    <x v="1"/>
  </r>
  <r>
    <n v="311"/>
    <s v="Charlene Taylor"/>
    <s v="philadelphia"/>
    <x v="0"/>
    <n v="11046"/>
    <x v="156"/>
    <d v="2020-04-13T00:00:00"/>
    <x v="1"/>
    <x v="6"/>
  </r>
  <r>
    <n v="312"/>
    <s v="Charles  Butts"/>
    <s v="auburn"/>
    <x v="0"/>
    <n v="19501"/>
    <x v="206"/>
    <d v="2025-12-04T00:00:00"/>
    <x v="0"/>
    <x v="0"/>
  </r>
  <r>
    <n v="313"/>
    <s v="Charles  Schembs"/>
    <s v="crum lynne"/>
    <x v="0"/>
    <n v="12220"/>
    <x v="95"/>
    <d v="2026-09-07T00:00:00"/>
    <x v="0"/>
    <x v="3"/>
  </r>
  <r>
    <n v="314"/>
    <s v="Charles Arnold"/>
    <s v="newtown"/>
    <x v="1"/>
    <n v="13502"/>
    <x v="207"/>
    <d v="2021-06-10T00:00:00"/>
    <x v="1"/>
    <x v="7"/>
  </r>
  <r>
    <n v="315"/>
    <s v="Charles Hicks"/>
    <s v="ephrata"/>
    <x v="0"/>
    <n v="9186"/>
    <x v="60"/>
    <d v="2019-05-20T00:00:00"/>
    <x v="1"/>
    <x v="2"/>
  </r>
  <r>
    <n v="316"/>
    <s v="Charles Mapp, Jr."/>
    <s v="philadelphia"/>
    <x v="0"/>
    <n v="10005"/>
    <x v="48"/>
    <d v="2019-01-18T00:00:00"/>
    <x v="1"/>
    <x v="6"/>
  </r>
  <r>
    <n v="317"/>
    <s v="Charles Thran"/>
    <s v="marietta"/>
    <x v="0"/>
    <n v="15182"/>
    <x v="208"/>
    <d v="2022-03-10T00:00:00"/>
    <x v="1"/>
    <x v="2"/>
  </r>
  <r>
    <n v="318"/>
    <s v="Chauncey Stokes"/>
    <s v="philadelphia"/>
    <x v="1"/>
    <n v="16683"/>
    <x v="209"/>
    <d v="2025-07-20T00:00:00"/>
    <x v="0"/>
    <x v="6"/>
  </r>
  <r>
    <n v="319"/>
    <s v="Chavelle  Carter"/>
    <s v="philadelphia"/>
    <x v="1"/>
    <n v="20040"/>
    <x v="210"/>
    <d v="2026-03-25T00:00:00"/>
    <x v="0"/>
    <x v="6"/>
  </r>
  <r>
    <n v="320"/>
    <s v="Chelsea Sormilich"/>
    <s v="philadelphia"/>
    <x v="0"/>
    <n v="10249"/>
    <x v="79"/>
    <d v="2025-06-22T00:00:00"/>
    <x v="0"/>
    <x v="6"/>
  </r>
  <r>
    <n v="321"/>
    <s v="Cheryl Wall"/>
    <s v="lancaster"/>
    <x v="0"/>
    <n v="13723"/>
    <x v="27"/>
    <d v="2021-06-24T00:00:00"/>
    <x v="1"/>
    <x v="2"/>
  </r>
  <r>
    <n v="322"/>
    <s v="Christian Harding"/>
    <s v="lancaster"/>
    <x v="0"/>
    <n v="10137"/>
    <x v="211"/>
    <d v="2019-05-30T00:00:00"/>
    <x v="1"/>
    <x v="2"/>
  </r>
  <r>
    <n v="323"/>
    <s v="Christian Terilla"/>
    <s v="philadelphia"/>
    <x v="0"/>
    <n v="17048"/>
    <x v="55"/>
    <d v="2023-12-15T00:00:00"/>
    <x v="1"/>
    <x v="6"/>
  </r>
  <r>
    <n v="324"/>
    <s v="Christie Adams"/>
    <s v="lansdale"/>
    <x v="0"/>
    <n v="16897"/>
    <x v="212"/>
    <d v="2025-10-10T00:00:00"/>
    <x v="0"/>
    <x v="5"/>
  </r>
  <r>
    <n v="325"/>
    <s v="Christina  Robbins"/>
    <s v="philadelphia"/>
    <x v="0"/>
    <n v="17774"/>
    <x v="82"/>
    <d v="2024-08-18T00:00:00"/>
    <x v="2"/>
    <x v="6"/>
  </r>
  <r>
    <n v="326"/>
    <s v="Christina Congdon"/>
    <s v="swarthmore"/>
    <x v="0"/>
    <n v="9020"/>
    <x v="171"/>
    <d v="2020-09-23T00:00:00"/>
    <x v="1"/>
    <x v="3"/>
  </r>
  <r>
    <n v="327"/>
    <s v="Christina Cortez"/>
    <s v="reading"/>
    <x v="0"/>
    <n v="8896"/>
    <x v="213"/>
    <d v="2026-06-05T00:00:00"/>
    <x v="0"/>
    <x v="1"/>
  </r>
  <r>
    <n v="328"/>
    <s v="Christina Favinger"/>
    <s v="reading"/>
    <x v="0"/>
    <n v="8600"/>
    <x v="214"/>
    <d v="2021-03-06T00:00:00"/>
    <x v="1"/>
    <x v="1"/>
  </r>
  <r>
    <n v="329"/>
    <s v="Christina Gurney"/>
    <s v="philadelphia"/>
    <x v="0"/>
    <n v="8938"/>
    <x v="80"/>
    <d v="2016-06-27T00:00:00"/>
    <x v="1"/>
    <x v="6"/>
  </r>
  <r>
    <n v="330"/>
    <s v="Christina Korczynski"/>
    <s v="glen mills"/>
    <x v="0"/>
    <n v="14012"/>
    <x v="19"/>
    <d v="2021-07-24T00:00:00"/>
    <x v="1"/>
    <x v="3"/>
  </r>
  <r>
    <n v="331"/>
    <s v="Christina Riddle"/>
    <s v="bristol"/>
    <x v="1"/>
    <n v="22121"/>
    <x v="215"/>
    <d v="2027-06-09T00:00:00"/>
    <x v="0"/>
    <x v="7"/>
  </r>
  <r>
    <n v="332"/>
    <s v="Christine Brader"/>
    <s v="quakertown"/>
    <x v="0"/>
    <n v="12190"/>
    <x v="95"/>
    <d v="2024-09-07T00:00:00"/>
    <x v="2"/>
    <x v="7"/>
  </r>
  <r>
    <n v="333"/>
    <s v="Christine Davies"/>
    <s v="warminster"/>
    <x v="0"/>
    <n v="8703"/>
    <x v="216"/>
    <d v="2015-12-12T00:00:00"/>
    <x v="1"/>
    <x v="7"/>
  </r>
  <r>
    <n v="334"/>
    <s v="Christine Harrity"/>
    <s v="philadelphia"/>
    <x v="0"/>
    <n v="11342"/>
    <x v="135"/>
    <d v="2020-05-07T00:00:00"/>
    <x v="1"/>
    <x v="6"/>
  </r>
  <r>
    <n v="335"/>
    <s v="Christine Jackson"/>
    <s v="philadelphia"/>
    <x v="0"/>
    <n v="9170"/>
    <x v="129"/>
    <d v="2017-05-08T00:00:00"/>
    <x v="1"/>
    <x v="6"/>
  </r>
  <r>
    <n v="336"/>
    <s v="Christine Maxwell"/>
    <s v="levittown"/>
    <x v="0"/>
    <n v="8197"/>
    <x v="217"/>
    <d v="2014-09-07T00:00:00"/>
    <x v="1"/>
    <x v="7"/>
  </r>
  <r>
    <n v="337"/>
    <s v="Christine Rizzo"/>
    <s v="broomall"/>
    <x v="1"/>
    <n v="19336"/>
    <x v="218"/>
    <d v="2025-11-03T00:00:00"/>
    <x v="0"/>
    <x v="3"/>
  </r>
  <r>
    <n v="338"/>
    <s v="Christine Rosadino"/>
    <s v="wayne"/>
    <x v="0"/>
    <n v="15523"/>
    <x v="181"/>
    <d v="2022-09-22T00:00:00"/>
    <x v="1"/>
    <x v="3"/>
  </r>
  <r>
    <n v="339"/>
    <s v="Christine Sternberger"/>
    <s v="philadelphia"/>
    <x v="1"/>
    <n v="22056"/>
    <x v="219"/>
    <d v="2027-06-02T00:00:00"/>
    <x v="0"/>
    <x v="6"/>
  </r>
  <r>
    <n v="340"/>
    <s v="Christine Stewart"/>
    <s v="drexel hill"/>
    <x v="0"/>
    <n v="11689"/>
    <x v="2"/>
    <d v="2020-06-18T00:00:00"/>
    <x v="1"/>
    <x v="3"/>
  </r>
  <r>
    <n v="341"/>
    <s v="Christine Suitor"/>
    <s v="columbia"/>
    <x v="0"/>
    <n v="9701"/>
    <x v="220"/>
    <d v="2020-07-06T00:00:00"/>
    <x v="1"/>
    <x v="2"/>
  </r>
  <r>
    <n v="342"/>
    <s v="Christine Webster"/>
    <s v="aston"/>
    <x v="0"/>
    <n v="12569"/>
    <x v="49"/>
    <d v="2020-12-11T00:00:00"/>
    <x v="1"/>
    <x v="3"/>
  </r>
  <r>
    <n v="343"/>
    <s v="Christine Zaengle"/>
    <s v="philadelphia"/>
    <x v="0"/>
    <n v="14426"/>
    <x v="84"/>
    <d v="2025-08-20T00:00:00"/>
    <x v="0"/>
    <x v="6"/>
  </r>
  <r>
    <n v="344"/>
    <s v="Christopher Brown"/>
    <s v="coatesville"/>
    <x v="0"/>
    <n v="15766"/>
    <x v="221"/>
    <d v="2026-12-21T00:00:00"/>
    <x v="0"/>
    <x v="4"/>
  </r>
  <r>
    <n v="345"/>
    <s v="Christopher Caughron"/>
    <s v="malvern"/>
    <x v="0"/>
    <n v="21321"/>
    <x v="222"/>
    <d v="2026-12-31T00:00:00"/>
    <x v="0"/>
    <x v="4"/>
  </r>
  <r>
    <n v="346"/>
    <s v="Christopher Chalfant"/>
    <s v="richboro"/>
    <x v="0"/>
    <n v="19082"/>
    <x v="223"/>
    <d v="2025-08-29T00:00:00"/>
    <x v="0"/>
    <x v="7"/>
  </r>
  <r>
    <n v="347"/>
    <s v="Christopher Erthal"/>
    <s v="lancaster"/>
    <x v="0"/>
    <n v="20701"/>
    <x v="13"/>
    <d v="2026-08-15T00:00:00"/>
    <x v="0"/>
    <x v="2"/>
  </r>
  <r>
    <n v="348"/>
    <s v="Christopher Gourley"/>
    <s v="philadelphia"/>
    <x v="0"/>
    <n v="12416"/>
    <x v="224"/>
    <d v="2021-11-01T00:00:00"/>
    <x v="1"/>
    <x v="6"/>
  </r>
  <r>
    <n v="349"/>
    <s v="Christopher Griddle"/>
    <s v="philadelphia"/>
    <x v="0"/>
    <n v="11565"/>
    <x v="225"/>
    <d v="2023-03-10T00:00:00"/>
    <x v="1"/>
    <x v="6"/>
  </r>
  <r>
    <n v="350"/>
    <s v="Christopher Herrlinger"/>
    <s v="pottstown"/>
    <x v="0"/>
    <n v="14946"/>
    <x v="110"/>
    <d v="2021-12-19T00:00:00"/>
    <x v="1"/>
    <x v="4"/>
  </r>
  <r>
    <n v="351"/>
    <s v="Christopher Kiesel"/>
    <s v="philadelphia"/>
    <x v="0"/>
    <n v="15704"/>
    <x v="52"/>
    <d v="2022-12-07T00:00:00"/>
    <x v="1"/>
    <x v="6"/>
  </r>
  <r>
    <n v="352"/>
    <s v="Christopher Leidig"/>
    <s v="philadelphia"/>
    <x v="0"/>
    <n v="12386"/>
    <x v="226"/>
    <d v="2026-10-09T00:00:00"/>
    <x v="0"/>
    <x v="6"/>
  </r>
  <r>
    <n v="353"/>
    <s v="Christopher Lenkowski"/>
    <s v="west chester"/>
    <x v="0"/>
    <n v="18818"/>
    <x v="227"/>
    <d v="2025-06-30T00:00:00"/>
    <x v="0"/>
    <x v="4"/>
  </r>
  <r>
    <n v="354"/>
    <s v="Christopher McNutt"/>
    <s v="doylestown"/>
    <x v="0"/>
    <n v="13337"/>
    <x v="228"/>
    <d v="2021-05-14T00:00:00"/>
    <x v="1"/>
    <x v="7"/>
  </r>
  <r>
    <n v="355"/>
    <s v="Christopher Rodican"/>
    <s v="schwenksville"/>
    <x v="0"/>
    <n v="20173"/>
    <x v="229"/>
    <d v="2026-04-22T00:00:00"/>
    <x v="0"/>
    <x v="5"/>
  </r>
  <r>
    <n v="356"/>
    <s v="Christopher Sandy"/>
    <s v="warminster"/>
    <x v="0"/>
    <n v="10266"/>
    <x v="79"/>
    <d v="2019-06-22T00:00:00"/>
    <x v="1"/>
    <x v="7"/>
  </r>
  <r>
    <n v="357"/>
    <s v="Christopher Seifert Jr."/>
    <s v="tamaqua"/>
    <x v="0"/>
    <n v="19307"/>
    <x v="230"/>
    <d v="2025-10-13T00:00:00"/>
    <x v="0"/>
    <x v="0"/>
  </r>
  <r>
    <n v="358"/>
    <s v="Christopher Smith"/>
    <s v="pottsville"/>
    <x v="0"/>
    <n v="15763"/>
    <x v="231"/>
    <d v="2026-12-21T00:00:00"/>
    <x v="0"/>
    <x v="0"/>
  </r>
  <r>
    <n v="359"/>
    <s v="Christy McDowell"/>
    <s v="west chester"/>
    <x v="0"/>
    <n v="15354"/>
    <x v="62"/>
    <d v="2023-06-29T00:00:00"/>
    <x v="1"/>
    <x v="4"/>
  </r>
  <r>
    <n v="360"/>
    <s v="Chynna Stebilla"/>
    <s v="kutztown"/>
    <x v="0"/>
    <n v="17845"/>
    <x v="232"/>
    <d v="2026-10-15T00:00:00"/>
    <x v="0"/>
    <x v="1"/>
  </r>
  <r>
    <n v="361"/>
    <s v="Chynna Stebilla"/>
    <s v="kutztown"/>
    <x v="1"/>
    <n v="17845"/>
    <x v="233"/>
    <d v="2026-09-22T00:00:00"/>
    <x v="0"/>
    <x v="1"/>
  </r>
  <r>
    <n v="362"/>
    <s v="Cindy Wanamaker"/>
    <s v="exton"/>
    <x v="1"/>
    <n v="15675"/>
    <x v="234"/>
    <d v="2026-11-28T00:00:00"/>
    <x v="0"/>
    <x v="4"/>
  </r>
  <r>
    <n v="363"/>
    <s v="Claire Keller"/>
    <s v="philadelphia"/>
    <x v="0"/>
    <n v="17584"/>
    <x v="235"/>
    <d v="2026-06-27T00:00:00"/>
    <x v="0"/>
    <x v="6"/>
  </r>
  <r>
    <n v="364"/>
    <s v="Clarence Word"/>
    <s v="lancaster"/>
    <x v="0"/>
    <n v="12737"/>
    <x v="6"/>
    <d v="2021-01-14T00:00:00"/>
    <x v="3"/>
    <x v="2"/>
  </r>
  <r>
    <n v="365"/>
    <s v="Claritza Mason"/>
    <s v="reading"/>
    <x v="0"/>
    <n v="10030"/>
    <x v="134"/>
    <d v="2027-01-31T00:00:00"/>
    <x v="0"/>
    <x v="1"/>
  </r>
  <r>
    <n v="366"/>
    <s v="Claudia Herman"/>
    <s v="mohrsville"/>
    <x v="0"/>
    <n v="12574"/>
    <x v="49"/>
    <d v="2026-12-11T00:00:00"/>
    <x v="0"/>
    <x v="1"/>
  </r>
  <r>
    <n v="367"/>
    <s v="Claudia Herman"/>
    <s v="mohrsville"/>
    <x v="1"/>
    <n v="12574"/>
    <x v="236"/>
    <d v="2026-12-11T00:00:00"/>
    <x v="0"/>
    <x v="1"/>
  </r>
  <r>
    <n v="368"/>
    <s v="Clayton Loehr"/>
    <s v="hamburg"/>
    <x v="0"/>
    <n v="17326"/>
    <x v="237"/>
    <d v="2024-04-08T00:00:00"/>
    <x v="1"/>
    <x v="1"/>
  </r>
  <r>
    <n v="369"/>
    <s v="Cody Gowin"/>
    <s v="phoenixville"/>
    <x v="1"/>
    <n v="22131"/>
    <x v="238"/>
    <d v="2027-06-12T00:00:00"/>
    <x v="0"/>
    <x v="4"/>
  </r>
  <r>
    <n v="370"/>
    <s v="Cody Roggio"/>
    <s v="philadelphia"/>
    <x v="0"/>
    <n v="16967"/>
    <x v="239"/>
    <d v="2023-11-04T00:00:00"/>
    <x v="1"/>
    <x v="6"/>
  </r>
  <r>
    <n v="371"/>
    <s v="Colin  Kerrigan"/>
    <s v="columbia"/>
    <x v="0"/>
    <n v="17261"/>
    <x v="240"/>
    <d v="2027-02-05T00:00:00"/>
    <x v="0"/>
    <x v="2"/>
  </r>
  <r>
    <n v="372"/>
    <s v="Colleen McEvoy"/>
    <s v="ephrata"/>
    <x v="0"/>
    <n v="12723"/>
    <x v="6"/>
    <d v="2023-01-14T00:00:00"/>
    <x v="1"/>
    <x v="2"/>
  </r>
  <r>
    <n v="373"/>
    <s v="Colleen McEvoy"/>
    <s v="ephrata"/>
    <x v="1"/>
    <n v="12723"/>
    <x v="241"/>
    <d v="2023-04-15T00:00:00"/>
    <x v="1"/>
    <x v="2"/>
  </r>
  <r>
    <n v="374"/>
    <s v="Collin Jordan"/>
    <s v="reading"/>
    <x v="0"/>
    <n v="17626"/>
    <x v="242"/>
    <d v="2024-07-10T00:00:00"/>
    <x v="2"/>
    <x v="1"/>
  </r>
  <r>
    <n v="375"/>
    <s v="Collin Wainwright"/>
    <s v="springfield"/>
    <x v="0"/>
    <n v="15302"/>
    <x v="51"/>
    <d v="2024-06-30T00:00:00"/>
    <x v="2"/>
    <x v="3"/>
  </r>
  <r>
    <n v="376"/>
    <s v="Concelia Bell"/>
    <s v="elkins park"/>
    <x v="0"/>
    <n v="8665"/>
    <x v="164"/>
    <d v="2017-10-30T00:00:00"/>
    <x v="1"/>
    <x v="5"/>
  </r>
  <r>
    <n v="377"/>
    <s v="Consuelo Taylor"/>
    <s v="media"/>
    <x v="0"/>
    <n v="18109"/>
    <x v="243"/>
    <d v="2024-12-12T00:00:00"/>
    <x v="2"/>
    <x v="3"/>
  </r>
  <r>
    <n v="378"/>
    <s v="Corina Ramos"/>
    <s v="media"/>
    <x v="0"/>
    <n v="11070"/>
    <x v="19"/>
    <d v="2024-04-19T00:00:00"/>
    <x v="1"/>
    <x v="3"/>
  </r>
  <r>
    <n v="379"/>
    <s v="Cortney Mauer"/>
    <s v="levittown"/>
    <x v="0"/>
    <n v="10260"/>
    <x v="79"/>
    <d v="2019-06-22T00:00:00"/>
    <x v="1"/>
    <x v="7"/>
  </r>
  <r>
    <n v="380"/>
    <s v="Courtney Klein"/>
    <s v="norristown"/>
    <x v="0"/>
    <n v="9606"/>
    <x v="15"/>
    <d v="2018-05-23T00:00:00"/>
    <x v="3"/>
    <x v="5"/>
  </r>
  <r>
    <n v="381"/>
    <s v="Courtney Moore"/>
    <s v="philadelphia"/>
    <x v="0"/>
    <n v="10792"/>
    <x v="126"/>
    <d v="2020-03-09T00:00:00"/>
    <x v="1"/>
    <x v="6"/>
  </r>
  <r>
    <n v="382"/>
    <s v="Courtney Wilson"/>
    <s v="plymouth meeting"/>
    <x v="0"/>
    <n v="14525"/>
    <x v="244"/>
    <d v="2021-08-28T00:00:00"/>
    <x v="1"/>
    <x v="5"/>
  </r>
  <r>
    <n v="383"/>
    <s v="Craig Wagner"/>
    <s v="reading"/>
    <x v="0"/>
    <n v="17389"/>
    <x v="245"/>
    <d v="2024-04-25T00:00:00"/>
    <x v="1"/>
    <x v="1"/>
  </r>
  <r>
    <n v="384"/>
    <s v="Crystal Corcoran"/>
    <s v="reading"/>
    <x v="0"/>
    <n v="8053"/>
    <x v="142"/>
    <d v="2016-03-09T00:00:00"/>
    <x v="1"/>
    <x v="1"/>
  </r>
  <r>
    <n v="385"/>
    <s v="Crystal Gernand"/>
    <s v="pottsville"/>
    <x v="0"/>
    <n v="9818"/>
    <x v="246"/>
    <d v="2020-09-14T00:00:00"/>
    <x v="1"/>
    <x v="0"/>
  </r>
  <r>
    <n v="386"/>
    <s v="Crystal Gernand"/>
    <s v="pottsville"/>
    <x v="1"/>
    <n v="9818"/>
    <x v="247"/>
    <d v="2021-02-01T00:00:00"/>
    <x v="1"/>
    <x v="0"/>
  </r>
  <r>
    <n v="387"/>
    <s v="Crystal Sullivan"/>
    <s v="lansdale"/>
    <x v="1"/>
    <n v="17088"/>
    <x v="248"/>
    <d v="2026-01-04T00:00:00"/>
    <x v="0"/>
    <x v="5"/>
  </r>
  <r>
    <n v="388"/>
    <s v="Curt Eckstrom"/>
    <s v="philadelphia"/>
    <x v="0"/>
    <n v="12688"/>
    <x v="127"/>
    <d v="2021-01-09T00:00:00"/>
    <x v="1"/>
    <x v="6"/>
  </r>
  <r>
    <n v="389"/>
    <s v="Curtis Benson"/>
    <s v="philadelphia"/>
    <x v="0"/>
    <n v="16518"/>
    <x v="249"/>
    <d v="2023-06-26T00:00:00"/>
    <x v="1"/>
    <x v="6"/>
  </r>
  <r>
    <n v="390"/>
    <s v="Curtis Weaver"/>
    <s v="reading"/>
    <x v="0"/>
    <n v="7937"/>
    <x v="250"/>
    <d v="2013-10-07T00:00:00"/>
    <x v="1"/>
    <x v="1"/>
  </r>
  <r>
    <n v="391"/>
    <s v="Cynthia Looney"/>
    <s v="langhorne"/>
    <x v="0"/>
    <n v="9348"/>
    <x v="251"/>
    <d v="2019-09-11T00:00:00"/>
    <x v="1"/>
    <x v="7"/>
  </r>
  <r>
    <n v="392"/>
    <s v="Cynthia Praul"/>
    <s v="bristol"/>
    <x v="0"/>
    <n v="8715"/>
    <x v="252"/>
    <d v="2017-12-16T00:00:00"/>
    <x v="1"/>
    <x v="7"/>
  </r>
  <r>
    <n v="393"/>
    <s v="Cynthia Roussel"/>
    <s v="reading"/>
    <x v="0"/>
    <n v="8981"/>
    <x v="253"/>
    <d v="2018-08-01T00:00:00"/>
    <x v="1"/>
    <x v="1"/>
  </r>
  <r>
    <n v="394"/>
    <s v="Cynthia Webb"/>
    <s v="yardley"/>
    <x v="0"/>
    <n v="8280"/>
    <x v="89"/>
    <d v="2014-12-12T00:00:00"/>
    <x v="1"/>
    <x v="7"/>
  </r>
  <r>
    <n v="395"/>
    <s v="Dale Brown"/>
    <s v="reading"/>
    <x v="0"/>
    <n v="8861"/>
    <x v="254"/>
    <d v="2020-10-31T00:00:00"/>
    <x v="1"/>
    <x v="1"/>
  </r>
  <r>
    <n v="396"/>
    <s v="Damien Warsavage"/>
    <s v="upper darby"/>
    <x v="0"/>
    <n v="9350"/>
    <x v="251"/>
    <d v="2017-09-11T00:00:00"/>
    <x v="1"/>
    <x v="3"/>
  </r>
  <r>
    <n v="397"/>
    <s v="Dana Heileman"/>
    <s v="philadelphia"/>
    <x v="0"/>
    <n v="12002"/>
    <x v="10"/>
    <d v="2024-08-01T00:00:00"/>
    <x v="2"/>
    <x v="6"/>
  </r>
  <r>
    <n v="398"/>
    <s v="Dana Hess"/>
    <s v="lititz"/>
    <x v="0"/>
    <n v="21014"/>
    <x v="141"/>
    <d v="2026-10-16T00:00:00"/>
    <x v="0"/>
    <x v="2"/>
  </r>
  <r>
    <n v="399"/>
    <s v="Dana Kirlin"/>
    <s v="philadelphia"/>
    <x v="0"/>
    <n v="9982"/>
    <x v="255"/>
    <d v="2021-01-11T00:00:00"/>
    <x v="1"/>
    <x v="6"/>
  </r>
  <r>
    <n v="400"/>
    <s v="Dana Lomax-Ayler"/>
    <s v="philadelphia"/>
    <x v="0"/>
    <n v="11347"/>
    <x v="135"/>
    <d v="2020-05-07T00:00:00"/>
    <x v="1"/>
    <x v="6"/>
  </r>
  <r>
    <n v="401"/>
    <s v="Daneille Bean"/>
    <s v="philadelphia"/>
    <x v="0"/>
    <n v="18938"/>
    <x v="256"/>
    <d v="2025-07-28T00:00:00"/>
    <x v="0"/>
    <x v="6"/>
  </r>
  <r>
    <n v="402"/>
    <s v="Danette Mahute"/>
    <s v="pottsville"/>
    <x v="0"/>
    <n v="10588"/>
    <x v="88"/>
    <d v="2025-12-12T00:00:00"/>
    <x v="0"/>
    <x v="0"/>
  </r>
  <r>
    <n v="403"/>
    <s v="Dani  Keener"/>
    <s v="lititz"/>
    <x v="0"/>
    <n v="9656"/>
    <x v="194"/>
    <d v="2020-06-16T00:00:00"/>
    <x v="1"/>
    <x v="2"/>
  </r>
  <r>
    <n v="404"/>
    <s v="Daniel Bauer"/>
    <s v="bensalem"/>
    <x v="0"/>
    <n v="11702"/>
    <x v="104"/>
    <d v="2022-06-21T00:00:00"/>
    <x v="1"/>
    <x v="7"/>
  </r>
  <r>
    <n v="405"/>
    <s v="Daniel Bauer"/>
    <s v="bensalem"/>
    <x v="1"/>
    <n v="11702"/>
    <x v="257"/>
    <d v="2022-10-15T00:00:00"/>
    <x v="1"/>
    <x v="7"/>
  </r>
  <r>
    <n v="406"/>
    <s v="Daniel Becker"/>
    <s v="quakertown"/>
    <x v="0"/>
    <n v="14939"/>
    <x v="110"/>
    <d v="2021-12-19T00:00:00"/>
    <x v="1"/>
    <x v="7"/>
  </r>
  <r>
    <n v="407"/>
    <s v="Daniel Bewley"/>
    <s v="lancaster"/>
    <x v="0"/>
    <n v="12716"/>
    <x v="6"/>
    <d v="2025-01-14T00:00:00"/>
    <x v="2"/>
    <x v="2"/>
  </r>
  <r>
    <n v="408"/>
    <s v="Daniel Dugan"/>
    <s v="wallingford"/>
    <x v="0"/>
    <n v="12357"/>
    <x v="74"/>
    <d v="2022-09-26T00:00:00"/>
    <x v="1"/>
    <x v="3"/>
  </r>
  <r>
    <n v="409"/>
    <s v="Daniel Ennis"/>
    <s v="sellersville"/>
    <x v="0"/>
    <n v="17940"/>
    <x v="258"/>
    <d v="2026-11-10T00:00:00"/>
    <x v="0"/>
    <x v="7"/>
  </r>
  <r>
    <n v="410"/>
    <s v="Daniel Giblin"/>
    <s v="royersford"/>
    <x v="0"/>
    <n v="10649"/>
    <x v="36"/>
    <d v="2024-01-18T00:00:00"/>
    <x v="1"/>
    <x v="5"/>
  </r>
  <r>
    <n v="411"/>
    <s v="Daniel Howard, Jr."/>
    <s v="reading"/>
    <x v="0"/>
    <n v="10708"/>
    <x v="177"/>
    <d v="2020-02-23T00:00:00"/>
    <x v="1"/>
    <x v="1"/>
  </r>
  <r>
    <n v="412"/>
    <s v="Daniel Joseph"/>
    <s v="lancaster"/>
    <x v="0"/>
    <n v="12777"/>
    <x v="116"/>
    <d v="2021-01-25T00:00:00"/>
    <x v="1"/>
    <x v="2"/>
  </r>
  <r>
    <n v="413"/>
    <s v="Daniel Miller"/>
    <s v="pipersville"/>
    <x v="0"/>
    <n v="15709"/>
    <x v="52"/>
    <d v="2022-12-07T00:00:00"/>
    <x v="1"/>
    <x v="7"/>
  </r>
  <r>
    <n v="414"/>
    <s v="Daniel O'Neill"/>
    <s v="bensalem"/>
    <x v="0"/>
    <n v="17011"/>
    <x v="259"/>
    <d v="2023-12-01T00:00:00"/>
    <x v="1"/>
    <x v="7"/>
  </r>
  <r>
    <n v="415"/>
    <s v="Daniel Tobias"/>
    <s v="rehrersburg"/>
    <x v="0"/>
    <n v="21388"/>
    <x v="260"/>
    <d v="2027-01-22T00:00:00"/>
    <x v="0"/>
    <x v="1"/>
  </r>
  <r>
    <n v="416"/>
    <s v="Daniel Wallace"/>
    <s v="elizabethtown"/>
    <x v="0"/>
    <n v="13724"/>
    <x v="27"/>
    <d v="2021-06-24T00:00:00"/>
    <x v="1"/>
    <x v="2"/>
  </r>
  <r>
    <n v="417"/>
    <s v="Daniela Hollister"/>
    <s v="reading"/>
    <x v="0"/>
    <n v="21638"/>
    <x v="261"/>
    <d v="2027-03-02T00:00:00"/>
    <x v="0"/>
    <x v="1"/>
  </r>
  <r>
    <n v="418"/>
    <s v="Danielle Bellosi"/>
    <s v="newtown"/>
    <x v="0"/>
    <n v="9976"/>
    <x v="255"/>
    <d v="2019-01-11T00:00:00"/>
    <x v="1"/>
    <x v="7"/>
  </r>
  <r>
    <n v="419"/>
    <s v="Danielle Curry"/>
    <s v="elkins park"/>
    <x v="0"/>
    <n v="9343"/>
    <x v="251"/>
    <d v="2021-09-11T00:00:00"/>
    <x v="1"/>
    <x v="5"/>
  </r>
  <r>
    <n v="420"/>
    <s v="Danielle DiCristofalo"/>
    <s v="levittown"/>
    <x v="0"/>
    <n v="9168"/>
    <x v="129"/>
    <d v="2017-05-08T00:00:00"/>
    <x v="1"/>
    <x v="7"/>
  </r>
  <r>
    <n v="421"/>
    <s v="Danielle Drum"/>
    <s v="levittown"/>
    <x v="0"/>
    <n v="17888"/>
    <x v="262"/>
    <d v="2024-10-03T00:00:00"/>
    <x v="2"/>
    <x v="7"/>
  </r>
  <r>
    <n v="422"/>
    <s v="Danielle McLaughlin"/>
    <s v="leesport"/>
    <x v="2"/>
    <n v="21002"/>
    <x v="205"/>
    <d v="2026-10-15T00:00:00"/>
    <x v="0"/>
    <x v="1"/>
  </r>
  <r>
    <n v="423"/>
    <s v="Danielle Stumbaugh"/>
    <s v="philadelphia"/>
    <x v="0"/>
    <n v="17885"/>
    <x v="262"/>
    <d v="2026-10-03T00:00:00"/>
    <x v="0"/>
    <x v="6"/>
  </r>
  <r>
    <n v="424"/>
    <s v="Danny Beaver"/>
    <s v="coatesville"/>
    <x v="0"/>
    <n v="18485"/>
    <x v="114"/>
    <d v="2025-04-06T00:00:00"/>
    <x v="2"/>
    <x v="4"/>
  </r>
  <r>
    <n v="425"/>
    <s v="Danny Beaver"/>
    <s v="coatesville"/>
    <x v="1"/>
    <n v="18485"/>
    <x v="263"/>
    <d v="2025-04-17T00:00:00"/>
    <x v="2"/>
    <x v="4"/>
  </r>
  <r>
    <n v="426"/>
    <s v="Danyelle Eckert"/>
    <s v="bensalem"/>
    <x v="0"/>
    <n v="10374"/>
    <x v="9"/>
    <d v="2021-09-08T00:00:00"/>
    <x v="1"/>
    <x v="7"/>
  </r>
  <r>
    <n v="427"/>
    <s v="Darcell Watson"/>
    <s v="philadelphia"/>
    <x v="0"/>
    <n v="7773"/>
    <x v="264"/>
    <d v="2013-03-11T00:00:00"/>
    <x v="1"/>
    <x v="6"/>
  </r>
  <r>
    <n v="428"/>
    <s v="Dariel Rojo-Irizarry"/>
    <s v="philadelphia"/>
    <x v="0"/>
    <n v="13340"/>
    <x v="228"/>
    <d v="2021-05-14T00:00:00"/>
    <x v="1"/>
    <x v="6"/>
  </r>
  <r>
    <n v="429"/>
    <s v="Darish Still"/>
    <s v="philadelphia"/>
    <x v="0"/>
    <n v="17102"/>
    <x v="265"/>
    <d v="2026-01-09T00:00:00"/>
    <x v="0"/>
    <x v="6"/>
  </r>
  <r>
    <n v="430"/>
    <s v="Darlin Harris"/>
    <s v="marcus hook"/>
    <x v="0"/>
    <n v="15342"/>
    <x v="94"/>
    <d v="2022-07-29T00:00:00"/>
    <x v="1"/>
    <x v="3"/>
  </r>
  <r>
    <n v="431"/>
    <s v="Darrel Dukes"/>
    <s v="pottstown"/>
    <x v="0"/>
    <n v="17509"/>
    <x v="266"/>
    <d v="2026-06-01T00:00:00"/>
    <x v="0"/>
    <x v="4"/>
  </r>
  <r>
    <n v="432"/>
    <s v="Darryl Darden"/>
    <s v="philadelphia"/>
    <x v="0"/>
    <n v="21087"/>
    <x v="267"/>
    <d v="2026-11-05T00:00:00"/>
    <x v="0"/>
    <x v="6"/>
  </r>
  <r>
    <n v="433"/>
    <s v="Darryl Johnson"/>
    <s v="philadelphia"/>
    <x v="0"/>
    <n v="21762"/>
    <x v="268"/>
    <d v="2027-03-25T00:00:00"/>
    <x v="0"/>
    <x v="6"/>
  </r>
  <r>
    <n v="434"/>
    <s v="David &quot;Mario&quot; Maleski"/>
    <s v="manheim"/>
    <x v="0"/>
    <n v="18740"/>
    <x v="269"/>
    <d v="2027-06-16T00:00:00"/>
    <x v="0"/>
    <x v="2"/>
  </r>
  <r>
    <n v="435"/>
    <s v="David Anastasi"/>
    <s v="jamison"/>
    <x v="0"/>
    <n v="9413"/>
    <x v="270"/>
    <d v="2017-11-19T00:00:00"/>
    <x v="1"/>
    <x v="7"/>
  </r>
  <r>
    <n v="436"/>
    <s v="David Augustine"/>
    <s v="lancaster"/>
    <x v="0"/>
    <n v="15177"/>
    <x v="208"/>
    <d v="2022-03-10T00:00:00"/>
    <x v="1"/>
    <x v="2"/>
  </r>
  <r>
    <n v="437"/>
    <s v="David Crockett"/>
    <s v="quakertown"/>
    <x v="0"/>
    <n v="18653"/>
    <x v="271"/>
    <d v="2025-05-28T00:00:00"/>
    <x v="2"/>
    <x v="7"/>
  </r>
  <r>
    <n v="438"/>
    <s v="David Crockett"/>
    <s v="quakertown"/>
    <x v="1"/>
    <n v="18653"/>
    <x v="272"/>
    <d v="2025-05-24T00:00:00"/>
    <x v="2"/>
    <x v="7"/>
  </r>
  <r>
    <n v="439"/>
    <s v="David Crowder"/>
    <s v="phoenixville"/>
    <x v="0"/>
    <n v="9167"/>
    <x v="129"/>
    <d v="2017-05-08T00:00:00"/>
    <x v="1"/>
    <x v="4"/>
  </r>
  <r>
    <n v="440"/>
    <s v="David Davies"/>
    <s v="warminster"/>
    <x v="0"/>
    <n v="8497"/>
    <x v="41"/>
    <d v="2015-06-25T00:00:00"/>
    <x v="1"/>
    <x v="7"/>
  </r>
  <r>
    <n v="441"/>
    <s v="David Filipini"/>
    <s v="reading"/>
    <x v="0"/>
    <n v="9429"/>
    <x v="31"/>
    <d v="2025-12-03T00:00:00"/>
    <x v="0"/>
    <x v="1"/>
  </r>
  <r>
    <n v="442"/>
    <s v="David Harvey"/>
    <s v="bristol"/>
    <x v="0"/>
    <n v="16855"/>
    <x v="273"/>
    <d v="2025-09-22T00:00:00"/>
    <x v="0"/>
    <x v="7"/>
  </r>
  <r>
    <n v="443"/>
    <s v="David Highfill"/>
    <s v="lancaster"/>
    <x v="0"/>
    <n v="9765"/>
    <x v="274"/>
    <d v="2018-08-19T00:00:00"/>
    <x v="1"/>
    <x v="2"/>
  </r>
  <r>
    <n v="444"/>
    <s v="David Kempf"/>
    <s v="dublin"/>
    <x v="0"/>
    <n v="11996"/>
    <x v="10"/>
    <d v="2020-08-01T00:00:00"/>
    <x v="1"/>
    <x v="7"/>
  </r>
  <r>
    <n v="445"/>
    <s v="David Lacy"/>
    <s v="phoenixville"/>
    <x v="0"/>
    <n v="11997"/>
    <x v="10"/>
    <d v="2020-08-01T00:00:00"/>
    <x v="1"/>
    <x v="4"/>
  </r>
  <r>
    <n v="446"/>
    <s v="David Lintvedt"/>
    <s v="east greenville"/>
    <x v="0"/>
    <n v="16431"/>
    <x v="275"/>
    <d v="2027-06-18T00:00:00"/>
    <x v="0"/>
    <x v="5"/>
  </r>
  <r>
    <n v="447"/>
    <s v="David Mack"/>
    <s v="philadelphia"/>
    <x v="0"/>
    <n v="9349"/>
    <x v="251"/>
    <d v="2017-09-11T00:00:00"/>
    <x v="1"/>
    <x v="6"/>
  </r>
  <r>
    <n v="448"/>
    <s v="David Maldonado"/>
    <s v="philadelphia"/>
    <x v="0"/>
    <n v="14014"/>
    <x v="19"/>
    <d v="2025-07-24T00:00:00"/>
    <x v="0"/>
    <x v="6"/>
  </r>
  <r>
    <n v="449"/>
    <s v="David Niblick Jr."/>
    <s v="philadelphia"/>
    <x v="0"/>
    <n v="20795"/>
    <x v="276"/>
    <d v="2026-09-06T00:00:00"/>
    <x v="0"/>
    <x v="6"/>
  </r>
  <r>
    <n v="450"/>
    <s v="David Sichel"/>
    <s v="trevose"/>
    <x v="0"/>
    <n v="12321"/>
    <x v="277"/>
    <d v="2022-09-24T00:00:00"/>
    <x v="1"/>
    <x v="7"/>
  </r>
  <r>
    <n v="451"/>
    <s v="David Stevenson, Sr."/>
    <s v="reading"/>
    <x v="0"/>
    <n v="9435"/>
    <x v="31"/>
    <d v="2017-12-03T00:00:00"/>
    <x v="3"/>
    <x v="1"/>
  </r>
  <r>
    <n v="452"/>
    <s v="David Tancredi"/>
    <s v="willow street"/>
    <x v="0"/>
    <n v="9661"/>
    <x v="194"/>
    <d v="2020-06-16T00:00:00"/>
    <x v="1"/>
    <x v="2"/>
  </r>
  <r>
    <n v="453"/>
    <s v="David Wright"/>
    <s v="philadelphia"/>
    <x v="0"/>
    <n v="8566"/>
    <x v="278"/>
    <d v="2027-06-05T00:00:00"/>
    <x v="0"/>
    <x v="6"/>
  </r>
  <r>
    <n v="454"/>
    <s v="David Wright"/>
    <s v="philadelphia"/>
    <x v="1"/>
    <n v="8566"/>
    <x v="279"/>
    <d v="2027-03-29T00:00:00"/>
    <x v="0"/>
    <x v="6"/>
  </r>
  <r>
    <n v="455"/>
    <s v="David Youll"/>
    <s v="sinking spring"/>
    <x v="0"/>
    <n v="9782"/>
    <x v="280"/>
    <d v="2018-09-09T00:00:00"/>
    <x v="1"/>
    <x v="1"/>
  </r>
  <r>
    <n v="456"/>
    <s v="David Youll"/>
    <s v="sinking spring"/>
    <x v="1"/>
    <n v="8782"/>
    <x v="281"/>
    <d v="2022-08-14T00:00:00"/>
    <x v="1"/>
    <x v="1"/>
  </r>
  <r>
    <n v="457"/>
    <s v="Dawn DiMascio-Eddinger"/>
    <s v="birdsboro"/>
    <x v="0"/>
    <n v="12774"/>
    <x v="116"/>
    <d v="2021-01-25T00:00:00"/>
    <x v="1"/>
    <x v="1"/>
  </r>
  <r>
    <n v="458"/>
    <s v="Dawn Lutz"/>
    <s v="lancaster"/>
    <x v="0"/>
    <n v="10354"/>
    <x v="176"/>
    <d v="2023-08-28T00:00:00"/>
    <x v="1"/>
    <x v="2"/>
  </r>
  <r>
    <n v="459"/>
    <s v="Dawn Lybrand"/>
    <s v="phoenixville"/>
    <x v="0"/>
    <n v="17823"/>
    <x v="146"/>
    <d v="2026-10-06T00:00:00"/>
    <x v="0"/>
    <x v="4"/>
  </r>
  <r>
    <n v="460"/>
    <s v="Dawn Lybrand"/>
    <s v="phoenixville"/>
    <x v="1"/>
    <n v="17823"/>
    <x v="282"/>
    <d v="2026-09-12T00:00:00"/>
    <x v="0"/>
    <x v="4"/>
  </r>
  <r>
    <n v="461"/>
    <s v="Dawn Ramsey"/>
    <s v="king of prussia"/>
    <x v="0"/>
    <n v="9096"/>
    <x v="283"/>
    <d v="2026-07-10T00:00:00"/>
    <x v="0"/>
    <x v="5"/>
  </r>
  <r>
    <n v="462"/>
    <s v="Dawn Ramsey"/>
    <s v="king of prussia"/>
    <x v="1"/>
    <n v="9096"/>
    <x v="284"/>
    <d v="2026-02-26T00:00:00"/>
    <x v="0"/>
    <x v="5"/>
  </r>
  <r>
    <n v="463"/>
    <s v="Dawn Ramsey"/>
    <s v="king of prussia"/>
    <x v="2"/>
    <n v="9096"/>
    <x v="285"/>
    <d v="2027-02-03T00:00:00"/>
    <x v="0"/>
    <x v="5"/>
  </r>
  <r>
    <n v="464"/>
    <s v="Dawn Smalley"/>
    <s v="philadelphia"/>
    <x v="0"/>
    <n v="16104"/>
    <x v="286"/>
    <d v="2023-03-22T00:00:00"/>
    <x v="1"/>
    <x v="6"/>
  </r>
  <r>
    <n v="465"/>
    <s v="Dawn Williams-Walter"/>
    <s v="philadelphia"/>
    <x v="0"/>
    <n v="10378"/>
    <x v="9"/>
    <d v="2023-09-08T00:00:00"/>
    <x v="1"/>
    <x v="6"/>
  </r>
  <r>
    <n v="466"/>
    <s v="Dean Vandersall"/>
    <s v="reading"/>
    <x v="0"/>
    <n v="8334"/>
    <x v="287"/>
    <d v="2017-02-26T00:00:00"/>
    <x v="1"/>
    <x v="1"/>
  </r>
  <r>
    <n v="467"/>
    <s v="Deanna Endebrock"/>
    <s v="phoenixville"/>
    <x v="0"/>
    <n v="14754"/>
    <x v="224"/>
    <d v="2025-11-01T00:00:00"/>
    <x v="0"/>
    <x v="4"/>
  </r>
  <r>
    <n v="468"/>
    <s v="Deanna Friend"/>
    <s v="philadelphia"/>
    <x v="0"/>
    <n v="8451"/>
    <x v="106"/>
    <d v="2015-05-18T00:00:00"/>
    <x v="1"/>
    <x v="6"/>
  </r>
  <r>
    <n v="469"/>
    <s v="Deborah Lachmann"/>
    <s v="quakertown"/>
    <x v="0"/>
    <n v="9607"/>
    <x v="15"/>
    <d v="2020-05-23T00:00:00"/>
    <x v="1"/>
    <x v="7"/>
  </r>
  <r>
    <n v="470"/>
    <s v="Deborah Rutter"/>
    <s v="mountville"/>
    <x v="0"/>
    <n v="10595"/>
    <x v="88"/>
    <d v="2019-12-12T00:00:00"/>
    <x v="1"/>
    <x v="2"/>
  </r>
  <r>
    <n v="471"/>
    <s v="Deborah Turner"/>
    <s v="philadelphia"/>
    <x v="0"/>
    <n v="14911"/>
    <x v="288"/>
    <d v="2021-12-10T00:00:00"/>
    <x v="1"/>
    <x v="6"/>
  </r>
  <r>
    <n v="472"/>
    <s v="Deborah Wilson"/>
    <s v="philadelphia"/>
    <x v="0"/>
    <n v="8153"/>
    <x v="170"/>
    <d v="2014-07-21T00:00:00"/>
    <x v="1"/>
    <x v="6"/>
  </r>
  <r>
    <n v="473"/>
    <s v="Debra Boyer"/>
    <s v="riegelsville"/>
    <x v="0"/>
    <n v="15695"/>
    <x v="52"/>
    <d v="2026-12-07T00:00:00"/>
    <x v="0"/>
    <x v="7"/>
  </r>
  <r>
    <n v="474"/>
    <s v="Debra Delp"/>
    <s v="lansdale"/>
    <x v="1"/>
    <n v="13501"/>
    <x v="207"/>
    <d v="2021-06-10T00:00:00"/>
    <x v="1"/>
    <x v="5"/>
  </r>
  <r>
    <n v="475"/>
    <s v="Debra Hill"/>
    <s v="media"/>
    <x v="0"/>
    <n v="7348"/>
    <x v="289"/>
    <d v="2018-06-26T00:00:00"/>
    <x v="1"/>
    <x v="3"/>
  </r>
  <r>
    <n v="476"/>
    <s v="Debra Wurster"/>
    <s v="reading"/>
    <x v="0"/>
    <n v="10111"/>
    <x v="63"/>
    <d v="2021-04-21T00:00:00"/>
    <x v="1"/>
    <x v="1"/>
  </r>
  <r>
    <n v="477"/>
    <s v="DeLaine Williams"/>
    <s v="willow grove"/>
    <x v="0"/>
    <n v="8155"/>
    <x v="170"/>
    <d v="2016-07-21T00:00:00"/>
    <x v="1"/>
    <x v="5"/>
  </r>
  <r>
    <n v="478"/>
    <s v="Deliverance Pennypacker"/>
    <s v="reading"/>
    <x v="0"/>
    <n v="16857"/>
    <x v="273"/>
    <d v="2025-09-22T00:00:00"/>
    <x v="0"/>
    <x v="1"/>
  </r>
  <r>
    <n v="479"/>
    <s v="Deliverance Pennypacker"/>
    <s v="reading"/>
    <x v="1"/>
    <n v="16857"/>
    <x v="290"/>
    <d v="2025-09-05T00:00:00"/>
    <x v="0"/>
    <x v="1"/>
  </r>
  <r>
    <n v="480"/>
    <s v="Denene Roane"/>
    <s v="west chester"/>
    <x v="0"/>
    <n v="15522"/>
    <x v="181"/>
    <d v="2022-09-22T00:00:00"/>
    <x v="1"/>
    <x v="4"/>
  </r>
  <r>
    <n v="481"/>
    <s v="Denise Desris"/>
    <s v="perkasie"/>
    <x v="0"/>
    <n v="21081"/>
    <x v="140"/>
    <d v="2026-11-04T00:00:00"/>
    <x v="0"/>
    <x v="7"/>
  </r>
  <r>
    <n v="482"/>
    <s v="Denise Miliner"/>
    <s v="trevose"/>
    <x v="0"/>
    <n v="8452"/>
    <x v="106"/>
    <d v="2025-05-18T00:00:00"/>
    <x v="2"/>
    <x v="7"/>
  </r>
  <r>
    <n v="483"/>
    <s v="Denise Peters"/>
    <s v="quakertown"/>
    <x v="0"/>
    <n v="9041"/>
    <x v="291"/>
    <d v="2018-10-10T00:00:00"/>
    <x v="1"/>
    <x v="7"/>
  </r>
  <r>
    <n v="484"/>
    <s v="Dennis Swift"/>
    <s v="philadelphia"/>
    <x v="0"/>
    <n v="10013"/>
    <x v="48"/>
    <d v="2019-01-18T00:00:00"/>
    <x v="1"/>
    <x v="6"/>
  </r>
  <r>
    <n v="485"/>
    <s v="Derek Hahn"/>
    <s v="new holland"/>
    <x v="0"/>
    <n v="17240"/>
    <x v="292"/>
    <d v="2024-08-28T00:00:00"/>
    <x v="2"/>
    <x v="2"/>
  </r>
  <r>
    <n v="486"/>
    <s v="Derek Hahn"/>
    <s v="new holland"/>
    <x v="1"/>
    <n v="17240"/>
    <x v="293"/>
    <d v="2024-03-15T00:00:00"/>
    <x v="1"/>
    <x v="2"/>
  </r>
  <r>
    <n v="487"/>
    <s v="Derek Singleton"/>
    <s v="akron"/>
    <x v="0"/>
    <n v="16951"/>
    <x v="294"/>
    <d v="2025-10-29T00:00:00"/>
    <x v="0"/>
    <x v="2"/>
  </r>
  <r>
    <n v="488"/>
    <s v="Derrick Hale"/>
    <s v="levittown"/>
    <x v="1"/>
    <n v="16140"/>
    <x v="199"/>
    <d v="2023-03-31T00:00:00"/>
    <x v="1"/>
    <x v="7"/>
  </r>
  <r>
    <n v="489"/>
    <s v="Desiree' Mather-Kelly"/>
    <s v="philadelphia"/>
    <x v="0"/>
    <n v="14015"/>
    <x v="19"/>
    <d v="2021-07-24T00:00:00"/>
    <x v="1"/>
    <x v="6"/>
  </r>
  <r>
    <n v="490"/>
    <s v="Devin Reaves"/>
    <s v="philadelphia"/>
    <x v="0"/>
    <n v="8322"/>
    <x v="81"/>
    <d v="2015-02-20T00:00:00"/>
    <x v="1"/>
    <x v="6"/>
  </r>
  <r>
    <n v="491"/>
    <s v="Devon Wright"/>
    <s v="pottstown"/>
    <x v="0"/>
    <n v="18434"/>
    <x v="295"/>
    <d v="2027-03-20T00:00:00"/>
    <x v="0"/>
    <x v="4"/>
  </r>
  <r>
    <n v="492"/>
    <s v="Devon Wright"/>
    <s v="pottstown"/>
    <x v="1"/>
    <n v="18434"/>
    <x v="295"/>
    <d v="2027-03-20T00:00:00"/>
    <x v="0"/>
    <x v="4"/>
  </r>
  <r>
    <n v="493"/>
    <s v="Diamond Stahl"/>
    <s v="philadelphia"/>
    <x v="0"/>
    <n v="20335"/>
    <x v="296"/>
    <d v="2026-05-24T00:00:00"/>
    <x v="0"/>
    <x v="6"/>
  </r>
  <r>
    <n v="494"/>
    <s v="Diana Everett"/>
    <s v="brookhaven"/>
    <x v="0"/>
    <n v="96010"/>
    <x v="153"/>
    <d v="2018-05-24T00:00:00"/>
    <x v="1"/>
    <x v="3"/>
  </r>
  <r>
    <n v="495"/>
    <s v="Diana King"/>
    <s v="philadelphia"/>
    <x v="0"/>
    <n v="8943"/>
    <x v="80"/>
    <d v="2016-06-27T00:00:00"/>
    <x v="1"/>
    <x v="6"/>
  </r>
  <r>
    <n v="496"/>
    <s v="Diana Medina"/>
    <s v="lancaster"/>
    <x v="0"/>
    <n v="3467"/>
    <x v="297"/>
    <d v="2023-09-24T00:00:00"/>
    <x v="1"/>
    <x v="2"/>
  </r>
  <r>
    <n v="497"/>
    <s v="Diana Steinberg"/>
    <s v="horsham"/>
    <x v="0"/>
    <n v="10269"/>
    <x v="79"/>
    <d v="2021-06-22T00:00:00"/>
    <x v="1"/>
    <x v="5"/>
  </r>
  <r>
    <n v="498"/>
    <s v="Diane Frymoyer"/>
    <s v="philadelphia"/>
    <x v="0"/>
    <n v="9119"/>
    <x v="214"/>
    <d v="2021-03-06T00:00:00"/>
    <x v="1"/>
    <x v="6"/>
  </r>
  <r>
    <n v="499"/>
    <s v="Diane Morrell"/>
    <s v="langhorne"/>
    <x v="0"/>
    <n v="10262"/>
    <x v="79"/>
    <d v="2021-06-22T00:00:00"/>
    <x v="1"/>
    <x v="7"/>
  </r>
  <r>
    <n v="500"/>
    <s v="Diane Nickerson"/>
    <s v="levittown"/>
    <x v="0"/>
    <n v="9171"/>
    <x v="129"/>
    <d v="2017-05-08T00:00:00"/>
    <x v="1"/>
    <x v="7"/>
  </r>
  <r>
    <n v="501"/>
    <s v="Dianne Hoffmann"/>
    <s v="ambler"/>
    <x v="1"/>
    <n v="12846"/>
    <x v="298"/>
    <d v="2021-02-10T00:00:00"/>
    <x v="1"/>
    <x v="5"/>
  </r>
  <r>
    <n v="502"/>
    <s v="Dillon Zaluski"/>
    <s v="levittown"/>
    <x v="0"/>
    <n v="18594"/>
    <x v="299"/>
    <d v="2025-05-10T00:00:00"/>
    <x v="2"/>
    <x v="7"/>
  </r>
  <r>
    <n v="503"/>
    <s v="Dina Shelly"/>
    <s v="bristol"/>
    <x v="0"/>
    <n v="21005"/>
    <x v="300"/>
    <d v="2026-10-22T00:00:00"/>
    <x v="0"/>
    <x v="7"/>
  </r>
  <r>
    <n v="504"/>
    <s v="Dina Shelly"/>
    <s v="bristol"/>
    <x v="1"/>
    <n v="21005"/>
    <x v="141"/>
    <d v="2026-10-16T00:00:00"/>
    <x v="0"/>
    <x v="7"/>
  </r>
  <r>
    <n v="505"/>
    <s v="Dirk Duffan"/>
    <s v="bensalem"/>
    <x v="0"/>
    <n v="12633"/>
    <x v="139"/>
    <d v="2021-06-25T00:00:00"/>
    <x v="1"/>
    <x v="7"/>
  </r>
  <r>
    <n v="506"/>
    <s v="Dolores Mitchell"/>
    <s v="pottstown"/>
    <x v="0"/>
    <n v="9230"/>
    <x v="301"/>
    <d v="2017-06-17T00:00:00"/>
    <x v="1"/>
    <x v="4"/>
  </r>
  <r>
    <n v="507"/>
    <s v="Dominic Ciccimaro"/>
    <s v="ambler"/>
    <x v="0"/>
    <n v="18460"/>
    <x v="302"/>
    <d v="2027-03-28T00:00:00"/>
    <x v="0"/>
    <x v="5"/>
  </r>
  <r>
    <n v="508"/>
    <s v="Donald Altemus"/>
    <s v="coatesville"/>
    <x v="0"/>
    <n v="11275"/>
    <x v="49"/>
    <d v="2026-12-11T00:00:00"/>
    <x v="0"/>
    <x v="4"/>
  </r>
  <r>
    <n v="509"/>
    <s v="Donald Altemus"/>
    <s v="coatesville"/>
    <x v="1"/>
    <n v="11275"/>
    <x v="303"/>
    <d v="2027-01-30T00:00:00"/>
    <x v="0"/>
    <x v="4"/>
  </r>
  <r>
    <n v="510"/>
    <s v="Donald Altemus"/>
    <s v="coatesville"/>
    <x v="2"/>
    <n v="11275"/>
    <x v="304"/>
    <d v="2027-04-17T00:00:00"/>
    <x v="0"/>
    <x v="4"/>
  </r>
  <r>
    <n v="511"/>
    <s v="Donald Greiner"/>
    <s v="lancaster"/>
    <x v="0"/>
    <n v="10351"/>
    <x v="176"/>
    <d v="2019-08-28T00:00:00"/>
    <x v="1"/>
    <x v="2"/>
  </r>
  <r>
    <n v="512"/>
    <s v="Donald Lipstein"/>
    <s v="west chester"/>
    <x v="1"/>
    <n v="11465"/>
    <x v="305"/>
    <d v="2020-05-25T00:00:00"/>
    <x v="1"/>
    <x v="4"/>
  </r>
  <r>
    <n v="513"/>
    <s v="Donald Mee, Jr."/>
    <s v="langhorne"/>
    <x v="0"/>
    <n v="8921"/>
    <x v="289"/>
    <d v="2016-06-26T00:00:00"/>
    <x v="1"/>
    <x v="7"/>
  </r>
  <r>
    <n v="514"/>
    <s v="Donna Baim"/>
    <s v="ambler"/>
    <x v="1"/>
    <n v="15219"/>
    <x v="306"/>
    <d v="2024-05-23T00:00:00"/>
    <x v="1"/>
    <x v="5"/>
  </r>
  <r>
    <n v="515"/>
    <s v="Donna Bartram"/>
    <s v="bensalem"/>
    <x v="0"/>
    <n v="8199"/>
    <x v="217"/>
    <d v="2026-09-07T00:00:00"/>
    <x v="0"/>
    <x v="7"/>
  </r>
  <r>
    <n v="516"/>
    <s v="Donna Broadnax"/>
    <s v="columbia"/>
    <x v="0"/>
    <n v="18217"/>
    <x v="307"/>
    <d v="2025-01-13T00:00:00"/>
    <x v="2"/>
    <x v="2"/>
  </r>
  <r>
    <n v="517"/>
    <s v="Donna Giordano"/>
    <s v="dublin"/>
    <x v="0"/>
    <n v="9242"/>
    <x v="308"/>
    <d v="2019-06-25T00:00:00"/>
    <x v="1"/>
    <x v="7"/>
  </r>
  <r>
    <n v="518"/>
    <s v="Donna Hess"/>
    <s v="birdsboro"/>
    <x v="0"/>
    <n v="8046"/>
    <x v="142"/>
    <d v="2016-03-09T00:00:00"/>
    <x v="1"/>
    <x v="1"/>
  </r>
  <r>
    <n v="519"/>
    <s v="Donna Johns"/>
    <s v="philadelphia"/>
    <x v="0"/>
    <n v="10854"/>
    <x v="309"/>
    <d v="2026-02-20T00:00:00"/>
    <x v="0"/>
    <x v="6"/>
  </r>
  <r>
    <n v="520"/>
    <s v="Donnel Brown"/>
    <s v="philadelphia"/>
    <x v="0"/>
    <n v="9897"/>
    <x v="310"/>
    <d v="2022-11-12T00:00:00"/>
    <x v="1"/>
    <x v="6"/>
  </r>
  <r>
    <n v="521"/>
    <s v="Doreen Dowling"/>
    <s v="morton"/>
    <x v="0"/>
    <n v="20997"/>
    <x v="205"/>
    <d v="2026-10-15T00:00:00"/>
    <x v="0"/>
    <x v="3"/>
  </r>
  <r>
    <n v="522"/>
    <s v="Dorian  Mullen"/>
    <s v="pottstown"/>
    <x v="0"/>
    <n v="20508"/>
    <x v="68"/>
    <d v="2026-06-26T00:00:00"/>
    <x v="0"/>
    <x v="4"/>
  </r>
  <r>
    <n v="523"/>
    <s v="Doris Eason"/>
    <s v="philadelphia"/>
    <x v="0"/>
    <n v="8270"/>
    <x v="89"/>
    <d v="2018-12-12T00:00:00"/>
    <x v="1"/>
    <x v="6"/>
  </r>
  <r>
    <n v="524"/>
    <s v="Dorothy Campbell"/>
    <s v="horsham"/>
    <x v="0"/>
    <n v="15866"/>
    <x v="311"/>
    <d v="2025-01-16T00:00:00"/>
    <x v="2"/>
    <x v="5"/>
  </r>
  <r>
    <n v="525"/>
    <s v="Dorothy DiGilio"/>
    <s v="essington"/>
    <x v="1"/>
    <n v="15793"/>
    <x v="312"/>
    <d v="2026-12-24T00:00:00"/>
    <x v="0"/>
    <x v="3"/>
  </r>
  <r>
    <n v="526"/>
    <s v="Douglas Cwienk"/>
    <s v="quarryville"/>
    <x v="1"/>
    <n v="13024"/>
    <x v="313"/>
    <d v="2021-03-19T00:00:00"/>
    <x v="1"/>
    <x v="2"/>
  </r>
  <r>
    <n v="527"/>
    <s v="Douglas Hicks"/>
    <s v="yardley"/>
    <x v="0"/>
    <n v="8782"/>
    <x v="165"/>
    <d v="2022-03-12T00:00:00"/>
    <x v="1"/>
    <x v="7"/>
  </r>
  <r>
    <n v="528"/>
    <s v="Douglas Richardson"/>
    <s v="philadelphia"/>
    <x v="0"/>
    <n v="8690"/>
    <x v="96"/>
    <d v="2017-11-25T00:00:00"/>
    <x v="1"/>
    <x v="6"/>
  </r>
  <r>
    <n v="529"/>
    <s v="Drew Eckert"/>
    <s v="lancaster"/>
    <x v="0"/>
    <n v="22125"/>
    <x v="215"/>
    <d v="2027-06-09T00:00:00"/>
    <x v="0"/>
    <x v="2"/>
  </r>
  <r>
    <n v="530"/>
    <s v="Drew Hudson"/>
    <s v="reading"/>
    <x v="0"/>
    <n v="18913"/>
    <x v="314"/>
    <d v="2025-07-23T00:00:00"/>
    <x v="0"/>
    <x v="1"/>
  </r>
  <r>
    <n v="531"/>
    <s v="Drexel Bailey"/>
    <s v="reading"/>
    <x v="0"/>
    <n v="9876"/>
    <x v="50"/>
    <d v="2018-10-27T00:00:00"/>
    <x v="1"/>
    <x v="1"/>
  </r>
  <r>
    <n v="532"/>
    <s v="Dustin Robinson"/>
    <s v="philadelphia"/>
    <x v="0"/>
    <n v="18658"/>
    <x v="315"/>
    <d v="2025-12-07T00:00:00"/>
    <x v="0"/>
    <x v="6"/>
  </r>
  <r>
    <n v="533"/>
    <s v="Dustin Robinson"/>
    <s v="philadelphia"/>
    <x v="1"/>
    <n v="18658"/>
    <x v="316"/>
    <d v="2026-02-05T00:00:00"/>
    <x v="0"/>
    <x v="6"/>
  </r>
  <r>
    <n v="534"/>
    <s v="Dwight Cope"/>
    <s v="philadelphia"/>
    <x v="0"/>
    <n v="9021"/>
    <x v="171"/>
    <d v="2016-09-23T00:00:00"/>
    <x v="1"/>
    <x v="6"/>
  </r>
  <r>
    <n v="535"/>
    <s v="Dwight Harley"/>
    <s v="philadelphia"/>
    <x v="0"/>
    <n v="11915"/>
    <x v="117"/>
    <d v="2026-07-20T00:00:00"/>
    <x v="0"/>
    <x v="6"/>
  </r>
  <r>
    <n v="536"/>
    <s v="Eartha Rivers"/>
    <s v="philadelphia"/>
    <x v="0"/>
    <n v="21006"/>
    <x v="260"/>
    <d v="2027-01-22T00:00:00"/>
    <x v="0"/>
    <x v="6"/>
  </r>
  <r>
    <n v="537"/>
    <s v="Eartha Rivers"/>
    <s v="philadelphia"/>
    <x v="1"/>
    <n v="21006"/>
    <x v="141"/>
    <d v="2026-10-16T00:00:00"/>
    <x v="0"/>
    <x v="6"/>
  </r>
  <r>
    <n v="538"/>
    <s v="Edie Ritchie"/>
    <s v="philadelphia"/>
    <x v="1"/>
    <n v="21273"/>
    <x v="317"/>
    <d v="2026-12-17T00:00:00"/>
    <x v="0"/>
    <x v="6"/>
  </r>
  <r>
    <n v="539"/>
    <s v="Edmund Gibson"/>
    <s v="philadelphia"/>
    <x v="0"/>
    <n v="10585"/>
    <x v="88"/>
    <d v="2019-12-12T00:00:00"/>
    <x v="1"/>
    <x v="6"/>
  </r>
  <r>
    <n v="540"/>
    <s v="Edmund Nelson"/>
    <s v="ambler"/>
    <x v="0"/>
    <n v="8320"/>
    <x v="81"/>
    <d v="2023-02-20T00:00:00"/>
    <x v="1"/>
    <x v="5"/>
  </r>
  <r>
    <n v="541"/>
    <s v="Edward Bull"/>
    <s v="philadelphia"/>
    <x v="0"/>
    <n v="17301"/>
    <x v="157"/>
    <d v="2024-04-05T00:00:00"/>
    <x v="1"/>
    <x v="6"/>
  </r>
  <r>
    <n v="542"/>
    <s v="Edward Caban"/>
    <s v="reading"/>
    <x v="0"/>
    <n v="12578"/>
    <x v="82"/>
    <d v="2026-12-12T00:00:00"/>
    <x v="0"/>
    <x v="1"/>
  </r>
  <r>
    <n v="543"/>
    <s v="Edward Dolison"/>
    <s v="lancaster"/>
    <x v="0"/>
    <n v="12279"/>
    <x v="51"/>
    <d v="2026-06-30T00:00:00"/>
    <x v="0"/>
    <x v="2"/>
  </r>
  <r>
    <n v="544"/>
    <s v="Edward Kirby"/>
    <s v="philadelphia"/>
    <x v="0"/>
    <n v="12400"/>
    <x v="127"/>
    <d v="2027-01-09T00:00:00"/>
    <x v="0"/>
    <x v="6"/>
  </r>
  <r>
    <n v="545"/>
    <s v="Edward Ludwig"/>
    <s v="philadelphia"/>
    <x v="0"/>
    <n v="17932"/>
    <x v="146"/>
    <d v="2024-10-06T00:00:00"/>
    <x v="2"/>
    <x v="6"/>
  </r>
  <r>
    <n v="546"/>
    <s v="Edward Martin"/>
    <s v="lititz"/>
    <x v="0"/>
    <n v="11251"/>
    <x v="6"/>
    <d v="2022-05-01T00:00:00"/>
    <x v="1"/>
    <x v="2"/>
  </r>
  <r>
    <n v="547"/>
    <s v="Edward Martin"/>
    <s v="lititz"/>
    <x v="1"/>
    <n v="11251"/>
    <x v="318"/>
    <d v="2021-04-19T00:00:00"/>
    <x v="1"/>
    <x v="2"/>
  </r>
  <r>
    <n v="548"/>
    <s v="Edward Ormsby IV"/>
    <s v="norristown"/>
    <x v="0"/>
    <n v="15501"/>
    <x v="181"/>
    <d v="2022-09-22T00:00:00"/>
    <x v="1"/>
    <x v="5"/>
  </r>
  <r>
    <n v="549"/>
    <s v="Edward Quinn"/>
    <s v="philadelphia"/>
    <x v="0"/>
    <n v="8711"/>
    <x v="216"/>
    <d v="2015-12-12T00:00:00"/>
    <x v="1"/>
    <x v="6"/>
  </r>
  <r>
    <n v="550"/>
    <s v="Edward Reyes"/>
    <s v="philadelphia"/>
    <x v="0"/>
    <n v="9612"/>
    <x v="15"/>
    <d v="2026-05-23T00:00:00"/>
    <x v="0"/>
    <x v="6"/>
  </r>
  <r>
    <n v="551"/>
    <s v="Edwin Salgado"/>
    <s v="reading"/>
    <x v="0"/>
    <n v="12361"/>
    <x v="74"/>
    <d v="2026-09-26T00:00:00"/>
    <x v="0"/>
    <x v="1"/>
  </r>
  <r>
    <n v="552"/>
    <s v="Eileen  McAndrews"/>
    <s v="broomall"/>
    <x v="0"/>
    <n v="20349"/>
    <x v="152"/>
    <d v="2026-05-28T00:00:00"/>
    <x v="0"/>
    <x v="3"/>
  </r>
  <r>
    <n v="553"/>
    <s v="Eileen  McAndrews"/>
    <s v="broomall"/>
    <x v="1"/>
    <n v="20349"/>
    <x v="319"/>
    <d v="2026-10-19T00:00:00"/>
    <x v="0"/>
    <x v="3"/>
  </r>
  <r>
    <n v="554"/>
    <s v="Eileen Bone"/>
    <s v="lansdale"/>
    <x v="1"/>
    <n v="21877"/>
    <x v="320"/>
    <d v="2027-04-25T00:00:00"/>
    <x v="0"/>
    <x v="5"/>
  </r>
  <r>
    <n v="555"/>
    <s v="Eileen Kriczky"/>
    <s v="bensalem"/>
    <x v="0"/>
    <n v="17188"/>
    <x v="157"/>
    <d v="2026-02-17T00:00:00"/>
    <x v="0"/>
    <x v="7"/>
  </r>
  <r>
    <n v="556"/>
    <s v="Eileen Kriczky"/>
    <s v="bensalem"/>
    <x v="1"/>
    <n v="17188"/>
    <x v="58"/>
    <d v="2026-02-17T00:00:00"/>
    <x v="0"/>
    <x v="7"/>
  </r>
  <r>
    <n v="557"/>
    <s v="Eileen Reising"/>
    <s v="chalfont"/>
    <x v="0"/>
    <n v="8712"/>
    <x v="216"/>
    <d v="2017-12-12T00:00:00"/>
    <x v="1"/>
    <x v="7"/>
  </r>
  <r>
    <n v="558"/>
    <s v="Elaine Cooper"/>
    <s v="philadelphia"/>
    <x v="0"/>
    <n v="9443"/>
    <x v="150"/>
    <d v="2017-12-08T00:00:00"/>
    <x v="1"/>
    <x v="6"/>
  </r>
  <r>
    <n v="559"/>
    <s v="Elaine Goldsmith"/>
    <s v="levittown"/>
    <x v="0"/>
    <n v="8917"/>
    <x v="289"/>
    <d v="2018-06-26T00:00:00"/>
    <x v="1"/>
    <x v="7"/>
  </r>
  <r>
    <n v="560"/>
    <s v="Elijah Vasinda"/>
    <s v="philadelphia"/>
    <x v="1"/>
    <n v="22055"/>
    <x v="219"/>
    <d v="2027-06-02T00:00:00"/>
    <x v="0"/>
    <x v="6"/>
  </r>
  <r>
    <n v="561"/>
    <s v="Elix Castro-Cruz"/>
    <s v="lancaster"/>
    <x v="0"/>
    <n v="13702"/>
    <x v="27"/>
    <d v="2021-06-24T00:00:00"/>
    <x v="1"/>
    <x v="2"/>
  </r>
  <r>
    <n v="562"/>
    <s v="Elizabeth  Rizzo"/>
    <s v="broomall"/>
    <x v="1"/>
    <n v="19590"/>
    <x v="321"/>
    <d v="2025-12-19T00:00:00"/>
    <x v="0"/>
    <x v="3"/>
  </r>
  <r>
    <n v="563"/>
    <s v="Elizabeth Andrews"/>
    <s v="columbia"/>
    <x v="0"/>
    <n v="18673"/>
    <x v="322"/>
    <d v="2027-06-01T00:00:00"/>
    <x v="0"/>
    <x v="2"/>
  </r>
  <r>
    <n v="564"/>
    <s v="Elizabeth Arnone"/>
    <s v="lansdale"/>
    <x v="0"/>
    <n v="9974"/>
    <x v="255"/>
    <d v="2019-01-11T00:00:00"/>
    <x v="1"/>
    <x v="5"/>
  </r>
  <r>
    <n v="565"/>
    <s v="Elizabeth Chance"/>
    <s v="wayne"/>
    <x v="0"/>
    <n v="8637"/>
    <x v="323"/>
    <d v="2021-09-13T00:00:00"/>
    <x v="1"/>
    <x v="3"/>
  </r>
  <r>
    <n v="566"/>
    <s v="Elizabeth DiRoumaldo"/>
    <s v="upper darby"/>
    <x v="0"/>
    <n v="8203"/>
    <x v="106"/>
    <d v="2019-05-18T00:00:00"/>
    <x v="1"/>
    <x v="3"/>
  </r>
  <r>
    <n v="567"/>
    <s v="Elizabeth Higgins"/>
    <s v="philadelphia"/>
    <x v="0"/>
    <n v="17588"/>
    <x v="324"/>
    <d v="2026-06-28T00:00:00"/>
    <x v="0"/>
    <x v="6"/>
  </r>
  <r>
    <n v="568"/>
    <s v="Elizabeth Johnston"/>
    <s v="pottstown"/>
    <x v="0"/>
    <n v="16811"/>
    <x v="325"/>
    <d v="2026-03-31T00:00:00"/>
    <x v="0"/>
    <x v="4"/>
  </r>
  <r>
    <n v="569"/>
    <s v="Elizabeth Law"/>
    <s v="womelsdorf"/>
    <x v="0"/>
    <n v="8380"/>
    <x v="326"/>
    <d v="2015-04-24T00:00:00"/>
    <x v="1"/>
    <x v="1"/>
  </r>
  <r>
    <n v="570"/>
    <s v="Elizabeth Morrison"/>
    <s v="philadelphia"/>
    <x v="0"/>
    <n v="15141"/>
    <x v="121"/>
    <d v="2026-02-26T00:00:00"/>
    <x v="0"/>
    <x v="6"/>
  </r>
  <r>
    <n v="571"/>
    <s v="Elizabeth Morrison"/>
    <s v="philadelphia"/>
    <x v="2"/>
    <n v="15141"/>
    <x v="327"/>
    <d v="2027-01-13T00:00:00"/>
    <x v="0"/>
    <x v="6"/>
  </r>
  <r>
    <n v="572"/>
    <s v="Elizabeth Rippinger"/>
    <s v="mohrsville"/>
    <x v="0"/>
    <n v="15022"/>
    <x v="122"/>
    <d v="2022-01-10T00:00:00"/>
    <x v="1"/>
    <x v="1"/>
  </r>
  <r>
    <n v="573"/>
    <s v="Elizabeth Snelling"/>
    <s v="riegelsville"/>
    <x v="0"/>
    <n v="10656"/>
    <x v="36"/>
    <d v="2020-01-18T00:00:00"/>
    <x v="1"/>
    <x v="7"/>
  </r>
  <r>
    <n v="574"/>
    <s v="Elizabeth Wendt"/>
    <s v="west point"/>
    <x v="0"/>
    <n v="15859"/>
    <x v="328"/>
    <d v="2027-01-15T00:00:00"/>
    <x v="0"/>
    <x v="5"/>
  </r>
  <r>
    <n v="575"/>
    <s v="Elizabeth Wooldridge"/>
    <s v="sinking spring"/>
    <x v="0"/>
    <n v="7491"/>
    <x v="329"/>
    <d v="2017-07-31T00:00:00"/>
    <x v="1"/>
    <x v="1"/>
  </r>
  <r>
    <n v="576"/>
    <s v="Ellington Castillo"/>
    <s v="narberth"/>
    <x v="0"/>
    <n v="18506"/>
    <x v="330"/>
    <d v="2025-04-12T00:00:00"/>
    <x v="2"/>
    <x v="5"/>
  </r>
  <r>
    <n v="577"/>
    <s v="Emily Avellino"/>
    <s v="philadelphia"/>
    <x v="0"/>
    <n v="17855"/>
    <x v="331"/>
    <d v="2026-09-26T00:00:00"/>
    <x v="0"/>
    <x v="6"/>
  </r>
  <r>
    <n v="578"/>
    <s v="Emily Mckee"/>
    <s v="west chester"/>
    <x v="0"/>
    <n v="15708"/>
    <x v="52"/>
    <d v="2022-12-07T00:00:00"/>
    <x v="3"/>
    <x v="4"/>
  </r>
  <r>
    <n v="579"/>
    <s v="Emily Nissley"/>
    <s v="reading"/>
    <x v="0"/>
    <n v="10593"/>
    <x v="88"/>
    <d v="2021-12-12T00:00:00"/>
    <x v="1"/>
    <x v="1"/>
  </r>
  <r>
    <n v="580"/>
    <s v="Emily Sexton"/>
    <s v="north wales"/>
    <x v="1"/>
    <n v="21490"/>
    <x v="332"/>
    <d v="2027-02-12T00:00:00"/>
    <x v="0"/>
    <x v="5"/>
  </r>
  <r>
    <n v="581"/>
    <s v="Emma Whitaker"/>
    <s v="narberth"/>
    <x v="0"/>
    <n v="8662"/>
    <x v="164"/>
    <d v="2015-10-30T00:00:00"/>
    <x v="1"/>
    <x v="5"/>
  </r>
  <r>
    <n v="582"/>
    <s v="Emmalee Smith"/>
    <s v="philadelphia"/>
    <x v="0"/>
    <n v="11986"/>
    <x v="333"/>
    <d v="2026-12-03T00:00:00"/>
    <x v="0"/>
    <x v="6"/>
  </r>
  <r>
    <n v="583"/>
    <s v="Emmett Coleman"/>
    <s v="philadelphia"/>
    <x v="0"/>
    <n v="14801"/>
    <x v="117"/>
    <d v="2023-11-18T00:00:00"/>
    <x v="1"/>
    <x v="6"/>
  </r>
  <r>
    <n v="584"/>
    <s v="Eric Ayers"/>
    <s v="prospect park"/>
    <x v="0"/>
    <n v="13148"/>
    <x v="334"/>
    <d v="2026-12-26T00:00:00"/>
    <x v="0"/>
    <x v="3"/>
  </r>
  <r>
    <n v="585"/>
    <s v="Eric Bowerman"/>
    <s v="lancaster"/>
    <x v="0"/>
    <n v="21511"/>
    <x v="335"/>
    <d v="2027-02-15T00:00:00"/>
    <x v="0"/>
    <x v="2"/>
  </r>
  <r>
    <n v="586"/>
    <s v="Eric Emerson"/>
    <s v="philadelphia"/>
    <x v="0"/>
    <n v="11040"/>
    <x v="156"/>
    <d v="2020-04-13T00:00:00"/>
    <x v="1"/>
    <x v="6"/>
  </r>
  <r>
    <n v="587"/>
    <s v="Eric Francis"/>
    <s v="hamburg"/>
    <x v="0"/>
    <n v="20142"/>
    <x v="336"/>
    <d v="2026-04-17T00:00:00"/>
    <x v="0"/>
    <x v="1"/>
  </r>
  <r>
    <n v="588"/>
    <s v="Eric Gibson"/>
    <s v="philadelphia"/>
    <x v="0"/>
    <n v="17862"/>
    <x v="18"/>
    <d v="2026-09-27T00:00:00"/>
    <x v="0"/>
    <x v="6"/>
  </r>
  <r>
    <n v="589"/>
    <s v="Eric Gibson"/>
    <s v="philadelphia"/>
    <x v="1"/>
    <n v="17862"/>
    <x v="18"/>
    <d v="2024-09-27T00:00:00"/>
    <x v="2"/>
    <x v="6"/>
  </r>
  <r>
    <n v="590"/>
    <s v="Eric Jackson"/>
    <s v="philadelphia"/>
    <x v="0"/>
    <n v="10027"/>
    <x v="134"/>
    <d v="2027-01-31T00:00:00"/>
    <x v="0"/>
    <x v="6"/>
  </r>
  <r>
    <n v="591"/>
    <s v="Eric Simpson"/>
    <s v="levittown"/>
    <x v="0"/>
    <n v="17338"/>
    <x v="337"/>
    <d v="2024-04-10T00:00:00"/>
    <x v="1"/>
    <x v="7"/>
  </r>
  <r>
    <n v="592"/>
    <s v="Eric Snyder"/>
    <s v="columbia"/>
    <x v="0"/>
    <n v="15181"/>
    <x v="208"/>
    <d v="2024-03-10T00:00:00"/>
    <x v="1"/>
    <x v="2"/>
  </r>
  <r>
    <n v="593"/>
    <s v="Erica Grass"/>
    <s v="quakertown"/>
    <x v="0"/>
    <n v="13739"/>
    <x v="139"/>
    <d v="2021-06-25T00:00:00"/>
    <x v="1"/>
    <x v="7"/>
  </r>
  <r>
    <n v="594"/>
    <s v="Erica Hamilton"/>
    <s v="reading"/>
    <x v="0"/>
    <n v="12834"/>
    <x v="30"/>
    <d v="2021-02-08T00:00:00"/>
    <x v="1"/>
    <x v="1"/>
  </r>
  <r>
    <n v="595"/>
    <s v="Erica Swanson"/>
    <s v="phoenixville"/>
    <x v="0"/>
    <n v="12364"/>
    <x v="74"/>
    <d v="2026-09-26T00:00:00"/>
    <x v="0"/>
    <x v="4"/>
  </r>
  <r>
    <n v="596"/>
    <s v="Erin  Hanna"/>
    <s v="east petersburg"/>
    <x v="0"/>
    <n v="12728"/>
    <x v="6"/>
    <d v="2023-01-14T00:00:00"/>
    <x v="1"/>
    <x v="2"/>
  </r>
  <r>
    <n v="597"/>
    <s v="Erin Fischer"/>
    <s v="lancaster"/>
    <x v="0"/>
    <n v="10350"/>
    <x v="176"/>
    <d v="2027-06-03T00:00:00"/>
    <x v="0"/>
    <x v="2"/>
  </r>
  <r>
    <n v="598"/>
    <s v="Erin Fischer"/>
    <s v="lancaster"/>
    <x v="1"/>
    <n v="10350"/>
    <x v="338"/>
    <d v="2022-07-22T00:00:00"/>
    <x v="1"/>
    <x v="2"/>
  </r>
  <r>
    <n v="599"/>
    <s v="Erin McDade"/>
    <s v="abington"/>
    <x v="0"/>
    <n v="14948"/>
    <x v="110"/>
    <d v="2021-12-19T00:00:00"/>
    <x v="1"/>
    <x v="5"/>
  </r>
  <r>
    <n v="600"/>
    <s v="Estees Anderson"/>
    <s v="folcroft"/>
    <x v="1"/>
    <n v="16682"/>
    <x v="209"/>
    <d v="2025-07-20T00:00:00"/>
    <x v="0"/>
    <x v="3"/>
  </r>
  <r>
    <n v="601"/>
    <s v="Estelle Leach"/>
    <s v="reading"/>
    <x v="0"/>
    <n v="13575"/>
    <x v="339"/>
    <d v="2021-06-14T00:00:00"/>
    <x v="1"/>
    <x v="1"/>
  </r>
  <r>
    <n v="602"/>
    <s v="Ethan Saffier"/>
    <s v="ambler"/>
    <x v="0"/>
    <n v="21249"/>
    <x v="155"/>
    <d v="2026-12-12T00:00:00"/>
    <x v="0"/>
    <x v="5"/>
  </r>
  <r>
    <n v="603"/>
    <s v="Eugene Alexander"/>
    <s v="philadelphia"/>
    <x v="0"/>
    <n v="8446"/>
    <x v="106"/>
    <d v="2015-05-18T00:00:00"/>
    <x v="1"/>
    <x v="6"/>
  </r>
  <r>
    <n v="604"/>
    <s v="Eugene Walter, Jr."/>
    <s v="bensalem"/>
    <x v="0"/>
    <n v="10114"/>
    <x v="63"/>
    <d v="2027-04-21T00:00:00"/>
    <x v="0"/>
    <x v="7"/>
  </r>
  <r>
    <n v="605"/>
    <s v="Eva-Marie  Jones"/>
    <s v="mahanoy city"/>
    <x v="0"/>
    <n v="21256"/>
    <x v="155"/>
    <d v="2026-12-12T00:00:00"/>
    <x v="0"/>
    <x v="0"/>
  </r>
  <r>
    <n v="606"/>
    <s v="Evan Davis"/>
    <s v="reading"/>
    <x v="0"/>
    <n v="13703"/>
    <x v="27"/>
    <d v="2021-06-24T00:00:00"/>
    <x v="1"/>
    <x v="1"/>
  </r>
  <r>
    <n v="607"/>
    <s v="Evan Figueroa-Vargas"/>
    <s v="philadelphia"/>
    <x v="0"/>
    <n v="8196"/>
    <x v="217"/>
    <d v="2020-09-07T00:00:00"/>
    <x v="1"/>
    <x v="6"/>
  </r>
  <r>
    <n v="608"/>
    <s v="Evan Kita"/>
    <s v="yardley"/>
    <x v="0"/>
    <n v="11634"/>
    <x v="340"/>
    <d v="2020-06-12T00:00:00"/>
    <x v="1"/>
    <x v="7"/>
  </r>
  <r>
    <n v="609"/>
    <s v="Evan McShea"/>
    <s v="perkiomenville"/>
    <x v="0"/>
    <n v="21168"/>
    <x v="341"/>
    <d v="2026-11-21T00:00:00"/>
    <x v="0"/>
    <x v="5"/>
  </r>
  <r>
    <n v="610"/>
    <s v="Eve Connors"/>
    <s v="reading"/>
    <x v="0"/>
    <n v="9651"/>
    <x v="194"/>
    <d v="2018-06-16T00:00:00"/>
    <x v="1"/>
    <x v="1"/>
  </r>
  <r>
    <n v="611"/>
    <s v="Evelyn Singleton"/>
    <s v="philadelphia"/>
    <x v="1"/>
    <n v="18809"/>
    <x v="342"/>
    <d v="2025-06-29T00:00:00"/>
    <x v="0"/>
    <x v="6"/>
  </r>
  <r>
    <n v="612"/>
    <s v="Faith Moyer"/>
    <s v="mertztown"/>
    <x v="0"/>
    <n v="21671"/>
    <x v="343"/>
    <d v="2027-03-07T00:00:00"/>
    <x v="0"/>
    <x v="1"/>
  </r>
  <r>
    <n v="613"/>
    <s v="Felipe Mercado"/>
    <s v="lancaster"/>
    <x v="0"/>
    <n v="10355"/>
    <x v="176"/>
    <d v="2019-08-28T00:00:00"/>
    <x v="1"/>
    <x v="2"/>
  </r>
  <r>
    <n v="614"/>
    <s v="Floyd DeVine"/>
    <s v="philadelphia"/>
    <x v="0"/>
    <n v="14802"/>
    <x v="117"/>
    <d v="2025-11-18T00:00:00"/>
    <x v="3"/>
    <x v="6"/>
  </r>
  <r>
    <n v="615"/>
    <s v="Frances Casey"/>
    <s v="southampton"/>
    <x v="0"/>
    <n v="8448"/>
    <x v="106"/>
    <d v="2015-05-18T00:00:00"/>
    <x v="1"/>
    <x v="7"/>
  </r>
  <r>
    <n v="616"/>
    <s v="Frances McDaniel"/>
    <s v="coatesville"/>
    <x v="0"/>
    <n v="8904"/>
    <x v="344"/>
    <d v="2018-06-25T00:00:00"/>
    <x v="1"/>
    <x v="4"/>
  </r>
  <r>
    <n v="617"/>
    <s v="Francine Cross"/>
    <s v="philadelphia"/>
    <x v="0"/>
    <n v="9166"/>
    <x v="129"/>
    <d v="2027-05-08T00:00:00"/>
    <x v="0"/>
    <x v="6"/>
  </r>
  <r>
    <n v="618"/>
    <s v="Francis Pannulla"/>
    <s v="bensalem"/>
    <x v="0"/>
    <n v="13339"/>
    <x v="228"/>
    <d v="2027-05-14T00:00:00"/>
    <x v="0"/>
    <x v="7"/>
  </r>
  <r>
    <n v="619"/>
    <s v="Francis Zernone, Jr."/>
    <s v="norristown"/>
    <x v="0"/>
    <n v="10379"/>
    <x v="9"/>
    <d v="2019-09-08T00:00:00"/>
    <x v="1"/>
    <x v="5"/>
  </r>
  <r>
    <n v="620"/>
    <s v="Frank Burnside"/>
    <s v="lancaster"/>
    <x v="0"/>
    <n v="7259"/>
    <x v="192"/>
    <d v="2021-06-18T00:00:00"/>
    <x v="1"/>
    <x v="2"/>
  </r>
  <r>
    <n v="621"/>
    <s v="Frank Burnside"/>
    <s v="lancaster"/>
    <x v="1"/>
    <n v="7259"/>
    <x v="207"/>
    <d v="2021-06-10T00:00:00"/>
    <x v="1"/>
    <x v="2"/>
  </r>
  <r>
    <n v="622"/>
    <s v="Frank Gaston"/>
    <s v="east earl"/>
    <x v="0"/>
    <n v="20436"/>
    <x v="345"/>
    <d v="2026-06-15T00:00:00"/>
    <x v="0"/>
    <x v="2"/>
  </r>
  <r>
    <n v="623"/>
    <s v="Frank Taylor"/>
    <s v="philadelphia"/>
    <x v="0"/>
    <n v="9176"/>
    <x v="129"/>
    <d v="2019-05-08T00:00:00"/>
    <x v="1"/>
    <x v="6"/>
  </r>
  <r>
    <n v="624"/>
    <s v="Frankie Carl"/>
    <s v="hegins"/>
    <x v="0"/>
    <n v="18091"/>
    <x v="346"/>
    <d v="2026-12-09T00:00:00"/>
    <x v="0"/>
    <x v="0"/>
  </r>
  <r>
    <n v="625"/>
    <s v="Franklin Lucas"/>
    <s v="reading"/>
    <x v="0"/>
    <n v="10301"/>
    <x v="149"/>
    <d v="2025-06-29T00:00:00"/>
    <x v="0"/>
    <x v="1"/>
  </r>
  <r>
    <n v="626"/>
    <s v="Fred Scevoli, Jr."/>
    <s v="philadelphia"/>
    <x v="0"/>
    <n v="14951"/>
    <x v="110"/>
    <d v="2021-12-19T00:00:00"/>
    <x v="1"/>
    <x v="6"/>
  </r>
  <r>
    <n v="627"/>
    <s v="Frederick Maxson"/>
    <s v="glenside"/>
    <x v="0"/>
    <n v="17988"/>
    <x v="347"/>
    <d v="2026-10-28T00:00:00"/>
    <x v="0"/>
    <x v="5"/>
  </r>
  <r>
    <n v="628"/>
    <s v="Frederick Shue"/>
    <s v="perkasie"/>
    <x v="0"/>
    <n v="8269"/>
    <x v="89"/>
    <d v="2026-12-12T00:00:00"/>
    <x v="0"/>
    <x v="7"/>
  </r>
  <r>
    <n v="629"/>
    <s v="Frederick Shue"/>
    <s v="perkasie"/>
    <x v="1"/>
    <n v="8269"/>
    <x v="348"/>
    <d v="2026-12-12T00:00:00"/>
    <x v="0"/>
    <x v="7"/>
  </r>
  <r>
    <n v="630"/>
    <s v="Gabriel Gonzalez"/>
    <s v="philadelphia"/>
    <x v="0"/>
    <n v="11198"/>
    <x v="84"/>
    <d v="2025-08-20T00:00:00"/>
    <x v="0"/>
    <x v="6"/>
  </r>
  <r>
    <n v="631"/>
    <s v="Gabrielle Disomma"/>
    <s v="lancaster"/>
    <x v="1"/>
    <n v="21966"/>
    <x v="349"/>
    <d v="2027-05-16T00:00:00"/>
    <x v="0"/>
    <x v="2"/>
  </r>
  <r>
    <n v="632"/>
    <s v="Gale Vanselous"/>
    <s v="levittown"/>
    <x v="0"/>
    <n v="8517"/>
    <x v="350"/>
    <d v="2019-07-09T00:00:00"/>
    <x v="1"/>
    <x v="7"/>
  </r>
  <r>
    <n v="633"/>
    <s v="Galveston Morris"/>
    <s v="philadelphia"/>
    <x v="0"/>
    <n v="9026"/>
    <x v="171"/>
    <d v="2016-09-23T00:00:00"/>
    <x v="1"/>
    <x v="6"/>
  </r>
  <r>
    <n v="634"/>
    <s v="Garry Baker"/>
    <s v="broomall"/>
    <x v="0"/>
    <n v="15282"/>
    <x v="51"/>
    <d v="2022-06-30T00:00:00"/>
    <x v="1"/>
    <x v="3"/>
  </r>
  <r>
    <n v="635"/>
    <s v="Gary Craig"/>
    <s v="downingtown"/>
    <x v="0"/>
    <n v="8390"/>
    <x v="14"/>
    <d v="2015-04-29T00:00:00"/>
    <x v="1"/>
    <x v="4"/>
  </r>
  <r>
    <n v="636"/>
    <s v="Gary Gioioso"/>
    <s v="philadelphia"/>
    <x v="0"/>
    <n v="19467"/>
    <x v="351"/>
    <d v="2025-11-27T00:00:00"/>
    <x v="0"/>
    <x v="6"/>
  </r>
  <r>
    <n v="637"/>
    <s v="Gary Hynson"/>
    <s v="lansdale"/>
    <x v="0"/>
    <n v="8972"/>
    <x v="73"/>
    <d v="2016-07-29T00:00:00"/>
    <x v="1"/>
    <x v="5"/>
  </r>
  <r>
    <n v="638"/>
    <s v="Gary Kaisinger, Jr."/>
    <s v="langhorne"/>
    <x v="0"/>
    <n v="9721"/>
    <x v="109"/>
    <d v="2018-07-20T00:00:00"/>
    <x v="1"/>
    <x v="7"/>
  </r>
  <r>
    <n v="639"/>
    <s v="Gary Matthews, Sr."/>
    <s v="wyomissing"/>
    <x v="0"/>
    <n v="11828"/>
    <x v="352"/>
    <d v="2027-02-09T00:00:00"/>
    <x v="0"/>
    <x v="1"/>
  </r>
  <r>
    <n v="640"/>
    <s v="Gary Minggia"/>
    <s v="denver"/>
    <x v="0"/>
    <n v="10590"/>
    <x v="88"/>
    <d v="2025-12-12T00:00:00"/>
    <x v="0"/>
    <x v="2"/>
  </r>
  <r>
    <n v="641"/>
    <s v="Geneva Edness"/>
    <s v="ardmore"/>
    <x v="0"/>
    <n v="16525"/>
    <x v="105"/>
    <d v="2023-06-25T00:00:00"/>
    <x v="1"/>
    <x v="5"/>
  </r>
  <r>
    <n v="642"/>
    <s v="Genevie Longenecker"/>
    <s v="lancaster"/>
    <x v="0"/>
    <n v="12732"/>
    <x v="6"/>
    <d v="2023-01-14T00:00:00"/>
    <x v="1"/>
    <x v="2"/>
  </r>
  <r>
    <n v="643"/>
    <s v="George Barlow"/>
    <s v="shenandoah"/>
    <x v="0"/>
    <n v="20545"/>
    <x v="353"/>
    <d v="2026-07-03T00:00:00"/>
    <x v="0"/>
    <x v="0"/>
  </r>
  <r>
    <n v="644"/>
    <s v="George Ruiz"/>
    <s v="lansdale"/>
    <x v="0"/>
    <n v="7345"/>
    <x v="178"/>
    <d v="2013-09-12T00:00:00"/>
    <x v="1"/>
    <x v="5"/>
  </r>
  <r>
    <n v="645"/>
    <s v="George Yaeger"/>
    <s v="philadelphia"/>
    <x v="0"/>
    <n v="12561"/>
    <x v="127"/>
    <d v="2023-01-09T00:00:00"/>
    <x v="1"/>
    <x v="6"/>
  </r>
  <r>
    <n v="646"/>
    <s v="Gerald Kearney"/>
    <s v="newtown"/>
    <x v="0"/>
    <n v="1786"/>
    <x v="354"/>
    <d v="2025-06-30T00:00:00"/>
    <x v="0"/>
    <x v="7"/>
  </r>
  <r>
    <n v="647"/>
    <s v="Gerald Simmons"/>
    <s v="lancaster"/>
    <x v="0"/>
    <n v="20698"/>
    <x v="13"/>
    <d v="2026-08-15T00:00:00"/>
    <x v="0"/>
    <x v="2"/>
  </r>
  <r>
    <n v="648"/>
    <s v="Geraldine Avery"/>
    <s v="philadelphia"/>
    <x v="0"/>
    <n v="8679"/>
    <x v="96"/>
    <d v="2015-11-25T00:00:00"/>
    <x v="1"/>
    <x v="6"/>
  </r>
  <r>
    <n v="649"/>
    <s v="Gerarda Shober"/>
    <s v="reinholds"/>
    <x v="0"/>
    <n v="13720"/>
    <x v="27"/>
    <d v="2021-06-24T00:00:00"/>
    <x v="1"/>
    <x v="2"/>
  </r>
  <r>
    <n v="650"/>
    <s v="Geremias Negron-Rivera"/>
    <s v="leesport"/>
    <x v="0"/>
    <n v="9190"/>
    <x v="60"/>
    <d v="2017-05-20T00:00:00"/>
    <x v="1"/>
    <x v="1"/>
  </r>
  <r>
    <n v="651"/>
    <s v="Germaine Headen-Gould"/>
    <s v="philadelphia"/>
    <x v="0"/>
    <n v="7218"/>
    <x v="84"/>
    <d v="2027-08-20T00:00:00"/>
    <x v="0"/>
    <x v="6"/>
  </r>
  <r>
    <n v="652"/>
    <s v="Gerri Cavanaugh"/>
    <s v="levittown"/>
    <x v="0"/>
    <n v="8472"/>
    <x v="355"/>
    <d v="2015-06-01T00:00:00"/>
    <x v="1"/>
    <x v="7"/>
  </r>
  <r>
    <n v="653"/>
    <s v="Gianna DeMedio"/>
    <s v="norristown"/>
    <x v="0"/>
    <n v="12687"/>
    <x v="127"/>
    <d v="2027-01-09T00:00:00"/>
    <x v="0"/>
    <x v="5"/>
  </r>
  <r>
    <n v="654"/>
    <s v="Gillian Norris"/>
    <s v="doylestown"/>
    <x v="0"/>
    <n v="8501"/>
    <x v="41"/>
    <d v="2015-06-25T00:00:00"/>
    <x v="1"/>
    <x v="7"/>
  </r>
  <r>
    <n v="655"/>
    <s v="Gina Mastrangelo"/>
    <s v="havertown"/>
    <x v="0"/>
    <n v="10031"/>
    <x v="134"/>
    <d v="2019-01-31T00:00:00"/>
    <x v="1"/>
    <x v="3"/>
  </r>
  <r>
    <n v="656"/>
    <s v="Gina Palilonis"/>
    <s v="feasterville"/>
    <x v="0"/>
    <n v="8154"/>
    <x v="170"/>
    <d v="2016-07-21T00:00:00"/>
    <x v="1"/>
    <x v="7"/>
  </r>
  <r>
    <n v="657"/>
    <s v="Gina Ryan"/>
    <s v="feasterville"/>
    <x v="0"/>
    <n v="19530"/>
    <x v="356"/>
    <d v="2025-12-11T00:00:00"/>
    <x v="0"/>
    <x v="7"/>
  </r>
  <r>
    <n v="658"/>
    <s v="Gina Ryan"/>
    <s v="feasterville"/>
    <x v="1"/>
    <n v="19530"/>
    <x v="356"/>
    <d v="2025-12-11T00:00:00"/>
    <x v="0"/>
    <x v="7"/>
  </r>
  <r>
    <n v="659"/>
    <s v="Gino Grosso"/>
    <s v="philadelphia"/>
    <x v="0"/>
    <n v="10254"/>
    <x v="79"/>
    <d v="2019-06-22T00:00:00"/>
    <x v="1"/>
    <x v="6"/>
  </r>
  <r>
    <n v="660"/>
    <s v="Girard Robertson"/>
    <s v="philadelphia"/>
    <x v="0"/>
    <n v="18015"/>
    <x v="258"/>
    <d v="2026-11-10T00:00:00"/>
    <x v="0"/>
    <x v="6"/>
  </r>
  <r>
    <n v="661"/>
    <s v="Gladys Murphy"/>
    <s v="levittown"/>
    <x v="0"/>
    <n v="9726"/>
    <x v="109"/>
    <d v="2020-07-20T00:00:00"/>
    <x v="1"/>
    <x v="7"/>
  </r>
  <r>
    <n v="662"/>
    <s v="Gladys Shelton"/>
    <s v="bensalem"/>
    <x v="0"/>
    <n v="8927"/>
    <x v="289"/>
    <d v="2016-06-26T00:00:00"/>
    <x v="1"/>
    <x v="7"/>
  </r>
  <r>
    <n v="663"/>
    <s v="Glenn Gallo"/>
    <s v="dublin"/>
    <x v="0"/>
    <n v="8970"/>
    <x v="73"/>
    <d v="2016-07-29T00:00:00"/>
    <x v="1"/>
    <x v="7"/>
  </r>
  <r>
    <n v="664"/>
    <s v="Glenn Gordon"/>
    <s v="philadelphia"/>
    <x v="0"/>
    <n v="22092"/>
    <x v="357"/>
    <d v="2027-06-05T00:00:00"/>
    <x v="0"/>
    <x v="6"/>
  </r>
  <r>
    <n v="665"/>
    <s v="Glenn Marley"/>
    <s v="philadelphia"/>
    <x v="0"/>
    <n v="19186"/>
    <x v="358"/>
    <d v="2025-09-22T00:00:00"/>
    <x v="0"/>
    <x v="6"/>
  </r>
  <r>
    <n v="666"/>
    <s v="Glenn Rose"/>
    <s v="bristol"/>
    <x v="0"/>
    <n v="7494"/>
    <x v="359"/>
    <d v="2016-03-12T00:00:00"/>
    <x v="1"/>
    <x v="7"/>
  </r>
  <r>
    <n v="667"/>
    <s v="Glenn Wilson"/>
    <s v="philadelphia"/>
    <x v="0"/>
    <n v="18565"/>
    <x v="172"/>
    <d v="2025-05-02T00:00:00"/>
    <x v="2"/>
    <x v="6"/>
  </r>
  <r>
    <n v="668"/>
    <s v="Gloria Gallagher"/>
    <s v="lancaster"/>
    <x v="0"/>
    <n v="14689"/>
    <x v="28"/>
    <d v="2025-09-10T00:00:00"/>
    <x v="0"/>
    <x v="2"/>
  </r>
  <r>
    <n v="669"/>
    <s v="Graham Sayles"/>
    <s v="warrington"/>
    <x v="0"/>
    <n v="8925"/>
    <x v="289"/>
    <d v="2016-06-26T00:00:00"/>
    <x v="1"/>
    <x v="7"/>
  </r>
  <r>
    <n v="670"/>
    <s v="Greg Schmalhofer"/>
    <s v="lancaster"/>
    <x v="1"/>
    <n v="16944"/>
    <x v="360"/>
    <d v="2025-10-26T00:00:00"/>
    <x v="0"/>
    <x v="2"/>
  </r>
  <r>
    <n v="671"/>
    <s v="Gregory Broughton, Jr."/>
    <s v="philadelphia"/>
    <x v="0"/>
    <n v="13017"/>
    <x v="228"/>
    <d v="2021-05-14T00:00:00"/>
    <x v="1"/>
    <x v="6"/>
  </r>
  <r>
    <n v="672"/>
    <s v="Gregory Collazo"/>
    <s v="philadelphia"/>
    <x v="0"/>
    <n v="22091"/>
    <x v="357"/>
    <d v="2027-06-05T00:00:00"/>
    <x v="0"/>
    <x v="6"/>
  </r>
  <r>
    <n v="673"/>
    <s v="Gregory Pettway"/>
    <s v="philadelphia"/>
    <x v="0"/>
    <n v="9563"/>
    <x v="361"/>
    <d v="2018-04-06T00:00:00"/>
    <x v="1"/>
    <x v="6"/>
  </r>
  <r>
    <n v="674"/>
    <s v="Gregory Scott"/>
    <s v="frackville"/>
    <x v="0"/>
    <n v="11936"/>
    <x v="362"/>
    <d v="2026-07-23T00:00:00"/>
    <x v="0"/>
    <x v="0"/>
  </r>
  <r>
    <n v="675"/>
    <s v="Gregory Young"/>
    <s v="west chester"/>
    <x v="0"/>
    <n v="15305"/>
    <x v="51"/>
    <d v="2026-06-30T00:00:00"/>
    <x v="0"/>
    <x v="4"/>
  </r>
  <r>
    <n v="676"/>
    <s v="Gregory Young"/>
    <s v="west chester"/>
    <x v="2"/>
    <n v="15305"/>
    <x v="363"/>
    <d v="2026-07-24T00:00:00"/>
    <x v="0"/>
    <x v="4"/>
  </r>
  <r>
    <n v="677"/>
    <s v="Guillermo Martinez"/>
    <s v="philadelphia"/>
    <x v="0"/>
    <n v="8328"/>
    <x v="81"/>
    <d v="2017-02-20T00:00:00"/>
    <x v="1"/>
    <x v="6"/>
  </r>
  <r>
    <n v="678"/>
    <s v="Guy Bruhl"/>
    <s v="philadelphia"/>
    <x v="0"/>
    <n v="15338"/>
    <x v="94"/>
    <d v="2024-07-29T00:00:00"/>
    <x v="2"/>
    <x v="6"/>
  </r>
  <r>
    <n v="679"/>
    <s v="Gwendolyn Bowers"/>
    <s v="kirkwood"/>
    <x v="0"/>
    <n v="13699"/>
    <x v="27"/>
    <d v="2021-06-24T00:00:00"/>
    <x v="1"/>
    <x v="2"/>
  </r>
  <r>
    <n v="680"/>
    <s v="Gwendolyn Eckert"/>
    <s v="philadelphia"/>
    <x v="0"/>
    <n v="18062"/>
    <x v="364"/>
    <d v="2026-11-25T00:00:00"/>
    <x v="0"/>
    <x v="6"/>
  </r>
  <r>
    <n v="681"/>
    <s v="Gwendolyn Fogle-Hodges"/>
    <s v="philadelphia"/>
    <x v="0"/>
    <n v="8450"/>
    <x v="106"/>
    <d v="2015-05-18T00:00:00"/>
    <x v="1"/>
    <x v="6"/>
  </r>
  <r>
    <n v="682"/>
    <s v="Gwendolyn Garbini"/>
    <s v="reading"/>
    <x v="0"/>
    <n v="8684"/>
    <x v="96"/>
    <d v="2015-11-25T00:00:00"/>
    <x v="1"/>
    <x v="1"/>
  </r>
  <r>
    <n v="683"/>
    <s v="Hagop Voskanian"/>
    <s v="huntingdon valley"/>
    <x v="0"/>
    <n v="21579"/>
    <x v="67"/>
    <d v="2027-02-19T00:00:00"/>
    <x v="0"/>
    <x v="5"/>
  </r>
  <r>
    <n v="684"/>
    <s v="Haley Sippel"/>
    <s v="friedensburg"/>
    <x v="0"/>
    <n v="16613"/>
    <x v="365"/>
    <d v="2023-06-30T00:00:00"/>
    <x v="1"/>
    <x v="0"/>
  </r>
  <r>
    <n v="685"/>
    <s v="Hamilton Newton"/>
    <s v="womelsdorf"/>
    <x v="0"/>
    <n v="9658"/>
    <x v="194"/>
    <d v="2020-06-16T00:00:00"/>
    <x v="1"/>
    <x v="1"/>
  </r>
  <r>
    <n v="686"/>
    <s v="Hannah Panfile"/>
    <s v="eagleville"/>
    <x v="0"/>
    <n v="15355"/>
    <x v="52"/>
    <d v="2022-12-07T00:00:00"/>
    <x v="1"/>
    <x v="5"/>
  </r>
  <r>
    <n v="687"/>
    <s v="Harlando Matthews"/>
    <s v="philadelphia"/>
    <x v="0"/>
    <n v="18347"/>
    <x v="366"/>
    <d v="2027-02-17T00:00:00"/>
    <x v="0"/>
    <x v="6"/>
  </r>
  <r>
    <n v="688"/>
    <s v="Heather  Diottavio"/>
    <s v="lansdale"/>
    <x v="0"/>
    <n v="17768"/>
    <x v="82"/>
    <d v="2026-08-18T00:00:00"/>
    <x v="0"/>
    <x v="5"/>
  </r>
  <r>
    <n v="689"/>
    <s v="Heather Aspero"/>
    <s v="bensalem"/>
    <x v="0"/>
    <n v="9328"/>
    <x v="367"/>
    <d v="2025-08-13T00:00:00"/>
    <x v="0"/>
    <x v="7"/>
  </r>
  <r>
    <n v="690"/>
    <s v="Heather Aspero"/>
    <s v="bensalem"/>
    <x v="1"/>
    <n v="9328"/>
    <x v="368"/>
    <d v="2025-08-13T00:00:00"/>
    <x v="0"/>
    <x v="7"/>
  </r>
  <r>
    <n v="691"/>
    <s v="Heather Boher"/>
    <s v="minersville"/>
    <x v="0"/>
    <n v="10173"/>
    <x v="369"/>
    <d v="2027-06-10T00:00:00"/>
    <x v="0"/>
    <x v="0"/>
  </r>
  <r>
    <n v="692"/>
    <s v="Heather Fechtenburg"/>
    <s v="levittown"/>
    <x v="0"/>
    <n v="10023"/>
    <x v="134"/>
    <d v="2027-01-31T00:00:00"/>
    <x v="0"/>
    <x v="7"/>
  </r>
  <r>
    <n v="693"/>
    <s v="Heather Fechtenburg"/>
    <s v="levittown"/>
    <x v="2"/>
    <n v="10023"/>
    <x v="199"/>
    <d v="2027-01-31T00:00:00"/>
    <x v="0"/>
    <x v="7"/>
  </r>
  <r>
    <n v="694"/>
    <s v="Heather Jacobs"/>
    <s v="philadelphia"/>
    <x v="0"/>
    <n v="21574"/>
    <x v="67"/>
    <d v="2027-02-19T00:00:00"/>
    <x v="0"/>
    <x v="6"/>
  </r>
  <r>
    <n v="695"/>
    <s v="Heidi Quimby"/>
    <s v="ambler"/>
    <x v="0"/>
    <n v="20008"/>
    <x v="370"/>
    <d v="2026-03-12T00:00:00"/>
    <x v="0"/>
    <x v="5"/>
  </r>
  <r>
    <n v="696"/>
    <s v="Heleena Savage"/>
    <s v="philadelphia"/>
    <x v="0"/>
    <n v="18308"/>
    <x v="371"/>
    <d v="2025-02-14T00:00:00"/>
    <x v="2"/>
    <x v="6"/>
  </r>
  <r>
    <n v="697"/>
    <s v="Helen Wooten"/>
    <s v="reading"/>
    <x v="0"/>
    <n v="12350"/>
    <x v="372"/>
    <d v="2026-09-25T00:00:00"/>
    <x v="0"/>
    <x v="1"/>
  </r>
  <r>
    <n v="698"/>
    <s v="Helen Wooten"/>
    <s v="reading"/>
    <x v="1"/>
    <n v="12350"/>
    <x v="373"/>
    <d v="2026-09-25T00:00:00"/>
    <x v="0"/>
    <x v="1"/>
  </r>
  <r>
    <n v="699"/>
    <s v="Henry Owens, Jr."/>
    <s v="philadelphia"/>
    <x v="0"/>
    <n v="16531"/>
    <x v="105"/>
    <d v="2023-06-25T00:00:00"/>
    <x v="1"/>
    <x v="6"/>
  </r>
  <r>
    <n v="700"/>
    <s v="Herman Scott"/>
    <s v="philadelphia"/>
    <x v="0"/>
    <n v="8073"/>
    <x v="374"/>
    <d v="2014-04-03T00:00:00"/>
    <x v="1"/>
    <x v="6"/>
  </r>
  <r>
    <n v="701"/>
    <s v="Hewitt Coward"/>
    <s v="philadelphia"/>
    <x v="0"/>
    <n v="8326"/>
    <x v="81"/>
    <d v="2019-02-20T00:00:00"/>
    <x v="1"/>
    <x v="6"/>
  </r>
  <r>
    <n v="702"/>
    <s v="Hilary Mowrer"/>
    <s v="manheim"/>
    <x v="0"/>
    <n v="13714"/>
    <x v="27"/>
    <d v="2025-06-24T00:00:00"/>
    <x v="0"/>
    <x v="2"/>
  </r>
  <r>
    <n v="703"/>
    <s v="Holly Brennan"/>
    <s v="reading"/>
    <x v="0"/>
    <n v="10295"/>
    <x v="149"/>
    <d v="2019-06-29T00:00:00"/>
    <x v="1"/>
    <x v="1"/>
  </r>
  <r>
    <n v="704"/>
    <s v="Holly Harkins"/>
    <s v="quakertown"/>
    <x v="0"/>
    <n v="16296"/>
    <x v="375"/>
    <d v="2027-03-18T00:00:00"/>
    <x v="0"/>
    <x v="7"/>
  </r>
  <r>
    <n v="705"/>
    <s v="Holly Harkins"/>
    <s v="quakertown"/>
    <x v="1"/>
    <n v="16296"/>
    <x v="376"/>
    <d v="2027-06-03T00:00:00"/>
    <x v="0"/>
    <x v="7"/>
  </r>
  <r>
    <n v="706"/>
    <s v="Hope O'Brien"/>
    <s v="pottstown"/>
    <x v="0"/>
    <n v="12210"/>
    <x v="377"/>
    <d v="2021-03-22T00:00:00"/>
    <x v="1"/>
    <x v="4"/>
  </r>
  <r>
    <n v="707"/>
    <s v="Humble Reid"/>
    <s v="philadelphia"/>
    <x v="0"/>
    <n v="19962"/>
    <x v="378"/>
    <d v="2027-05-24T00:00:00"/>
    <x v="0"/>
    <x v="6"/>
  </r>
  <r>
    <n v="708"/>
    <s v="Hye-Sun Kim"/>
    <s v="bryn mawr"/>
    <x v="0"/>
    <n v="7974"/>
    <x v="379"/>
    <d v="2013-12-20T00:00:00"/>
    <x v="1"/>
    <x v="3"/>
  </r>
  <r>
    <n v="709"/>
    <s v="Ian  Harris"/>
    <s v="reading"/>
    <x v="0"/>
    <n v="20505"/>
    <x v="68"/>
    <d v="2026-06-26T00:00:00"/>
    <x v="0"/>
    <x v="1"/>
  </r>
  <r>
    <n v="710"/>
    <s v="Ian Endy"/>
    <s v="leesport"/>
    <x v="0"/>
    <n v="9428"/>
    <x v="31"/>
    <d v="2017-12-03T00:00:00"/>
    <x v="1"/>
    <x v="1"/>
  </r>
  <r>
    <n v="711"/>
    <s v="Ian McCoy"/>
    <s v="philadelphia"/>
    <x v="0"/>
    <n v="12692"/>
    <x v="127"/>
    <d v="2021-01-09T00:00:00"/>
    <x v="1"/>
    <x v="6"/>
  </r>
  <r>
    <n v="712"/>
    <s v="Ian Schneider"/>
    <s v="dublin"/>
    <x v="0"/>
    <n v="17897"/>
    <x v="380"/>
    <d v="2026-10-05T00:00:00"/>
    <x v="0"/>
    <x v="7"/>
  </r>
  <r>
    <n v="713"/>
    <s v="Idella Hopkins"/>
    <s v="reading"/>
    <x v="0"/>
    <n v="18172"/>
    <x v="381"/>
    <d v="2024-12-27T00:00:00"/>
    <x v="2"/>
    <x v="1"/>
  </r>
  <r>
    <n v="714"/>
    <s v="Iliana Strauss"/>
    <s v="villanova"/>
    <x v="0"/>
    <n v="12783"/>
    <x v="116"/>
    <d v="2021-01-25T00:00:00"/>
    <x v="1"/>
    <x v="3"/>
  </r>
  <r>
    <n v="715"/>
    <s v="Imani Shaw"/>
    <s v="upper darby"/>
    <x v="0"/>
    <n v="11284"/>
    <x v="382"/>
    <d v="2025-08-10T00:00:00"/>
    <x v="0"/>
    <x v="3"/>
  </r>
  <r>
    <n v="716"/>
    <s v="Inez Williams"/>
    <s v="philadelphia"/>
    <x v="0"/>
    <n v="8461"/>
    <x v="106"/>
    <d v="2015-05-18T00:00:00"/>
    <x v="1"/>
    <x v="6"/>
  </r>
  <r>
    <n v="717"/>
    <s v="Irene Lisinski"/>
    <s v="spring city"/>
    <x v="0"/>
    <n v="7257"/>
    <x v="383"/>
    <d v="2015-06-12T00:00:00"/>
    <x v="1"/>
    <x v="4"/>
  </r>
  <r>
    <n v="718"/>
    <s v="Iris Guzman"/>
    <s v="reading"/>
    <x v="0"/>
    <n v="11822"/>
    <x v="72"/>
    <d v="2026-06-28T00:00:00"/>
    <x v="0"/>
    <x v="1"/>
  </r>
  <r>
    <n v="719"/>
    <s v="Isa Allende-Averette"/>
    <s v="philadelphia"/>
    <x v="1"/>
    <n v="21636"/>
    <x v="384"/>
    <d v="2027-03-03T00:00:00"/>
    <x v="0"/>
    <x v="6"/>
  </r>
  <r>
    <n v="720"/>
    <s v="Ishmael  Taylor"/>
    <s v="sinking spring"/>
    <x v="0"/>
    <n v="21387"/>
    <x v="260"/>
    <d v="2027-01-22T00:00:00"/>
    <x v="0"/>
    <x v="1"/>
  </r>
  <r>
    <n v="721"/>
    <s v="Ivan Reyes Ayala"/>
    <s v="columbia"/>
    <x v="0"/>
    <n v="10583"/>
    <x v="88"/>
    <d v="2019-12-12T00:00:00"/>
    <x v="1"/>
    <x v="2"/>
  </r>
  <r>
    <n v="722"/>
    <s v="Ivan Rosa"/>
    <s v="philadelphia"/>
    <x v="0"/>
    <n v="12421"/>
    <x v="57"/>
    <d v="2026-10-23T00:00:00"/>
    <x v="0"/>
    <x v="6"/>
  </r>
  <r>
    <n v="723"/>
    <s v="Jacen Spelman"/>
    <s v="levittown"/>
    <x v="0"/>
    <n v="19549"/>
    <x v="385"/>
    <d v="2025-12-12T00:00:00"/>
    <x v="0"/>
    <x v="7"/>
  </r>
  <r>
    <n v="724"/>
    <s v="Jacinthe Ndanu"/>
    <s v="philadelphia"/>
    <x v="0"/>
    <n v="8561"/>
    <x v="71"/>
    <d v="2015-07-30T00:00:00"/>
    <x v="1"/>
    <x v="6"/>
  </r>
  <r>
    <n v="725"/>
    <s v="Jack Land"/>
    <s v="philadelphia"/>
    <x v="0"/>
    <n v="9445"/>
    <x v="150"/>
    <d v="2025-12-08T00:00:00"/>
    <x v="0"/>
    <x v="6"/>
  </r>
  <r>
    <n v="726"/>
    <s v="Jaclyn Dougherty"/>
    <s v="north wales"/>
    <x v="0"/>
    <n v="8969"/>
    <x v="73"/>
    <d v="2016-07-29T00:00:00"/>
    <x v="1"/>
    <x v="5"/>
  </r>
  <r>
    <n v="727"/>
    <s v="Jaclyn Dugan"/>
    <s v="wallingford"/>
    <x v="0"/>
    <n v="9599"/>
    <x v="153"/>
    <d v="2026-05-24T00:00:00"/>
    <x v="0"/>
    <x v="3"/>
  </r>
  <r>
    <n v="728"/>
    <s v="Jaclyn Ferrer"/>
    <s v="philadelphia"/>
    <x v="0"/>
    <n v="8330"/>
    <x v="81"/>
    <d v="2015-02-20T00:00:00"/>
    <x v="1"/>
    <x v="6"/>
  </r>
  <r>
    <n v="729"/>
    <s v="Jaclyn Somes"/>
    <s v="ridley park"/>
    <x v="0"/>
    <n v="14761"/>
    <x v="224"/>
    <d v="2021-11-01T00:00:00"/>
    <x v="1"/>
    <x v="3"/>
  </r>
  <r>
    <n v="730"/>
    <s v="Jacqualine Morales"/>
    <s v="malvern"/>
    <x v="0"/>
    <n v="15327"/>
    <x v="181"/>
    <d v="2024-09-22T00:00:00"/>
    <x v="2"/>
    <x v="4"/>
  </r>
  <r>
    <n v="731"/>
    <s v="Jacqualine Morales"/>
    <s v="malvern"/>
    <x v="1"/>
    <n v="15327"/>
    <x v="386"/>
    <d v="2022-07-28T00:00:00"/>
    <x v="1"/>
    <x v="4"/>
  </r>
  <r>
    <n v="732"/>
    <s v="Jacqueline Donahue"/>
    <s v="west chester"/>
    <x v="0"/>
    <n v="13072"/>
    <x v="377"/>
    <d v="2027-03-22T00:00:00"/>
    <x v="0"/>
    <x v="4"/>
  </r>
  <r>
    <n v="733"/>
    <s v="Jacqueline Donahue"/>
    <s v="west chester"/>
    <x v="1"/>
    <n v="13072"/>
    <x v="387"/>
    <d v="2025-07-28T00:00:00"/>
    <x v="0"/>
    <x v="4"/>
  </r>
  <r>
    <n v="734"/>
    <s v="Jacqueline Donahue"/>
    <s v="west chester"/>
    <x v="2"/>
    <n v="13072"/>
    <x v="66"/>
    <d v="2026-06-07T00:00:00"/>
    <x v="0"/>
    <x v="4"/>
  </r>
  <r>
    <n v="735"/>
    <s v="Jacqueline Firestine"/>
    <s v="tremont"/>
    <x v="0"/>
    <n v="12833"/>
    <x v="30"/>
    <d v="2021-02-08T00:00:00"/>
    <x v="1"/>
    <x v="0"/>
  </r>
  <r>
    <n v="736"/>
    <s v="Jacqueline Gruhler"/>
    <s v="morton"/>
    <x v="0"/>
    <n v="19350"/>
    <x v="46"/>
    <d v="2026-02-14T00:00:00"/>
    <x v="0"/>
    <x v="3"/>
  </r>
  <r>
    <n v="737"/>
    <s v="Jacqueline Gruhler"/>
    <s v="morton"/>
    <x v="1"/>
    <n v="19350"/>
    <x v="388"/>
    <d v="2025-11-07T00:00:00"/>
    <x v="0"/>
    <x v="3"/>
  </r>
  <r>
    <n v="738"/>
    <s v="Jacqueline Holloway"/>
    <s v="philadelphia"/>
    <x v="0"/>
    <n v="11414"/>
    <x v="389"/>
    <d v="2020-05-17T00:00:00"/>
    <x v="1"/>
    <x v="6"/>
  </r>
  <r>
    <n v="739"/>
    <s v="Jacqueline Johnston"/>
    <s v="malvern"/>
    <x v="0"/>
    <n v="9542"/>
    <x v="61"/>
    <d v="2020-03-11T00:00:00"/>
    <x v="1"/>
    <x v="4"/>
  </r>
  <r>
    <n v="740"/>
    <s v="Jacqueline ter Kuile"/>
    <s v="harleysville"/>
    <x v="0"/>
    <n v="10118"/>
    <x v="63"/>
    <d v="2019-04-21T00:00:00"/>
    <x v="1"/>
    <x v="5"/>
  </r>
  <r>
    <n v="741"/>
    <s v="Jacquelyn Perez-Rocha"/>
    <s v="media"/>
    <x v="0"/>
    <n v="16532"/>
    <x v="105"/>
    <d v="2023-06-25T00:00:00"/>
    <x v="1"/>
    <x v="3"/>
  </r>
  <r>
    <n v="742"/>
    <s v="Jaime Lane"/>
    <s v="philadelphia"/>
    <x v="0"/>
    <n v="10003"/>
    <x v="48"/>
    <d v="2019-01-18T00:00:00"/>
    <x v="1"/>
    <x v="6"/>
  </r>
  <r>
    <n v="743"/>
    <s v="Jaime Lane"/>
    <s v="philadelphia"/>
    <x v="1"/>
    <n v="10003"/>
    <x v="390"/>
    <d v="2027-02-20T00:00:00"/>
    <x v="0"/>
    <x v="6"/>
  </r>
  <r>
    <n v="744"/>
    <s v="Jaime Morris"/>
    <s v="philadelphia"/>
    <x v="0"/>
    <n v="8453"/>
    <x v="391"/>
    <d v="2026-06-20T00:00:00"/>
    <x v="0"/>
    <x v="6"/>
  </r>
  <r>
    <n v="745"/>
    <s v="James  VanGerve"/>
    <s v="philadelphia"/>
    <x v="0"/>
    <n v="17379"/>
    <x v="392"/>
    <d v="2024-04-21T00:00:00"/>
    <x v="1"/>
    <x v="6"/>
  </r>
  <r>
    <n v="746"/>
    <s v="James Barry"/>
    <s v="philadelphia"/>
    <x v="0"/>
    <n v="16313"/>
    <x v="393"/>
    <d v="2025-06-12T00:00:00"/>
    <x v="2"/>
    <x v="6"/>
  </r>
  <r>
    <n v="747"/>
    <s v="James Barry"/>
    <s v="philadelphia"/>
    <x v="1"/>
    <n v="16313"/>
    <x v="394"/>
    <d v="2025-06-06T00:00:00"/>
    <x v="2"/>
    <x v="6"/>
  </r>
  <r>
    <n v="748"/>
    <s v="James Bollinger"/>
    <s v="philadelphia"/>
    <x v="0"/>
    <n v="17526"/>
    <x v="395"/>
    <d v="2026-06-05T00:00:00"/>
    <x v="0"/>
    <x v="6"/>
  </r>
  <r>
    <n v="749"/>
    <s v="James Bollinger"/>
    <s v="philadelphia"/>
    <x v="1"/>
    <n v="17526"/>
    <x v="43"/>
    <d v="2027-02-03T00:00:00"/>
    <x v="0"/>
    <x v="6"/>
  </r>
  <r>
    <n v="750"/>
    <s v="James Brock"/>
    <s v="feasterville trevose"/>
    <x v="0"/>
    <n v="8785"/>
    <x v="165"/>
    <d v="2016-03-12T00:00:00"/>
    <x v="1"/>
    <x v="7"/>
  </r>
  <r>
    <n v="751"/>
    <s v="James Duffy"/>
    <s v="hatfield"/>
    <x v="0"/>
    <n v="15339"/>
    <x v="94"/>
    <d v="2022-07-29T00:00:00"/>
    <x v="1"/>
    <x v="5"/>
  </r>
  <r>
    <n v="752"/>
    <s v="James Gallop"/>
    <s v="yardley"/>
    <x v="0"/>
    <n v="20395"/>
    <x v="396"/>
    <d v="2026-06-10T00:00:00"/>
    <x v="0"/>
    <x v="7"/>
  </r>
  <r>
    <n v="753"/>
    <s v="James Geronemo"/>
    <s v="morrisville"/>
    <x v="0"/>
    <n v="20704"/>
    <x v="397"/>
    <d v="2026-08-17T00:00:00"/>
    <x v="0"/>
    <x v="7"/>
  </r>
  <r>
    <n v="754"/>
    <s v="James Harris"/>
    <s v="mahanoy city"/>
    <x v="0"/>
    <n v="13571"/>
    <x v="339"/>
    <d v="2021-06-14T00:00:00"/>
    <x v="1"/>
    <x v="0"/>
  </r>
  <r>
    <n v="755"/>
    <s v="James Horn, III"/>
    <s v="philadelphia"/>
    <x v="0"/>
    <n v="13073"/>
    <x v="377"/>
    <d v="2021-03-22T00:00:00"/>
    <x v="1"/>
    <x v="6"/>
  </r>
  <r>
    <n v="756"/>
    <s v="James Hubert"/>
    <s v="philadelphia"/>
    <x v="0"/>
    <n v="11346"/>
    <x v="135"/>
    <d v="2020-05-07T00:00:00"/>
    <x v="1"/>
    <x v="6"/>
  </r>
  <r>
    <n v="757"/>
    <s v="James Ivery"/>
    <s v="lancaster"/>
    <x v="0"/>
    <n v="9890"/>
    <x v="398"/>
    <d v="2024-11-09T00:00:00"/>
    <x v="2"/>
    <x v="2"/>
  </r>
  <r>
    <n v="758"/>
    <s v="James Johnson"/>
    <s v="philadelphia"/>
    <x v="0"/>
    <n v="8556"/>
    <x v="71"/>
    <d v="2015-07-30T00:00:00"/>
    <x v="1"/>
    <x v="6"/>
  </r>
  <r>
    <n v="759"/>
    <s v="James Klasen"/>
    <s v="elkins park"/>
    <x v="0"/>
    <n v="12418"/>
    <x v="205"/>
    <d v="2026-10-15T00:00:00"/>
    <x v="0"/>
    <x v="5"/>
  </r>
  <r>
    <n v="760"/>
    <s v="James Krieger"/>
    <s v="glenside"/>
    <x v="0"/>
    <n v="17037"/>
    <x v="399"/>
    <d v="2023-12-22T00:00:00"/>
    <x v="1"/>
    <x v="5"/>
  </r>
  <r>
    <n v="761"/>
    <s v="James Krieger"/>
    <s v="glenside"/>
    <x v="1"/>
    <n v="17037"/>
    <x v="400"/>
    <d v="2023-12-13T00:00:00"/>
    <x v="1"/>
    <x v="5"/>
  </r>
  <r>
    <n v="762"/>
    <s v="James Kuney"/>
    <s v="jamison"/>
    <x v="0"/>
    <n v="7936"/>
    <x v="250"/>
    <d v="2013-10-07T00:00:00"/>
    <x v="1"/>
    <x v="7"/>
  </r>
  <r>
    <n v="763"/>
    <s v="James Lockowitz"/>
    <s v="shillington"/>
    <x v="0"/>
    <n v="13576"/>
    <x v="339"/>
    <d v="2023-06-14T00:00:00"/>
    <x v="1"/>
    <x v="1"/>
  </r>
  <r>
    <n v="764"/>
    <s v="James Major, Jr."/>
    <s v="reading"/>
    <x v="0"/>
    <n v="10272"/>
    <x v="401"/>
    <d v="2019-06-26T00:00:00"/>
    <x v="1"/>
    <x v="1"/>
  </r>
  <r>
    <n v="765"/>
    <s v="James Mallett"/>
    <s v="philadelphia"/>
    <x v="0"/>
    <n v="20336"/>
    <x v="296"/>
    <d v="2026-05-24T00:00:00"/>
    <x v="0"/>
    <x v="6"/>
  </r>
  <r>
    <n v="766"/>
    <s v="James McCauley"/>
    <s v="norristown"/>
    <x v="0"/>
    <n v="15442"/>
    <x v="184"/>
    <d v="2026-08-28T00:00:00"/>
    <x v="0"/>
    <x v="5"/>
  </r>
  <r>
    <n v="767"/>
    <s v="James Pfizenmayer"/>
    <s v="philadelphia"/>
    <x v="0"/>
    <n v="14805"/>
    <x v="117"/>
    <d v="2021-11-18T00:00:00"/>
    <x v="1"/>
    <x v="6"/>
  </r>
  <r>
    <n v="768"/>
    <s v="James Schlegel"/>
    <s v="reading"/>
    <x v="0"/>
    <n v="7981"/>
    <x v="402"/>
    <d v="2022-10-05T00:00:00"/>
    <x v="1"/>
    <x v="1"/>
  </r>
  <r>
    <n v="769"/>
    <s v="James Seldon"/>
    <s v="philadelphia"/>
    <x v="0"/>
    <n v="8044"/>
    <x v="142"/>
    <d v="2024-03-09T00:00:00"/>
    <x v="1"/>
    <x v="6"/>
  </r>
  <r>
    <n v="770"/>
    <s v="James Severson"/>
    <s v="lancaster"/>
    <x v="0"/>
    <n v="9433"/>
    <x v="31"/>
    <d v="2025-12-03T00:00:00"/>
    <x v="0"/>
    <x v="2"/>
  </r>
  <r>
    <n v="771"/>
    <s v="James Sherman"/>
    <s v="philadelphia"/>
    <x v="0"/>
    <n v="19871"/>
    <x v="46"/>
    <d v="2026-02-14T00:00:00"/>
    <x v="0"/>
    <x v="6"/>
  </r>
  <r>
    <n v="772"/>
    <s v="James Sigg"/>
    <s v="norristown"/>
    <x v="0"/>
    <n v="9987"/>
    <x v="255"/>
    <d v="2019-01-11T00:00:00"/>
    <x v="1"/>
    <x v="5"/>
  </r>
  <r>
    <n v="773"/>
    <s v="James Somerville"/>
    <s v="philadelphia"/>
    <x v="0"/>
    <n v="18286"/>
    <x v="403"/>
    <d v="2027-02-06T00:00:00"/>
    <x v="0"/>
    <x v="6"/>
  </r>
  <r>
    <n v="774"/>
    <s v="James Steinard"/>
    <s v="philadelphia"/>
    <x v="0"/>
    <n v="14808"/>
    <x v="117"/>
    <d v="2021-11-18T00:00:00"/>
    <x v="1"/>
    <x v="6"/>
  </r>
  <r>
    <n v="775"/>
    <s v="James White"/>
    <s v="philadelphia"/>
    <x v="0"/>
    <n v="17309"/>
    <x v="157"/>
    <d v="2026-04-05T00:00:00"/>
    <x v="0"/>
    <x v="6"/>
  </r>
  <r>
    <n v="776"/>
    <s v="James Williams"/>
    <s v="philadelphia"/>
    <x v="0"/>
    <n v="8321"/>
    <x v="81"/>
    <d v="2015-02-20T00:00:00"/>
    <x v="1"/>
    <x v="6"/>
  </r>
  <r>
    <n v="777"/>
    <s v="James Wright"/>
    <s v="telford"/>
    <x v="0"/>
    <n v="10490"/>
    <x v="404"/>
    <d v="2019-10-27T00:00:00"/>
    <x v="1"/>
    <x v="5"/>
  </r>
  <r>
    <n v="778"/>
    <s v="Jami Geist"/>
    <s v="fleetwood"/>
    <x v="0"/>
    <n v="8867"/>
    <x v="123"/>
    <d v="2016-05-15T00:00:00"/>
    <x v="1"/>
    <x v="1"/>
  </r>
  <r>
    <n v="779"/>
    <s v="Jami Hooper"/>
    <s v="shoemakersville"/>
    <x v="0"/>
    <n v="17941"/>
    <x v="405"/>
    <d v="2026-10-11T00:00:00"/>
    <x v="0"/>
    <x v="1"/>
  </r>
  <r>
    <n v="780"/>
    <s v="Jamie  Morris"/>
    <s v="philadelphia"/>
    <x v="0"/>
    <n v="20669"/>
    <x v="167"/>
    <d v="2026-08-12T00:00:00"/>
    <x v="0"/>
    <x v="6"/>
  </r>
  <r>
    <n v="781"/>
    <s v="Jamie D'Amico"/>
    <s v="pennsburg"/>
    <x v="0"/>
    <n v="9344"/>
    <x v="251"/>
    <d v="2017-09-11T00:00:00"/>
    <x v="1"/>
    <x v="5"/>
  </r>
  <r>
    <n v="782"/>
    <s v="Jamie Howard"/>
    <s v="brookhaven"/>
    <x v="0"/>
    <n v="21201"/>
    <x v="155"/>
    <d v="2026-12-12T00:00:00"/>
    <x v="0"/>
    <x v="3"/>
  </r>
  <r>
    <n v="783"/>
    <s v="Jamie Howard"/>
    <s v="brookhaven"/>
    <x v="1"/>
    <n v="21201"/>
    <x v="406"/>
    <d v="2026-12-04T00:00:00"/>
    <x v="0"/>
    <x v="3"/>
  </r>
  <r>
    <n v="784"/>
    <s v="Jamie Johnson"/>
    <s v="west chester"/>
    <x v="0"/>
    <n v="2174"/>
    <x v="407"/>
    <d v="2026-01-17T00:00:00"/>
    <x v="0"/>
    <x v="4"/>
  </r>
  <r>
    <n v="785"/>
    <s v="Jamie Mondesir"/>
    <s v="wernersville"/>
    <x v="0"/>
    <n v="11684"/>
    <x v="2"/>
    <d v="2020-06-18T00:00:00"/>
    <x v="1"/>
    <x v="1"/>
  </r>
  <r>
    <n v="786"/>
    <s v="Jamie Swick"/>
    <s v="philadelphia"/>
    <x v="0"/>
    <n v="22113"/>
    <x v="408"/>
    <d v="2027-06-06T00:00:00"/>
    <x v="0"/>
    <x v="6"/>
  </r>
  <r>
    <n v="787"/>
    <s v="Jamie Ueberroth"/>
    <s v="philadelphia"/>
    <x v="0"/>
    <n v="17935"/>
    <x v="146"/>
    <d v="2026-10-06T00:00:00"/>
    <x v="0"/>
    <x v="6"/>
  </r>
  <r>
    <n v="788"/>
    <s v="Jamie Zabilowicz"/>
    <s v="chester"/>
    <x v="0"/>
    <n v="14022"/>
    <x v="19"/>
    <d v="2021-07-24T00:00:00"/>
    <x v="1"/>
    <x v="3"/>
  </r>
  <r>
    <n v="789"/>
    <s v="Jamila Harris"/>
    <s v="philadelphia"/>
    <x v="0"/>
    <n v="9981"/>
    <x v="255"/>
    <d v="2027-01-11T00:00:00"/>
    <x v="0"/>
    <x v="6"/>
  </r>
  <r>
    <n v="790"/>
    <s v="Jamilah Boyd"/>
    <s v="philadelphia"/>
    <x v="0"/>
    <n v="8550"/>
    <x v="71"/>
    <d v="2015-07-30T00:00:00"/>
    <x v="1"/>
    <x v="6"/>
  </r>
  <r>
    <n v="791"/>
    <s v="Jan Landis"/>
    <s v="quakertown"/>
    <x v="0"/>
    <n v="8474"/>
    <x v="409"/>
    <d v="2027-03-26T00:00:00"/>
    <x v="0"/>
    <x v="7"/>
  </r>
  <r>
    <n v="792"/>
    <s v="Janice Potter"/>
    <s v="lititz"/>
    <x v="0"/>
    <n v="8721"/>
    <x v="410"/>
    <d v="2021-12-17T00:00:00"/>
    <x v="1"/>
    <x v="2"/>
  </r>
  <r>
    <n v="793"/>
    <s v="Janine Bonanni"/>
    <s v="pipersville"/>
    <x v="0"/>
    <n v="13331"/>
    <x v="228"/>
    <d v="2021-05-14T00:00:00"/>
    <x v="1"/>
    <x v="7"/>
  </r>
  <r>
    <n v="794"/>
    <s v="Jannette Aguila"/>
    <s v="philadelphia"/>
    <x v="0"/>
    <n v="17766"/>
    <x v="82"/>
    <d v="2024-08-18T00:00:00"/>
    <x v="2"/>
    <x v="6"/>
  </r>
  <r>
    <n v="795"/>
    <s v="Jared Knauss"/>
    <s v="bristol"/>
    <x v="0"/>
    <n v="18544"/>
    <x v="411"/>
    <d v="2026-03-24T00:00:00"/>
    <x v="0"/>
    <x v="7"/>
  </r>
  <r>
    <n v="796"/>
    <s v="Jarrett Swartz"/>
    <s v="zieglerville"/>
    <x v="0"/>
    <n v="17776"/>
    <x v="82"/>
    <d v="2026-08-18T00:00:00"/>
    <x v="0"/>
    <x v="5"/>
  </r>
  <r>
    <n v="797"/>
    <s v="Jasmin Arroyo"/>
    <s v="lancaster"/>
    <x v="0"/>
    <n v="16835"/>
    <x v="69"/>
    <d v="2025-09-14T00:00:00"/>
    <x v="0"/>
    <x v="2"/>
  </r>
  <r>
    <n v="798"/>
    <s v="Jasmine Colligan"/>
    <s v="levittown"/>
    <x v="0"/>
    <n v="20030"/>
    <x v="412"/>
    <d v="2026-03-21T00:00:00"/>
    <x v="0"/>
    <x v="7"/>
  </r>
  <r>
    <n v="799"/>
    <s v="Jasmine Heisey"/>
    <s v="mount joy"/>
    <x v="1"/>
    <n v="17038"/>
    <x v="372"/>
    <d v="2023-12-14T00:00:00"/>
    <x v="1"/>
    <x v="2"/>
  </r>
  <r>
    <n v="800"/>
    <s v="Jason Cerrato"/>
    <s v="brookhaven"/>
    <x v="0"/>
    <n v="20996"/>
    <x v="205"/>
    <d v="2026-10-15T00:00:00"/>
    <x v="0"/>
    <x v="3"/>
  </r>
  <r>
    <n v="801"/>
    <s v="Jason Feldman"/>
    <s v="norristown"/>
    <x v="0"/>
    <n v="15435"/>
    <x v="184"/>
    <d v="2022-08-28T00:00:00"/>
    <x v="1"/>
    <x v="5"/>
  </r>
  <r>
    <n v="802"/>
    <s v="Jason Homlish"/>
    <s v="levittown"/>
    <x v="0"/>
    <n v="14947"/>
    <x v="110"/>
    <d v="2021-12-19T00:00:00"/>
    <x v="1"/>
    <x v="7"/>
  </r>
  <r>
    <n v="803"/>
    <s v="Jason Oxenberg"/>
    <s v="drexel hill"/>
    <x v="0"/>
    <n v="18563"/>
    <x v="413"/>
    <d v="2025-05-01T00:00:00"/>
    <x v="2"/>
    <x v="3"/>
  </r>
  <r>
    <n v="804"/>
    <s v="Jason Whittle"/>
    <s v="brookhaven"/>
    <x v="0"/>
    <n v="16536"/>
    <x v="105"/>
    <d v="2027-06-25T00:00:00"/>
    <x v="0"/>
    <x v="3"/>
  </r>
  <r>
    <n v="805"/>
    <s v="Jason Williams"/>
    <s v="lansdowne"/>
    <x v="0"/>
    <n v="10036"/>
    <x v="134"/>
    <d v="2023-01-31T00:00:00"/>
    <x v="1"/>
    <x v="3"/>
  </r>
  <r>
    <n v="806"/>
    <s v="Jay Berger"/>
    <s v="langhorne"/>
    <x v="0"/>
    <n v="9240"/>
    <x v="308"/>
    <d v="2019-06-25T00:00:00"/>
    <x v="1"/>
    <x v="7"/>
  </r>
  <r>
    <n v="807"/>
    <s v="Jaya Simmons"/>
    <s v="philadelphia"/>
    <x v="0"/>
    <n v="12638"/>
    <x v="414"/>
    <d v="2023-06-14T00:00:00"/>
    <x v="1"/>
    <x v="6"/>
  </r>
  <r>
    <n v="808"/>
    <s v="Jean Amy"/>
    <s v="pottstown"/>
    <x v="0"/>
    <n v="15512"/>
    <x v="181"/>
    <d v="2026-09-22T00:00:00"/>
    <x v="0"/>
    <x v="4"/>
  </r>
  <r>
    <n v="809"/>
    <s v="Jean Purdy-Koral"/>
    <s v="robesonia"/>
    <x v="1"/>
    <n v="13241"/>
    <x v="415"/>
    <d v="2021-05-02T00:00:00"/>
    <x v="1"/>
    <x v="1"/>
  </r>
  <r>
    <n v="810"/>
    <s v="Jean Schaller"/>
    <s v="gladwyne"/>
    <x v="0"/>
    <n v="14952"/>
    <x v="110"/>
    <d v="2023-12-19T00:00:00"/>
    <x v="1"/>
    <x v="5"/>
  </r>
  <r>
    <n v="811"/>
    <s v="Jeanine Maestrale-Boerner"/>
    <s v="bristol"/>
    <x v="0"/>
    <n v="9245"/>
    <x v="308"/>
    <d v="2025-06-25T00:00:00"/>
    <x v="0"/>
    <x v="7"/>
  </r>
  <r>
    <n v="812"/>
    <s v="Jeanne Good"/>
    <s v="langhorne"/>
    <x v="0"/>
    <n v="9540"/>
    <x v="61"/>
    <d v="2018-03-11T00:00:00"/>
    <x v="1"/>
    <x v="7"/>
  </r>
  <r>
    <n v="813"/>
    <s v="Jeanne McDermott"/>
    <s v="hatfield"/>
    <x v="0"/>
    <n v="7935"/>
    <x v="250"/>
    <d v="2023-10-07T00:00:00"/>
    <x v="1"/>
    <x v="5"/>
  </r>
  <r>
    <n v="814"/>
    <s v="Jeff Balthaser"/>
    <s v="royersford"/>
    <x v="0"/>
    <n v="14237"/>
    <x v="195"/>
    <d v="2021-08-09T00:00:00"/>
    <x v="1"/>
    <x v="5"/>
  </r>
  <r>
    <n v="815"/>
    <s v="Jefferine Mitchell"/>
    <s v="philadelphia"/>
    <x v="0"/>
    <n v="16530"/>
    <x v="105"/>
    <d v="2025-06-25T00:00:00"/>
    <x v="0"/>
    <x v="6"/>
  </r>
  <r>
    <n v="816"/>
    <s v="Jeffrey Clark"/>
    <s v="levittown"/>
    <x v="0"/>
    <n v="8179"/>
    <x v="170"/>
    <d v="2014-07-21T00:00:00"/>
    <x v="1"/>
    <x v="7"/>
  </r>
  <r>
    <n v="817"/>
    <s v="Jeffrey Coddington, Jr."/>
    <s v="philadelphia"/>
    <x v="0"/>
    <n v="22090"/>
    <x v="357"/>
    <d v="2027-06-05T00:00:00"/>
    <x v="0"/>
    <x v="6"/>
  </r>
  <r>
    <n v="818"/>
    <s v="Jeffrey Conklin"/>
    <s v="drexel hill"/>
    <x v="0"/>
    <n v="18136"/>
    <x v="416"/>
    <d v="2024-12-16T00:00:00"/>
    <x v="2"/>
    <x v="3"/>
  </r>
  <r>
    <n v="819"/>
    <s v="Jeffrey Erikson"/>
    <s v="west chester"/>
    <x v="0"/>
    <n v="17966"/>
    <x v="417"/>
    <d v="2026-10-18T00:00:00"/>
    <x v="0"/>
    <x v="4"/>
  </r>
  <r>
    <n v="820"/>
    <s v="Jeffrey Grumbling"/>
    <s v="mohrsville"/>
    <x v="0"/>
    <n v="13570"/>
    <x v="339"/>
    <d v="2021-06-14T00:00:00"/>
    <x v="1"/>
    <x v="1"/>
  </r>
  <r>
    <n v="821"/>
    <s v="Jeffrey Hunsberger"/>
    <s v="chester"/>
    <x v="0"/>
    <n v="9605"/>
    <x v="15"/>
    <d v="2018-05-23T00:00:00"/>
    <x v="1"/>
    <x v="3"/>
  </r>
  <r>
    <n v="822"/>
    <s v="Jeffrey Levin"/>
    <s v="ambler"/>
    <x v="0"/>
    <n v="10259"/>
    <x v="79"/>
    <d v="2019-06-22T00:00:00"/>
    <x v="1"/>
    <x v="5"/>
  </r>
  <r>
    <n v="823"/>
    <s v="Jeffrey Lucas"/>
    <s v="philadelphia"/>
    <x v="0"/>
    <n v="8657"/>
    <x v="164"/>
    <d v="2015-10-30T00:00:00"/>
    <x v="1"/>
    <x v="6"/>
  </r>
  <r>
    <n v="824"/>
    <s v="Jeffrey Mayberry"/>
    <s v="pottstown"/>
    <x v="0"/>
    <n v="9779"/>
    <x v="280"/>
    <d v="2018-09-09T00:00:00"/>
    <x v="1"/>
    <x v="4"/>
  </r>
  <r>
    <n v="825"/>
    <s v="Jeffrey Simone"/>
    <s v="holland"/>
    <x v="0"/>
    <n v="17433"/>
    <x v="418"/>
    <d v="2026-05-11T00:00:00"/>
    <x v="0"/>
    <x v="7"/>
  </r>
  <r>
    <n v="826"/>
    <s v="Jeffrey Stahl"/>
    <s v="boyertown"/>
    <x v="0"/>
    <n v="15027"/>
    <x v="122"/>
    <d v="2022-01-10T00:00:00"/>
    <x v="1"/>
    <x v="1"/>
  </r>
  <r>
    <n v="827"/>
    <s v="Jeffrey Tucker"/>
    <s v="pottstown"/>
    <x v="0"/>
    <n v="15086"/>
    <x v="419"/>
    <d v="2025-11-01T00:00:00"/>
    <x v="0"/>
    <x v="4"/>
  </r>
  <r>
    <n v="828"/>
    <s v="Jeffrey Tucker"/>
    <s v="pottstown"/>
    <x v="1"/>
    <n v="15086"/>
    <x v="420"/>
    <d v="2025-12-30T00:00:00"/>
    <x v="0"/>
    <x v="4"/>
  </r>
  <r>
    <n v="829"/>
    <s v="Jena Weller"/>
    <s v="wernersville"/>
    <x v="0"/>
    <n v="7769"/>
    <x v="264"/>
    <d v="2013-03-11T00:00:00"/>
    <x v="1"/>
    <x v="1"/>
  </r>
  <r>
    <n v="830"/>
    <s v="Jennie Hill"/>
    <s v="philadelphia"/>
    <x v="0"/>
    <n v="11345"/>
    <x v="135"/>
    <d v="2020-05-07T00:00:00"/>
    <x v="1"/>
    <x v="6"/>
  </r>
  <r>
    <n v="831"/>
    <s v="Jennie Trout"/>
    <s v="phoenixville"/>
    <x v="0"/>
    <n v="13075"/>
    <x v="377"/>
    <d v="2021-03-22T00:00:00"/>
    <x v="1"/>
    <x v="4"/>
  </r>
  <r>
    <n v="832"/>
    <s v="Jennifer Brinton"/>
    <s v="philadelphia"/>
    <x v="0"/>
    <n v="15468"/>
    <x v="181"/>
    <d v="2024-09-22T00:00:00"/>
    <x v="2"/>
    <x v="6"/>
  </r>
  <r>
    <n v="833"/>
    <s v="Jennifer Brinton"/>
    <s v="philadelphia"/>
    <x v="1"/>
    <n v="15468"/>
    <x v="421"/>
    <d v="2024-09-15T00:00:00"/>
    <x v="2"/>
    <x v="6"/>
  </r>
  <r>
    <n v="834"/>
    <s v="Jennifer Carr"/>
    <s v="yardley"/>
    <x v="0"/>
    <n v="8471"/>
    <x v="355"/>
    <d v="2015-06-01T00:00:00"/>
    <x v="1"/>
    <x v="7"/>
  </r>
  <r>
    <n v="835"/>
    <s v="Jennifer Carroll"/>
    <s v="philadelphia"/>
    <x v="0"/>
    <n v="21929"/>
    <x v="422"/>
    <d v="2027-05-07T00:00:00"/>
    <x v="0"/>
    <x v="6"/>
  </r>
  <r>
    <n v="836"/>
    <s v="Jennifer Craig"/>
    <s v="mertztown"/>
    <x v="1"/>
    <n v="17950"/>
    <x v="423"/>
    <d v="2026-06-17T00:00:00"/>
    <x v="0"/>
    <x v="1"/>
  </r>
  <r>
    <n v="837"/>
    <s v="Jennifer Essery"/>
    <s v="prospect park"/>
    <x v="0"/>
    <n v="15612"/>
    <x v="424"/>
    <d v="2026-11-05T00:00:00"/>
    <x v="0"/>
    <x v="3"/>
  </r>
  <r>
    <n v="838"/>
    <s v="Jennifer Fisher"/>
    <s v="pottstown"/>
    <x v="0"/>
    <n v="17949"/>
    <x v="425"/>
    <d v="2024-10-13T00:00:00"/>
    <x v="2"/>
    <x v="4"/>
  </r>
  <r>
    <n v="839"/>
    <s v="Jennifer Fulcher"/>
    <s v="mount joy"/>
    <x v="0"/>
    <n v="10299"/>
    <x v="149"/>
    <d v="2019-06-29T00:00:00"/>
    <x v="1"/>
    <x v="2"/>
  </r>
  <r>
    <n v="840"/>
    <s v="Jennifer Glatthorn"/>
    <s v="ridley park"/>
    <x v="0"/>
    <n v="13569"/>
    <x v="339"/>
    <d v="2025-06-14T00:00:00"/>
    <x v="2"/>
    <x v="3"/>
  </r>
  <r>
    <n v="841"/>
    <s v="Jennifer Gock"/>
    <s v="morton"/>
    <x v="0"/>
    <n v="17459"/>
    <x v="426"/>
    <d v="2025-10-03T00:00:00"/>
    <x v="0"/>
    <x v="3"/>
  </r>
  <r>
    <n v="842"/>
    <s v="Jennifer Goldeck"/>
    <s v="pine grove"/>
    <x v="0"/>
    <n v="7811"/>
    <x v="427"/>
    <d v="2013-04-14T00:00:00"/>
    <x v="1"/>
    <x v="0"/>
  </r>
  <r>
    <n v="843"/>
    <s v="Jennifer Grob"/>
    <s v="lancaster"/>
    <x v="0"/>
    <n v="17601"/>
    <x v="428"/>
    <d v="2024-07-01T00:00:00"/>
    <x v="2"/>
    <x v="2"/>
  </r>
  <r>
    <n v="844"/>
    <s v="Jennifer Hirsch"/>
    <s v="reading"/>
    <x v="0"/>
    <n v="9188"/>
    <x v="60"/>
    <d v="2017-05-20T00:00:00"/>
    <x v="1"/>
    <x v="1"/>
  </r>
  <r>
    <n v="845"/>
    <s v="Jennifer Hunter"/>
    <s v="morrisville"/>
    <x v="0"/>
    <n v="14415"/>
    <x v="84"/>
    <d v="2021-08-20T00:00:00"/>
    <x v="1"/>
    <x v="7"/>
  </r>
  <r>
    <n v="846"/>
    <s v="Jennifer Koziol"/>
    <s v="pottstown"/>
    <x v="0"/>
    <n v="15516"/>
    <x v="181"/>
    <d v="2026-09-22T00:00:00"/>
    <x v="0"/>
    <x v="4"/>
  </r>
  <r>
    <n v="847"/>
    <s v="Jennifer Larkin"/>
    <s v="reading"/>
    <x v="0"/>
    <n v="9761"/>
    <x v="429"/>
    <d v="2023-02-01T00:00:00"/>
    <x v="1"/>
    <x v="1"/>
  </r>
  <r>
    <n v="848"/>
    <s v="Jennifer Lentz"/>
    <s v="bensalem"/>
    <x v="0"/>
    <n v="8780"/>
    <x v="165"/>
    <d v="2016-03-12T00:00:00"/>
    <x v="1"/>
    <x v="7"/>
  </r>
  <r>
    <n v="849"/>
    <s v="Jennifer McBride"/>
    <s v="philadelphia"/>
    <x v="0"/>
    <n v="18590"/>
    <x v="180"/>
    <d v="2027-05-09T00:00:00"/>
    <x v="0"/>
    <x v="6"/>
  </r>
  <r>
    <n v="850"/>
    <s v="Jennifer Murphy"/>
    <s v="philadelphia"/>
    <x v="0"/>
    <n v="16100"/>
    <x v="430"/>
    <d v="2023-03-19T00:00:00"/>
    <x v="1"/>
    <x v="6"/>
  </r>
  <r>
    <n v="851"/>
    <s v="Jennifer Nelson"/>
    <s v="hatboro"/>
    <x v="0"/>
    <n v="14949"/>
    <x v="110"/>
    <d v="2023-12-19T00:00:00"/>
    <x v="1"/>
    <x v="5"/>
  </r>
  <r>
    <n v="852"/>
    <s v="Jennifer Provost"/>
    <s v="fleetwood"/>
    <x v="0"/>
    <n v="10167"/>
    <x v="77"/>
    <d v="2019-06-13T00:00:00"/>
    <x v="1"/>
    <x v="1"/>
  </r>
  <r>
    <n v="853"/>
    <s v="Jennifer Wasco"/>
    <s v="chalfont"/>
    <x v="0"/>
    <n v="19687"/>
    <x v="431"/>
    <d v="2026-01-07T00:00:00"/>
    <x v="0"/>
    <x v="7"/>
  </r>
  <r>
    <n v="854"/>
    <s v="Jennifer Watts"/>
    <s v="quakertown"/>
    <x v="0"/>
    <n v="17104"/>
    <x v="432"/>
    <d v="2026-01-11T00:00:00"/>
    <x v="0"/>
    <x v="7"/>
  </r>
  <r>
    <n v="855"/>
    <s v="Jennifer Watts"/>
    <s v="quakertown"/>
    <x v="1"/>
    <n v="17104"/>
    <x v="433"/>
    <d v="2026-01-11T00:00:00"/>
    <x v="0"/>
    <x v="7"/>
  </r>
  <r>
    <n v="856"/>
    <s v="Jennifer Weissberg"/>
    <s v="hamburg"/>
    <x v="0"/>
    <n v="8333"/>
    <x v="287"/>
    <d v="2027-02-26T00:00:00"/>
    <x v="0"/>
    <x v="1"/>
  </r>
  <r>
    <n v="857"/>
    <s v="Jennifer Williams"/>
    <s v="philadelphia"/>
    <x v="0"/>
    <n v="18325"/>
    <x v="434"/>
    <d v="2025-09-25T00:00:00"/>
    <x v="0"/>
    <x v="6"/>
  </r>
  <r>
    <n v="858"/>
    <s v="Jeremy Baxter"/>
    <s v="reading"/>
    <x v="0"/>
    <n v="18448"/>
    <x v="409"/>
    <d v="2027-03-26T00:00:00"/>
    <x v="0"/>
    <x v="1"/>
  </r>
  <r>
    <n v="859"/>
    <s v="Jeri Thompson"/>
    <s v="haverford"/>
    <x v="0"/>
    <n v="8454"/>
    <x v="106"/>
    <d v="2017-05-18T00:00:00"/>
    <x v="3"/>
    <x v="5"/>
  </r>
  <r>
    <n v="860"/>
    <s v="Jerome Griffith"/>
    <s v="phoenixville"/>
    <x v="0"/>
    <n v="18703"/>
    <x v="435"/>
    <d v="2027-06-15T00:00:00"/>
    <x v="0"/>
    <x v="4"/>
  </r>
  <r>
    <n v="861"/>
    <s v="Jerome Griffith"/>
    <s v="king of prussia"/>
    <x v="1"/>
    <n v="18703"/>
    <x v="436"/>
    <d v="2025-06-12T00:00:00"/>
    <x v="2"/>
    <x v="5"/>
  </r>
  <r>
    <n v="862"/>
    <s v="Jerome Mitchell"/>
    <s v="reading"/>
    <x v="0"/>
    <n v="13578"/>
    <x v="339"/>
    <d v="2021-06-14T00:00:00"/>
    <x v="1"/>
    <x v="1"/>
  </r>
  <r>
    <n v="863"/>
    <s v="Jerry Brown"/>
    <s v="philadelphia"/>
    <x v="0"/>
    <n v="14002"/>
    <x v="19"/>
    <d v="2021-07-24T00:00:00"/>
    <x v="1"/>
    <x v="6"/>
  </r>
  <r>
    <n v="864"/>
    <s v="Jerry Rocks, Sr."/>
    <s v="philadelphia"/>
    <x v="0"/>
    <n v="9248"/>
    <x v="308"/>
    <d v="2027-06-25T00:00:00"/>
    <x v="0"/>
    <x v="6"/>
  </r>
  <r>
    <n v="865"/>
    <s v="Jess Toth"/>
    <s v="chester"/>
    <x v="0"/>
    <n v="16938"/>
    <x v="437"/>
    <d v="2025-10-23T00:00:00"/>
    <x v="0"/>
    <x v="3"/>
  </r>
  <r>
    <n v="866"/>
    <s v="Jesse Brajuha"/>
    <s v="philadelphia"/>
    <x v="0"/>
    <n v="9596"/>
    <x v="153"/>
    <d v="2018-05-24T00:00:00"/>
    <x v="1"/>
    <x v="6"/>
  </r>
  <r>
    <n v="867"/>
    <s v="Jesse Johnson"/>
    <s v="coatesville"/>
    <x v="0"/>
    <n v="19408"/>
    <x v="438"/>
    <d v="2025-11-14T00:00:00"/>
    <x v="0"/>
    <x v="4"/>
  </r>
  <r>
    <n v="868"/>
    <s v="Jesse Logue"/>
    <s v="feasterville trevose"/>
    <x v="0"/>
    <n v="9023"/>
    <x v="171"/>
    <d v="2020-09-23T00:00:00"/>
    <x v="1"/>
    <x v="7"/>
  </r>
  <r>
    <n v="869"/>
    <s v="Jesse Teti"/>
    <s v="morrisville"/>
    <x v="0"/>
    <n v="9989"/>
    <x v="255"/>
    <d v="2019-01-11T00:00:00"/>
    <x v="1"/>
    <x v="7"/>
  </r>
  <r>
    <n v="870"/>
    <s v="Jessica  Maginnis"/>
    <s v="wernersville"/>
    <x v="0"/>
    <n v="16834"/>
    <x v="69"/>
    <d v="2025-09-14T00:00:00"/>
    <x v="0"/>
    <x v="1"/>
  </r>
  <r>
    <n v="871"/>
    <s v="Jessica Bennett"/>
    <s v="doylestown"/>
    <x v="0"/>
    <n v="8914"/>
    <x v="289"/>
    <d v="2016-06-26T00:00:00"/>
    <x v="1"/>
    <x v="7"/>
  </r>
  <r>
    <n v="872"/>
    <s v="Jessica Brobst"/>
    <s v="tamaqua"/>
    <x v="0"/>
    <n v="17733"/>
    <x v="145"/>
    <d v="2026-08-11T00:00:00"/>
    <x v="0"/>
    <x v="0"/>
  </r>
  <r>
    <n v="873"/>
    <s v="Jessica Crocker"/>
    <s v="fairless hills"/>
    <x v="0"/>
    <n v="8553"/>
    <x v="71"/>
    <d v="2017-07-30T00:00:00"/>
    <x v="1"/>
    <x v="7"/>
  </r>
  <r>
    <n v="874"/>
    <s v="Jessica Kolodziejek"/>
    <s v="honey brook"/>
    <x v="0"/>
    <n v="16157"/>
    <x v="439"/>
    <d v="2023-04-06T00:00:00"/>
    <x v="1"/>
    <x v="4"/>
  </r>
  <r>
    <n v="875"/>
    <s v="Jessica Leighton"/>
    <s v="coatesville"/>
    <x v="0"/>
    <n v="18373"/>
    <x v="440"/>
    <d v="2027-02-25T00:00:00"/>
    <x v="0"/>
    <x v="4"/>
  </r>
  <r>
    <n v="876"/>
    <s v="Jessica Leighton"/>
    <s v="coatesville"/>
    <x v="1"/>
    <n v="18373"/>
    <x v="441"/>
    <d v="2027-05-16T00:00:00"/>
    <x v="0"/>
    <x v="4"/>
  </r>
  <r>
    <n v="877"/>
    <s v="Jessica Popper"/>
    <s v="philadelphia"/>
    <x v="0"/>
    <n v="16227"/>
    <x v="442"/>
    <d v="2025-11-10T00:00:00"/>
    <x v="0"/>
    <x v="6"/>
  </r>
  <r>
    <n v="878"/>
    <s v="Jessica Popper"/>
    <s v="philadelphia"/>
    <x v="1"/>
    <n v="16227"/>
    <x v="185"/>
    <d v="2023-05-10T00:00:00"/>
    <x v="1"/>
    <x v="6"/>
  </r>
  <r>
    <n v="879"/>
    <s v="Jessica Ramirez"/>
    <s v="philadelphia"/>
    <x v="0"/>
    <n v="21467"/>
    <x v="285"/>
    <d v="2027-02-03T00:00:00"/>
    <x v="0"/>
    <x v="6"/>
  </r>
  <r>
    <n v="880"/>
    <s v="Jill Gorman"/>
    <s v="drexel hill"/>
    <x v="0"/>
    <n v="8706"/>
    <x v="216"/>
    <d v="2019-12-12T00:00:00"/>
    <x v="1"/>
    <x v="3"/>
  </r>
  <r>
    <n v="881"/>
    <s v="Jillian DeMaio"/>
    <s v="philadelphia"/>
    <x v="1"/>
    <n v="19533"/>
    <x v="356"/>
    <d v="2025-12-11T00:00:00"/>
    <x v="0"/>
    <x v="6"/>
  </r>
  <r>
    <n v="882"/>
    <s v="Jillian Harbison"/>
    <s v="quakertown"/>
    <x v="0"/>
    <n v="16600"/>
    <x v="365"/>
    <d v="2023-06-30T00:00:00"/>
    <x v="1"/>
    <x v="7"/>
  </r>
  <r>
    <n v="883"/>
    <s v="Jillian Ingram"/>
    <s v="boyertown"/>
    <x v="0"/>
    <n v="10643"/>
    <x v="443"/>
    <d v="2020-01-16T00:00:00"/>
    <x v="1"/>
    <x v="1"/>
  </r>
  <r>
    <n v="884"/>
    <s v="Jimmie Jones"/>
    <s v="philadelphia"/>
    <x v="0"/>
    <n v="8656"/>
    <x v="164"/>
    <d v="2015-10-30T00:00:00"/>
    <x v="1"/>
    <x v="6"/>
  </r>
  <r>
    <n v="885"/>
    <s v="Joan Premich"/>
    <s v="orwigsburg"/>
    <x v="0"/>
    <n v="8441"/>
    <x v="444"/>
    <d v="2015-05-10T00:00:00"/>
    <x v="1"/>
    <x v="0"/>
  </r>
  <r>
    <n v="886"/>
    <s v="Joan Vieldhouse"/>
    <s v="philadelphia"/>
    <x v="0"/>
    <n v="8323"/>
    <x v="81"/>
    <d v="2027-02-20T00:00:00"/>
    <x v="0"/>
    <x v="6"/>
  </r>
  <r>
    <n v="887"/>
    <s v="Joann Kerns"/>
    <s v="conshohocken"/>
    <x v="0"/>
    <n v="8513"/>
    <x v="350"/>
    <d v="2015-07-09T00:00:00"/>
    <x v="1"/>
    <x v="5"/>
  </r>
  <r>
    <n v="888"/>
    <s v="JoAnn Mills-Johnson"/>
    <s v="philadelphia"/>
    <x v="0"/>
    <n v="10893"/>
    <x v="445"/>
    <d v="2026-09-24T00:00:00"/>
    <x v="0"/>
    <x v="6"/>
  </r>
  <r>
    <n v="889"/>
    <s v="Joanna Bellinger"/>
    <s v="glenside"/>
    <x v="0"/>
    <n v="10244"/>
    <x v="79"/>
    <d v="2019-06-22T00:00:00"/>
    <x v="1"/>
    <x v="5"/>
  </r>
  <r>
    <n v="890"/>
    <s v="JoAnne  Dascher"/>
    <s v="avondale"/>
    <x v="0"/>
    <n v="11680"/>
    <x v="2"/>
    <d v="2022-06-18T00:00:00"/>
    <x v="1"/>
    <x v="4"/>
  </r>
  <r>
    <n v="891"/>
    <s v="Joanne Johnson"/>
    <s v="royersford"/>
    <x v="0"/>
    <n v="18857"/>
    <x v="446"/>
    <d v="2025-07-10T00:00:00"/>
    <x v="0"/>
    <x v="5"/>
  </r>
  <r>
    <n v="892"/>
    <s v="JoAnne Martell"/>
    <s v="pottsville"/>
    <x v="0"/>
    <n v="10088"/>
    <x v="21"/>
    <d v="2027-03-21T00:00:00"/>
    <x v="0"/>
    <x v="0"/>
  </r>
  <r>
    <n v="893"/>
    <s v="Joanne Toomey"/>
    <s v="reading"/>
    <x v="0"/>
    <n v="15085"/>
    <x v="91"/>
    <d v="2022-01-27T00:00:00"/>
    <x v="1"/>
    <x v="1"/>
  </r>
  <r>
    <n v="894"/>
    <s v="Joanne Washington"/>
    <s v="bensalem"/>
    <x v="0"/>
    <n v="9729"/>
    <x v="109"/>
    <d v="2018-07-20T00:00:00"/>
    <x v="1"/>
    <x v="7"/>
  </r>
  <r>
    <n v="895"/>
    <s v="Jodi Holland"/>
    <s v="denver"/>
    <x v="0"/>
    <n v="9430"/>
    <x v="31"/>
    <d v="2021-12-03T00:00:00"/>
    <x v="1"/>
    <x v="2"/>
  </r>
  <r>
    <n v="896"/>
    <s v="Joel Lopez"/>
    <s v="reading"/>
    <x v="0"/>
    <n v="8920"/>
    <x v="289"/>
    <d v="2016-06-26T00:00:00"/>
    <x v="1"/>
    <x v="1"/>
  </r>
  <r>
    <n v="897"/>
    <s v="Joel Maslonka"/>
    <s v="reading"/>
    <x v="0"/>
    <n v="17327"/>
    <x v="237"/>
    <d v="2026-04-08T00:00:00"/>
    <x v="0"/>
    <x v="1"/>
  </r>
  <r>
    <n v="898"/>
    <s v="Joel Shafer-Harris"/>
    <s v="upper darby"/>
    <x v="0"/>
    <n v="9613"/>
    <x v="15"/>
    <d v="2020-05-23T00:00:00"/>
    <x v="1"/>
    <x v="3"/>
  </r>
  <r>
    <n v="899"/>
    <s v="Joelle  Biango"/>
    <s v="ridley park"/>
    <x v="0"/>
    <n v="21059"/>
    <x v="447"/>
    <d v="2026-12-30T00:00:00"/>
    <x v="0"/>
    <x v="3"/>
  </r>
  <r>
    <n v="900"/>
    <s v="Joelle  Biango"/>
    <s v="ridley park"/>
    <x v="1"/>
    <n v="21059"/>
    <x v="448"/>
    <d v="2026-10-30T00:00:00"/>
    <x v="0"/>
    <x v="3"/>
  </r>
  <r>
    <n v="901"/>
    <s v="Joe'Nell Williams"/>
    <s v="philadelphia"/>
    <x v="0"/>
    <n v="17936"/>
    <x v="146"/>
    <d v="2024-10-06T00:00:00"/>
    <x v="2"/>
    <x v="6"/>
  </r>
  <r>
    <n v="902"/>
    <s v="John  Killelea"/>
    <s v="phoenixville"/>
    <x v="0"/>
    <n v="15344"/>
    <x v="94"/>
    <d v="2026-07-29T00:00:00"/>
    <x v="0"/>
    <x v="4"/>
  </r>
  <r>
    <n v="903"/>
    <s v="John Carlson"/>
    <s v="philadelphia"/>
    <x v="0"/>
    <n v="8966"/>
    <x v="73"/>
    <d v="2024-07-29T00:00:00"/>
    <x v="2"/>
    <x v="6"/>
  </r>
  <r>
    <n v="904"/>
    <s v="John Chidester, III"/>
    <s v="philadelphia"/>
    <x v="0"/>
    <n v="14650"/>
    <x v="449"/>
    <d v="2021-09-06T00:00:00"/>
    <x v="1"/>
    <x v="6"/>
  </r>
  <r>
    <n v="905"/>
    <s v="John Danks"/>
    <s v="bristol"/>
    <x v="0"/>
    <n v="9538"/>
    <x v="61"/>
    <d v="2026-03-11T00:00:00"/>
    <x v="0"/>
    <x v="7"/>
  </r>
  <r>
    <n v="906"/>
    <s v="John Elburn, III"/>
    <s v="philadelphia"/>
    <x v="0"/>
    <n v="13113"/>
    <x v="55"/>
    <d v="2027-04-02T00:00:00"/>
    <x v="0"/>
    <x v="6"/>
  </r>
  <r>
    <n v="907"/>
    <s v="John Elburn, III"/>
    <s v="philadelphia"/>
    <x v="2"/>
    <n v="13113"/>
    <x v="276"/>
    <d v="2026-09-06T00:00:00"/>
    <x v="0"/>
    <x v="6"/>
  </r>
  <r>
    <n v="908"/>
    <s v="John Faiola"/>
    <s v="ephrata"/>
    <x v="0"/>
    <n v="10800"/>
    <x v="450"/>
    <d v="2020-05-04T00:00:00"/>
    <x v="1"/>
    <x v="2"/>
  </r>
  <r>
    <n v="909"/>
    <s v="John Flanagan, Jr."/>
    <s v="havertown"/>
    <x v="0"/>
    <n v="9022"/>
    <x v="171"/>
    <d v="2020-09-23T00:00:00"/>
    <x v="1"/>
    <x v="3"/>
  </r>
  <r>
    <n v="910"/>
    <s v="John Gilette"/>
    <s v="chester"/>
    <x v="1"/>
    <n v="21320"/>
    <x v="451"/>
    <d v="2027-02-14T00:00:00"/>
    <x v="0"/>
    <x v="3"/>
  </r>
  <r>
    <n v="911"/>
    <s v="John Gray"/>
    <s v="drexel hill"/>
    <x v="0"/>
    <n v="20850"/>
    <x v="108"/>
    <d v="2026-09-18T00:00:00"/>
    <x v="0"/>
    <x v="3"/>
  </r>
  <r>
    <n v="912"/>
    <s v="John Hoyt"/>
    <s v="sinking spring"/>
    <x v="0"/>
    <n v="13572"/>
    <x v="339"/>
    <d v="2021-06-14T00:00:00"/>
    <x v="1"/>
    <x v="1"/>
  </r>
  <r>
    <n v="913"/>
    <s v="John Janiszewski"/>
    <s v="temple"/>
    <x v="0"/>
    <n v="8869"/>
    <x v="123"/>
    <d v="2026-05-15T00:00:00"/>
    <x v="0"/>
    <x v="1"/>
  </r>
  <r>
    <n v="914"/>
    <s v="John Kronbar"/>
    <s v="philadelphia"/>
    <x v="0"/>
    <n v="14756"/>
    <x v="224"/>
    <d v="2025-11-01T00:00:00"/>
    <x v="0"/>
    <x v="6"/>
  </r>
  <r>
    <n v="915"/>
    <s v="John Kronbar"/>
    <s v="philadelphia"/>
    <x v="1"/>
    <n v="14756"/>
    <x v="94"/>
    <d v="2025-11-01T00:00:00"/>
    <x v="0"/>
    <x v="6"/>
  </r>
  <r>
    <n v="916"/>
    <s v="John Lamond"/>
    <s v="red hill"/>
    <x v="0"/>
    <n v="9723"/>
    <x v="109"/>
    <d v="2018-07-20T00:00:00"/>
    <x v="1"/>
    <x v="5"/>
  </r>
  <r>
    <n v="917"/>
    <s v="John Lawlor"/>
    <s v="philadelphia"/>
    <x v="1"/>
    <n v="20957"/>
    <x v="452"/>
    <d v="2026-10-13T00:00:00"/>
    <x v="0"/>
    <x v="6"/>
  </r>
  <r>
    <n v="918"/>
    <s v="John McNeal"/>
    <s v="philadelphia"/>
    <x v="0"/>
    <n v="10006"/>
    <x v="48"/>
    <d v="2019-01-18T00:00:00"/>
    <x v="1"/>
    <x v="6"/>
  </r>
  <r>
    <n v="919"/>
    <s v="John Minger"/>
    <s v="southampton"/>
    <x v="0"/>
    <n v="15710"/>
    <x v="52"/>
    <d v="2026-12-07T00:00:00"/>
    <x v="0"/>
    <x v="7"/>
  </r>
  <r>
    <n v="920"/>
    <s v="John Morales"/>
    <s v="philadelphia"/>
    <x v="0"/>
    <n v="14652"/>
    <x v="449"/>
    <d v="2021-09-06T00:00:00"/>
    <x v="1"/>
    <x v="6"/>
  </r>
  <r>
    <n v="921"/>
    <s v="John Pacewicz"/>
    <s v="leola"/>
    <x v="0"/>
    <n v="3055"/>
    <x v="453"/>
    <d v="2018-09-07T00:00:00"/>
    <x v="3"/>
    <x v="2"/>
  </r>
  <r>
    <n v="922"/>
    <s v="John Reese"/>
    <s v="sinking spring"/>
    <x v="0"/>
    <n v="8110"/>
    <x v="454"/>
    <d v="2021-08-15T00:00:00"/>
    <x v="1"/>
    <x v="1"/>
  </r>
  <r>
    <n v="923"/>
    <s v="John Rushton"/>
    <s v="reading"/>
    <x v="0"/>
    <n v="9385"/>
    <x v="455"/>
    <d v="2021-10-08T00:00:00"/>
    <x v="1"/>
    <x v="1"/>
  </r>
  <r>
    <n v="924"/>
    <s v="John Sienkiewicz"/>
    <s v="tamaqua"/>
    <x v="0"/>
    <n v="10157"/>
    <x v="369"/>
    <d v="2021-06-10T00:00:00"/>
    <x v="1"/>
    <x v="0"/>
  </r>
  <r>
    <n v="925"/>
    <s v="John Viggiano"/>
    <s v="philadelphia"/>
    <x v="0"/>
    <n v="10014"/>
    <x v="48"/>
    <d v="2019-01-18T00:00:00"/>
    <x v="1"/>
    <x v="6"/>
  </r>
  <r>
    <n v="926"/>
    <s v="John Welfel, Jr."/>
    <s v="tamaqua"/>
    <x v="0"/>
    <n v="15714"/>
    <x v="52"/>
    <d v="2024-12-07T00:00:00"/>
    <x v="2"/>
    <x v="0"/>
  </r>
  <r>
    <n v="927"/>
    <s v="Jolene McCoy"/>
    <s v="landisville"/>
    <x v="0"/>
    <n v="11998"/>
    <x v="10"/>
    <d v="2020-08-01T00:00:00"/>
    <x v="1"/>
    <x v="2"/>
  </r>
  <r>
    <n v="928"/>
    <s v="Jonah Modesto"/>
    <s v="bernville"/>
    <x v="0"/>
    <n v="20267"/>
    <x v="201"/>
    <d v="2026-05-14T00:00:00"/>
    <x v="0"/>
    <x v="1"/>
  </r>
  <r>
    <n v="929"/>
    <s v="Jonathan  Eddings"/>
    <s v="pennsburg"/>
    <x v="0"/>
    <n v="18306"/>
    <x v="371"/>
    <d v="2025-02-14T00:00:00"/>
    <x v="2"/>
    <x v="5"/>
  </r>
  <r>
    <n v="930"/>
    <s v="Jonathan Erdman"/>
    <s v="conshohocken"/>
    <x v="0"/>
    <n v="12689"/>
    <x v="127"/>
    <d v="2021-01-09T00:00:00"/>
    <x v="1"/>
    <x v="5"/>
  </r>
  <r>
    <n v="931"/>
    <s v="Jonathan Fine"/>
    <s v="philadelphia"/>
    <x v="0"/>
    <n v="13736"/>
    <x v="139"/>
    <d v="2025-06-25T00:00:00"/>
    <x v="0"/>
    <x v="6"/>
  </r>
  <r>
    <n v="932"/>
    <s v="Jonathan Gerber"/>
    <s v="lancaster"/>
    <x v="0"/>
    <n v="9216"/>
    <x v="456"/>
    <d v="2017-06-04T00:00:00"/>
    <x v="1"/>
    <x v="2"/>
  </r>
  <r>
    <n v="933"/>
    <s v="Jonathan Jackson"/>
    <s v="philadelphia"/>
    <x v="0"/>
    <n v="9997"/>
    <x v="255"/>
    <d v="2019-01-11T00:00:00"/>
    <x v="1"/>
    <x v="6"/>
  </r>
  <r>
    <n v="934"/>
    <s v="Jonathan Murphy"/>
    <s v="reading"/>
    <x v="0"/>
    <n v="11830"/>
    <x v="72"/>
    <d v="2020-06-28T00:00:00"/>
    <x v="1"/>
    <x v="1"/>
  </r>
  <r>
    <n v="935"/>
    <s v="Jonathan Xu"/>
    <s v="berwyn"/>
    <x v="0"/>
    <n v="14311"/>
    <x v="457"/>
    <d v="2021-08-13T00:00:00"/>
    <x v="1"/>
    <x v="4"/>
  </r>
  <r>
    <n v="936"/>
    <s v="Jonathon Todd"/>
    <s v="philadelphia"/>
    <x v="0"/>
    <n v="15857"/>
    <x v="458"/>
    <d v="2027-01-14T00:00:00"/>
    <x v="0"/>
    <x v="6"/>
  </r>
  <r>
    <n v="937"/>
    <s v="Jon-David Hodgdon"/>
    <s v="chester"/>
    <x v="0"/>
    <n v="17473"/>
    <x v="459"/>
    <d v="2026-05-21T00:00:00"/>
    <x v="0"/>
    <x v="3"/>
  </r>
  <r>
    <n v="938"/>
    <s v="Jordan Henning"/>
    <s v="reading"/>
    <x v="0"/>
    <n v="8042"/>
    <x v="220"/>
    <d v="2024-03-09T00:00:00"/>
    <x v="1"/>
    <x v="1"/>
  </r>
  <r>
    <n v="939"/>
    <s v="Jordan Moran"/>
    <s v="norristown"/>
    <x v="0"/>
    <n v="17328"/>
    <x v="237"/>
    <d v="2026-04-08T00:00:00"/>
    <x v="0"/>
    <x v="5"/>
  </r>
  <r>
    <n v="940"/>
    <s v="Jose DeLeon"/>
    <s v="philadelphia"/>
    <x v="0"/>
    <n v="10021"/>
    <x v="134"/>
    <d v="2027-01-31T00:00:00"/>
    <x v="0"/>
    <x v="6"/>
  </r>
  <r>
    <n v="941"/>
    <s v="Jose Garcia"/>
    <s v="philadelphia"/>
    <x v="0"/>
    <n v="13738"/>
    <x v="139"/>
    <d v="2021-06-25T00:00:00"/>
    <x v="1"/>
    <x v="6"/>
  </r>
  <r>
    <n v="942"/>
    <s v="Jose Lebron"/>
    <s v="philadelphia"/>
    <x v="0"/>
    <n v="14013"/>
    <x v="19"/>
    <d v="2023-07-24T00:00:00"/>
    <x v="1"/>
    <x v="6"/>
  </r>
  <r>
    <n v="943"/>
    <s v="Jose Lugo"/>
    <s v="reading"/>
    <x v="0"/>
    <n v="10791"/>
    <x v="126"/>
    <d v="2026-03-09T00:00:00"/>
    <x v="0"/>
    <x v="1"/>
  </r>
  <r>
    <n v="944"/>
    <s v="Jose Lugo"/>
    <s v="reading"/>
    <x v="2"/>
    <n v="10791"/>
    <x v="460"/>
    <d v="2027-04-14T00:00:00"/>
    <x v="0"/>
    <x v="1"/>
  </r>
  <r>
    <n v="945"/>
    <s v="Jose Ramirez"/>
    <s v="birdsboro"/>
    <x v="0"/>
    <n v="20120"/>
    <x v="461"/>
    <d v="2026-04-11T00:00:00"/>
    <x v="0"/>
    <x v="1"/>
  </r>
  <r>
    <n v="946"/>
    <s v="Jose Torres Dejesus"/>
    <s v="philadelphia"/>
    <x v="0"/>
    <n v="8455"/>
    <x v="106"/>
    <d v="2015-05-18T00:00:00"/>
    <x v="1"/>
    <x v="6"/>
  </r>
  <r>
    <n v="947"/>
    <s v="Joseph  Newton"/>
    <s v="philadelphia"/>
    <x v="1"/>
    <n v="21007"/>
    <x v="141"/>
    <d v="2026-10-16T00:00:00"/>
    <x v="0"/>
    <x v="6"/>
  </r>
  <r>
    <n v="948"/>
    <s v="Joseph Andracki"/>
    <s v="philadelphia"/>
    <x v="0"/>
    <n v="20823"/>
    <x v="462"/>
    <d v="2026-09-12T00:00:00"/>
    <x v="0"/>
    <x v="6"/>
  </r>
  <r>
    <n v="949"/>
    <s v="Joseph Beck"/>
    <s v="yardley"/>
    <x v="0"/>
    <n v="11703"/>
    <x v="104"/>
    <d v="2020-06-21T00:00:00"/>
    <x v="1"/>
    <x v="7"/>
  </r>
  <r>
    <n v="950"/>
    <s v="Joseph Carduff"/>
    <s v="lansdale"/>
    <x v="0"/>
    <n v="18765"/>
    <x v="25"/>
    <d v="2025-06-21T00:00:00"/>
    <x v="0"/>
    <x v="5"/>
  </r>
  <r>
    <n v="951"/>
    <s v="Joseph Cavaliere"/>
    <s v="springfield"/>
    <x v="0"/>
    <n v="19185"/>
    <x v="358"/>
    <d v="2025-09-22T00:00:00"/>
    <x v="0"/>
    <x v="3"/>
  </r>
  <r>
    <n v="952"/>
    <s v="Joseph Colonna"/>
    <s v="warrington"/>
    <x v="0"/>
    <n v="10248"/>
    <x v="79"/>
    <d v="2019-06-22T00:00:00"/>
    <x v="1"/>
    <x v="7"/>
  </r>
  <r>
    <n v="953"/>
    <s v="Joseph DeMilto"/>
    <s v="folcroft"/>
    <x v="0"/>
    <n v="12217"/>
    <x v="95"/>
    <d v="2026-09-07T00:00:00"/>
    <x v="0"/>
    <x v="3"/>
  </r>
  <r>
    <n v="954"/>
    <s v="Joseph DiTomo"/>
    <s v="broomall"/>
    <x v="0"/>
    <n v="13071"/>
    <x v="377"/>
    <d v="2021-03-22T00:00:00"/>
    <x v="1"/>
    <x v="3"/>
  </r>
  <r>
    <n v="955"/>
    <s v="Joseph Goggins"/>
    <s v="philadelphia"/>
    <x v="0"/>
    <n v="8655"/>
    <x v="164"/>
    <d v="2015-10-30T00:00:00"/>
    <x v="1"/>
    <x v="6"/>
  </r>
  <r>
    <n v="956"/>
    <s v="Joseph Grady"/>
    <s v="west chester"/>
    <x v="0"/>
    <n v="19802"/>
    <x v="463"/>
    <d v="2026-02-03T00:00:00"/>
    <x v="0"/>
    <x v="4"/>
  </r>
  <r>
    <n v="957"/>
    <s v="Joseph Grady"/>
    <s v="west chester"/>
    <x v="1"/>
    <n v="19802"/>
    <x v="316"/>
    <d v="2026-02-05T00:00:00"/>
    <x v="0"/>
    <x v="4"/>
  </r>
  <r>
    <n v="958"/>
    <s v="Joseph Grieco"/>
    <s v="philadelphia"/>
    <x v="0"/>
    <n v="17092"/>
    <x v="464"/>
    <d v="2024-01-13T00:00:00"/>
    <x v="1"/>
    <x v="6"/>
  </r>
  <r>
    <n v="959"/>
    <s v="Joseph Grieco"/>
    <s v="philadelphia"/>
    <x v="1"/>
    <n v="17092"/>
    <x v="465"/>
    <d v="2024-01-05T00:00:00"/>
    <x v="1"/>
    <x v="6"/>
  </r>
  <r>
    <n v="960"/>
    <s v="Joseph Hoffman"/>
    <s v="philadelphia"/>
    <x v="0"/>
    <n v="10923"/>
    <x v="466"/>
    <d v="2020-03-26T00:00:00"/>
    <x v="1"/>
    <x v="6"/>
  </r>
  <r>
    <n v="961"/>
    <s v="Joseph Marroletti, Jr."/>
    <s v="springfield"/>
    <x v="0"/>
    <n v="16528"/>
    <x v="105"/>
    <d v="2023-06-25T00:00:00"/>
    <x v="1"/>
    <x v="3"/>
  </r>
  <r>
    <n v="962"/>
    <s v="Joseph McLaughlin"/>
    <s v="reading"/>
    <x v="0"/>
    <n v="8872"/>
    <x v="123"/>
    <d v="2016-05-15T00:00:00"/>
    <x v="1"/>
    <x v="1"/>
  </r>
  <r>
    <n v="963"/>
    <s v="Joseph Montanez"/>
    <s v="philadelphia"/>
    <x v="0"/>
    <n v="20854"/>
    <x v="108"/>
    <d v="2026-09-18T00:00:00"/>
    <x v="0"/>
    <x v="6"/>
  </r>
  <r>
    <n v="964"/>
    <s v="Joseph Ortiz"/>
    <s v="conestoga"/>
    <x v="0"/>
    <n v="10356"/>
    <x v="176"/>
    <d v="2019-08-28T00:00:00"/>
    <x v="1"/>
    <x v="2"/>
  </r>
  <r>
    <n v="965"/>
    <s v="Joseph Quinn"/>
    <s v="philadelphia"/>
    <x v="0"/>
    <n v="11318"/>
    <x v="224"/>
    <d v="2021-11-01T00:00:00"/>
    <x v="1"/>
    <x v="6"/>
  </r>
  <r>
    <n v="966"/>
    <s v="Joseph Sarnak"/>
    <s v="leesport"/>
    <x v="0"/>
    <n v="9432"/>
    <x v="31"/>
    <d v="2017-12-03T00:00:00"/>
    <x v="1"/>
    <x v="1"/>
  </r>
  <r>
    <n v="967"/>
    <s v="Joseph Stem"/>
    <s v="pottstown"/>
    <x v="0"/>
    <n v="18651"/>
    <x v="467"/>
    <d v="2027-05-22T00:00:00"/>
    <x v="0"/>
    <x v="4"/>
  </r>
  <r>
    <n v="968"/>
    <s v="Joseph Verdegem"/>
    <s v="lancaster"/>
    <x v="0"/>
    <n v="12735"/>
    <x v="6"/>
    <d v="2021-01-14T00:00:00"/>
    <x v="3"/>
    <x v="2"/>
  </r>
  <r>
    <n v="969"/>
    <s v="Josette Brower"/>
    <s v="philadelphia"/>
    <x v="0"/>
    <n v="13210"/>
    <x v="19"/>
    <d v="2021-07-24T00:00:00"/>
    <x v="1"/>
    <x v="6"/>
  </r>
  <r>
    <n v="970"/>
    <s v="Josh Payne"/>
    <s v="reading"/>
    <x v="0"/>
    <n v="9191"/>
    <x v="60"/>
    <d v="2017-05-20T00:00:00"/>
    <x v="1"/>
    <x v="1"/>
  </r>
  <r>
    <n v="971"/>
    <s v="Joshua Dacenzo"/>
    <s v="springfield"/>
    <x v="0"/>
    <n v="14004"/>
    <x v="19"/>
    <d v="2021-07-24T00:00:00"/>
    <x v="1"/>
    <x v="3"/>
  </r>
  <r>
    <n v="972"/>
    <s v="Joshua Easton"/>
    <s v="blue ball"/>
    <x v="0"/>
    <n v="13704"/>
    <x v="27"/>
    <d v="2021-06-24T00:00:00"/>
    <x v="1"/>
    <x v="2"/>
  </r>
  <r>
    <n v="973"/>
    <s v="Joshua Helwig"/>
    <s v="coatesville"/>
    <x v="0"/>
    <n v="20383"/>
    <x v="396"/>
    <d v="2026-06-10T00:00:00"/>
    <x v="0"/>
    <x v="4"/>
  </r>
  <r>
    <n v="974"/>
    <s v="Joshua Helwig"/>
    <s v="coatesville"/>
    <x v="1"/>
    <n v="20383"/>
    <x v="66"/>
    <d v="2026-06-07T00:00:00"/>
    <x v="0"/>
    <x v="4"/>
  </r>
  <r>
    <n v="975"/>
    <s v="Joshua Wieller"/>
    <s v="philadelphia"/>
    <x v="0"/>
    <n v="8043"/>
    <x v="142"/>
    <d v="2014-03-09T00:00:00"/>
    <x v="1"/>
    <x v="6"/>
  </r>
  <r>
    <n v="976"/>
    <s v="Josue Rodriguez Santos"/>
    <s v="bala cynwyd"/>
    <x v="0"/>
    <n v="18929"/>
    <x v="468"/>
    <d v="2025-07-25T00:00:00"/>
    <x v="0"/>
    <x v="5"/>
  </r>
  <r>
    <n v="977"/>
    <s v="Judith Hirsh"/>
    <s v="blue bell"/>
    <x v="1"/>
    <n v="12504"/>
    <x v="469"/>
    <d v="2026-11-20T00:00:00"/>
    <x v="0"/>
    <x v="5"/>
  </r>
  <r>
    <n v="978"/>
    <s v="Judy Ward"/>
    <s v="philadelphia"/>
    <x v="0"/>
    <n v="9177"/>
    <x v="129"/>
    <d v="2019-05-08T00:00:00"/>
    <x v="1"/>
    <x v="6"/>
  </r>
  <r>
    <n v="979"/>
    <s v="Julia  Neyra"/>
    <s v="doylestown"/>
    <x v="0"/>
    <n v="16125"/>
    <x v="470"/>
    <d v="2023-03-21T00:00:00"/>
    <x v="1"/>
    <x v="7"/>
  </r>
  <r>
    <n v="980"/>
    <s v="Julia Kaplan"/>
    <s v="media"/>
    <x v="0"/>
    <n v="18149"/>
    <x v="471"/>
    <d v="2024-12-20T00:00:00"/>
    <x v="2"/>
    <x v="3"/>
  </r>
  <r>
    <n v="981"/>
    <s v="Julia Leyden"/>
    <s v="west chester"/>
    <x v="1"/>
    <n v="22122"/>
    <x v="472"/>
    <d v="2027-06-10T00:00:00"/>
    <x v="0"/>
    <x v="4"/>
  </r>
  <r>
    <n v="982"/>
    <s v="Julia Remmey"/>
    <s v="sellersville"/>
    <x v="0"/>
    <n v="17467"/>
    <x v="432"/>
    <d v="2026-05-20T00:00:00"/>
    <x v="0"/>
    <x v="7"/>
  </r>
  <r>
    <n v="983"/>
    <s v="Julia Slaymaker"/>
    <s v="manheim"/>
    <x v="0"/>
    <n v="20156"/>
    <x v="473"/>
    <d v="2026-04-18T00:00:00"/>
    <x v="0"/>
    <x v="2"/>
  </r>
  <r>
    <n v="984"/>
    <s v="Julia Smith"/>
    <s v="pine grove"/>
    <x v="0"/>
    <n v="17686"/>
    <x v="474"/>
    <d v="2026-07-27T00:00:00"/>
    <x v="0"/>
    <x v="0"/>
  </r>
  <r>
    <n v="985"/>
    <s v="Julia Vantine"/>
    <s v="reading"/>
    <x v="0"/>
    <n v="20901"/>
    <x v="475"/>
    <d v="2026-09-29T00:00:00"/>
    <x v="0"/>
    <x v="1"/>
  </r>
  <r>
    <n v="986"/>
    <s v="Justin Boomer"/>
    <s v="lititz"/>
    <x v="0"/>
    <n v="15008"/>
    <x v="122"/>
    <d v="2026-01-10T00:00:00"/>
    <x v="0"/>
    <x v="2"/>
  </r>
  <r>
    <n v="987"/>
    <s v="Justin Dettinger"/>
    <s v="columbia"/>
    <x v="0"/>
    <n v="17337"/>
    <x v="337"/>
    <d v="2026-04-10T00:00:00"/>
    <x v="0"/>
    <x v="2"/>
  </r>
  <r>
    <n v="988"/>
    <s v="Kaitlyn Bachman"/>
    <s v="warrington"/>
    <x v="0"/>
    <n v="8470"/>
    <x v="355"/>
    <d v="2015-06-01T00:00:00"/>
    <x v="1"/>
    <x v="7"/>
  </r>
  <r>
    <n v="989"/>
    <s v="Kaitlyn Buckley"/>
    <s v="langhorne"/>
    <x v="0"/>
    <n v="9598"/>
    <x v="153"/>
    <d v="2018-05-24T00:00:00"/>
    <x v="1"/>
    <x v="7"/>
  </r>
  <r>
    <n v="990"/>
    <s v="Kara Gannon"/>
    <s v="malvern"/>
    <x v="0"/>
    <n v="9715"/>
    <x v="109"/>
    <d v="2018-07-20T00:00:00"/>
    <x v="1"/>
    <x v="4"/>
  </r>
  <r>
    <n v="991"/>
    <s v="Kareem Cook"/>
    <s v="philadelphia"/>
    <x v="0"/>
    <n v="11057"/>
    <x v="156"/>
    <d v="2020-04-13T00:00:00"/>
    <x v="1"/>
    <x v="6"/>
  </r>
  <r>
    <n v="992"/>
    <s v="Kareem Mobley"/>
    <s v="leola"/>
    <x v="0"/>
    <n v="13713"/>
    <x v="27"/>
    <d v="2021-06-24T00:00:00"/>
    <x v="1"/>
    <x v="2"/>
  </r>
  <r>
    <n v="993"/>
    <s v="Karen Alldred"/>
    <s v="doylestown"/>
    <x v="0"/>
    <n v="9973"/>
    <x v="255"/>
    <d v="2019-01-11T00:00:00"/>
    <x v="1"/>
    <x v="7"/>
  </r>
  <r>
    <n v="994"/>
    <s v="Karen Deal"/>
    <s v="warrington"/>
    <x v="1"/>
    <n v="20429"/>
    <x v="151"/>
    <d v="2026-06-14T00:00:00"/>
    <x v="0"/>
    <x v="7"/>
  </r>
  <r>
    <n v="995"/>
    <s v="Karen DelRaso"/>
    <s v="mont clare"/>
    <x v="0"/>
    <n v="9978"/>
    <x v="476"/>
    <d v="2022-08-24T00:00:00"/>
    <x v="1"/>
    <x v="5"/>
  </r>
  <r>
    <n v="996"/>
    <s v="Karen Foutz"/>
    <s v="lancaster"/>
    <x v="0"/>
    <n v="13707"/>
    <x v="27"/>
    <d v="2021-06-24T00:00:00"/>
    <x v="1"/>
    <x v="2"/>
  </r>
  <r>
    <n v="997"/>
    <s v="Karen Schweitzer"/>
    <s v="reading"/>
    <x v="0"/>
    <n v="9884"/>
    <x v="50"/>
    <d v="2018-10-27T00:00:00"/>
    <x v="1"/>
    <x v="1"/>
  </r>
  <r>
    <n v="998"/>
    <s v="Kari Mazzarelli"/>
    <s v="philadelphia"/>
    <x v="0"/>
    <n v="22100"/>
    <x v="1"/>
    <d v="2027-06-04T00:00:00"/>
    <x v="0"/>
    <x v="6"/>
  </r>
  <r>
    <n v="999"/>
    <s v="Karimah Choice"/>
    <s v="philadelphia"/>
    <x v="0"/>
    <n v="14410"/>
    <x v="84"/>
    <d v="2021-08-20T00:00:00"/>
    <x v="1"/>
    <x v="6"/>
  </r>
  <r>
    <n v="1000"/>
    <s v="Karleen Caparro"/>
    <s v="norristown"/>
    <x v="0"/>
    <n v="9711"/>
    <x v="109"/>
    <d v="2026-07-20T00:00:00"/>
    <x v="0"/>
    <x v="5"/>
  </r>
  <r>
    <n v="1001"/>
    <s v="Karleen Okoh"/>
    <s v="telford"/>
    <x v="1"/>
    <n v="16674"/>
    <x v="477"/>
    <d v="2023-07-14T00:00:00"/>
    <x v="1"/>
    <x v="5"/>
  </r>
  <r>
    <n v="1002"/>
    <s v="Karly Fisher"/>
    <s v="wyomissing"/>
    <x v="0"/>
    <n v="15770"/>
    <x v="221"/>
    <d v="2026-12-21T00:00:00"/>
    <x v="0"/>
    <x v="1"/>
  </r>
  <r>
    <n v="1003"/>
    <s v="Kasey Saunders"/>
    <s v="prospect park"/>
    <x v="0"/>
    <n v="14019"/>
    <x v="19"/>
    <d v="2021-07-24T00:00:00"/>
    <x v="1"/>
    <x v="3"/>
  </r>
  <r>
    <n v="1004"/>
    <s v="Kate Parsons"/>
    <s v="chester springs"/>
    <x v="0"/>
    <n v="8923"/>
    <x v="289"/>
    <d v="2026-06-26T00:00:00"/>
    <x v="0"/>
    <x v="4"/>
  </r>
  <r>
    <n v="1005"/>
    <s v="Katelyn Beck"/>
    <s v="levittown"/>
    <x v="0"/>
    <n v="18171"/>
    <x v="334"/>
    <d v="2024-12-26T00:00:00"/>
    <x v="2"/>
    <x v="7"/>
  </r>
  <r>
    <n v="1006"/>
    <s v="Katelyn Hibbard"/>
    <s v="lancaster"/>
    <x v="0"/>
    <n v="17023"/>
    <x v="478"/>
    <d v="2025-12-07T00:00:00"/>
    <x v="0"/>
    <x v="2"/>
  </r>
  <r>
    <n v="1007"/>
    <s v="Katharine Davis-Bruno"/>
    <s v="pottstown"/>
    <x v="0"/>
    <n v="17302"/>
    <x v="157"/>
    <d v="2026-04-05T00:00:00"/>
    <x v="0"/>
    <x v="4"/>
  </r>
  <r>
    <n v="1008"/>
    <s v="Katherine Artuso"/>
    <s v="philadelphia"/>
    <x v="0"/>
    <n v="9975"/>
    <x v="255"/>
    <d v="2019-01-11T00:00:00"/>
    <x v="1"/>
    <x v="6"/>
  </r>
  <r>
    <n v="1009"/>
    <s v="Katherine Diaz"/>
    <s v="bensalem"/>
    <x v="1"/>
    <n v="16666"/>
    <x v="479"/>
    <d v="2027-07-13T00:00:00"/>
    <x v="0"/>
    <x v="7"/>
  </r>
  <r>
    <n v="1010"/>
    <s v="Katherine Diaz"/>
    <s v="bensalem"/>
    <x v="2"/>
    <n v="16666"/>
    <x v="480"/>
    <d v="2027-05-27T00:00:00"/>
    <x v="0"/>
    <x v="7"/>
  </r>
  <r>
    <n v="1011"/>
    <s v="Katherine Everman"/>
    <s v="philadelphia"/>
    <x v="0"/>
    <n v="22093"/>
    <x v="357"/>
    <d v="2027-06-05T00:00:00"/>
    <x v="0"/>
    <x v="6"/>
  </r>
  <r>
    <n v="1012"/>
    <s v="Katherine Madden"/>
    <s v="bristol"/>
    <x v="0"/>
    <n v="8558"/>
    <x v="71"/>
    <d v="2015-07-30T00:00:00"/>
    <x v="1"/>
    <x v="7"/>
  </r>
  <r>
    <n v="1013"/>
    <s v="Kathleen  Robey"/>
    <s v="bensalem"/>
    <x v="0"/>
    <n v="19236"/>
    <x v="426"/>
    <d v="2025-10-03T00:00:00"/>
    <x v="0"/>
    <x v="7"/>
  </r>
  <r>
    <n v="1014"/>
    <s v="Kathleen Colson"/>
    <s v="north wales"/>
    <x v="0"/>
    <n v="16661"/>
    <x v="249"/>
    <d v="2023-06-26T00:00:00"/>
    <x v="1"/>
    <x v="5"/>
  </r>
  <r>
    <n v="1015"/>
    <s v="Kathleen Epler"/>
    <s v="denver"/>
    <x v="0"/>
    <n v="7387"/>
    <x v="481"/>
    <d v="2021-11-02T00:00:00"/>
    <x v="1"/>
    <x v="2"/>
  </r>
  <r>
    <n v="1016"/>
    <s v="Kathleen Jones"/>
    <s v="bristol"/>
    <x v="0"/>
    <n v="7622"/>
    <x v="482"/>
    <d v="2012-09-10T00:00:00"/>
    <x v="1"/>
    <x v="7"/>
  </r>
  <r>
    <n v="1017"/>
    <s v="Kathleen McCarron"/>
    <s v="pottstown"/>
    <x v="0"/>
    <n v="18767"/>
    <x v="25"/>
    <d v="2025-06-21T00:00:00"/>
    <x v="0"/>
    <x v="4"/>
  </r>
  <r>
    <n v="1018"/>
    <s v="Kathleen Mills"/>
    <s v="robesonia"/>
    <x v="0"/>
    <n v="7443"/>
    <x v="483"/>
    <d v="2022-01-11T00:00:00"/>
    <x v="1"/>
    <x v="1"/>
  </r>
  <r>
    <n v="1019"/>
    <s v="Kathleen Noga"/>
    <s v="elkins park"/>
    <x v="0"/>
    <n v="20463"/>
    <x v="484"/>
    <d v="2026-06-25T00:00:00"/>
    <x v="0"/>
    <x v="5"/>
  </r>
  <r>
    <n v="1020"/>
    <s v="Kathleen Sims"/>
    <s v="drexel hill"/>
    <x v="0"/>
    <n v="12221"/>
    <x v="95"/>
    <d v="2026-09-07T00:00:00"/>
    <x v="0"/>
    <x v="3"/>
  </r>
  <r>
    <n v="1021"/>
    <s v="Kathleen Strain"/>
    <s v="topton"/>
    <x v="1"/>
    <n v="17896"/>
    <x v="380"/>
    <d v="2026-10-05T00:00:00"/>
    <x v="0"/>
    <x v="1"/>
  </r>
  <r>
    <n v="1022"/>
    <s v="Kathleen Tierney"/>
    <s v="glenside"/>
    <x v="0"/>
    <n v="14955"/>
    <x v="110"/>
    <d v="2021-12-19T00:00:00"/>
    <x v="1"/>
    <x v="5"/>
  </r>
  <r>
    <n v="1023"/>
    <s v="Kathryn Feiler"/>
    <s v="perkasie"/>
    <x v="0"/>
    <n v="9345"/>
    <x v="251"/>
    <d v="2019-09-11T00:00:00"/>
    <x v="1"/>
    <x v="7"/>
  </r>
  <r>
    <n v="1024"/>
    <s v="Kathryn Leger"/>
    <s v="philadelphia"/>
    <x v="0"/>
    <n v="17436"/>
    <x v="485"/>
    <d v="2024-05-12T00:00:00"/>
    <x v="1"/>
    <x v="6"/>
  </r>
  <r>
    <n v="1025"/>
    <s v="Kathy Quick"/>
    <s v="ashland"/>
    <x v="0"/>
    <n v="16058"/>
    <x v="486"/>
    <d v="2027-03-12T00:00:00"/>
    <x v="0"/>
    <x v="0"/>
  </r>
  <r>
    <n v="1026"/>
    <s v="Kathy Quick"/>
    <s v="ashland"/>
    <x v="1"/>
    <n v="16058"/>
    <x v="487"/>
    <d v="2027-03-12T00:00:00"/>
    <x v="0"/>
    <x v="0"/>
  </r>
  <r>
    <n v="1027"/>
    <s v="Katie Comer"/>
    <s v="schuylkill haven"/>
    <x v="0"/>
    <n v="12831"/>
    <x v="30"/>
    <d v="2021-02-08T00:00:00"/>
    <x v="1"/>
    <x v="0"/>
  </r>
  <r>
    <n v="1028"/>
    <s v="Katie LePera"/>
    <s v="philadelphia"/>
    <x v="0"/>
    <n v="20883"/>
    <x v="488"/>
    <d v="2026-09-25T00:00:00"/>
    <x v="0"/>
    <x v="6"/>
  </r>
  <r>
    <n v="1029"/>
    <s v="Katrina Valbrun"/>
    <s v="hatfield"/>
    <x v="0"/>
    <n v="12717"/>
    <x v="6"/>
    <d v="2021-01-14T00:00:00"/>
    <x v="1"/>
    <x v="5"/>
  </r>
  <r>
    <n v="1030"/>
    <s v="Keah Patterson"/>
    <s v="oley"/>
    <x v="0"/>
    <n v="10302"/>
    <x v="149"/>
    <d v="2025-06-29T00:00:00"/>
    <x v="0"/>
    <x v="1"/>
  </r>
  <r>
    <n v="1031"/>
    <s v="Keah Patterson"/>
    <s v="oley"/>
    <x v="2"/>
    <n v="10302"/>
    <x v="392"/>
    <d v="2025-06-29T00:00:00"/>
    <x v="0"/>
    <x v="1"/>
  </r>
  <r>
    <n v="1032"/>
    <s v="Kedie Ubiles"/>
    <s v="colmar"/>
    <x v="0"/>
    <n v="8822"/>
    <x v="289"/>
    <d v="2020-06-26T00:00:00"/>
    <x v="1"/>
    <x v="5"/>
  </r>
  <r>
    <n v="1033"/>
    <s v="Keefe Lehman"/>
    <s v="philadelphia"/>
    <x v="0"/>
    <n v="21009"/>
    <x v="489"/>
    <d v="2026-10-21T00:00:00"/>
    <x v="0"/>
    <x v="6"/>
  </r>
  <r>
    <n v="1034"/>
    <s v="Keefe Lehman"/>
    <s v="philadelphia"/>
    <x v="1"/>
    <n v="21009"/>
    <x v="141"/>
    <d v="2026-10-16T00:00:00"/>
    <x v="0"/>
    <x v="6"/>
  </r>
  <r>
    <n v="1035"/>
    <s v="Keith Calhoun"/>
    <s v="philadelphia"/>
    <x v="0"/>
    <n v="19714"/>
    <x v="490"/>
    <d v="2026-01-10T00:00:00"/>
    <x v="0"/>
    <x v="6"/>
  </r>
  <r>
    <n v="1036"/>
    <s v="Keith Givens"/>
    <s v="philadelphia"/>
    <x v="0"/>
    <n v="9603"/>
    <x v="15"/>
    <d v="2018-05-23T00:00:00"/>
    <x v="1"/>
    <x v="6"/>
  </r>
  <r>
    <n v="1037"/>
    <s v="Keith Green"/>
    <s v="philadelphia"/>
    <x v="0"/>
    <n v="11344"/>
    <x v="135"/>
    <d v="2020-05-07T00:00:00"/>
    <x v="1"/>
    <x v="6"/>
  </r>
  <r>
    <n v="1038"/>
    <s v="Keith Pitts"/>
    <s v="wyomissing"/>
    <x v="0"/>
    <n v="22101"/>
    <x v="1"/>
    <d v="2027-06-05T00:00:00"/>
    <x v="0"/>
    <x v="1"/>
  </r>
  <r>
    <n v="1039"/>
    <s v="Keith Stoudt"/>
    <s v="reading"/>
    <x v="0"/>
    <n v="8049"/>
    <x v="142"/>
    <d v="2026-03-09T00:00:00"/>
    <x v="0"/>
    <x v="1"/>
  </r>
  <r>
    <n v="1040"/>
    <s v="Kelli Gerth"/>
    <s v="birdsboro"/>
    <x v="1"/>
    <n v="14979"/>
    <x v="491"/>
    <d v="2021-12-30T00:00:00"/>
    <x v="1"/>
    <x v="1"/>
  </r>
  <r>
    <n v="1041"/>
    <s v="Kelli Hollar"/>
    <s v="langhorne"/>
    <x v="0"/>
    <n v="22096"/>
    <x v="1"/>
    <d v="2027-06-04T00:00:00"/>
    <x v="0"/>
    <x v="7"/>
  </r>
  <r>
    <n v="1042"/>
    <s v="Kelli McDonald"/>
    <s v="bristol"/>
    <x v="0"/>
    <n v="8047"/>
    <x v="142"/>
    <d v="2020-03-09T00:00:00"/>
    <x v="1"/>
    <x v="7"/>
  </r>
  <r>
    <n v="1043"/>
    <s v="Kellie  Ogborn"/>
    <s v="glenolden"/>
    <x v="0"/>
    <n v="12045"/>
    <x v="10"/>
    <d v="2020-08-01T00:00:00"/>
    <x v="1"/>
    <x v="3"/>
  </r>
  <r>
    <n v="1044"/>
    <s v="Kelly Cosden"/>
    <s v="philadelphia"/>
    <x v="0"/>
    <n v="17767"/>
    <x v="82"/>
    <d v="2026-08-18T00:00:00"/>
    <x v="0"/>
    <x v="6"/>
  </r>
  <r>
    <n v="1045"/>
    <s v="Kelly Fox"/>
    <s v="washington crossing"/>
    <x v="1"/>
    <n v="20357"/>
    <x v="492"/>
    <d v="2026-05-31T00:00:00"/>
    <x v="0"/>
    <x v="7"/>
  </r>
  <r>
    <n v="1046"/>
    <s v="Kelly Garant"/>
    <s v="philadelphia"/>
    <x v="0"/>
    <n v="12852"/>
    <x v="228"/>
    <d v="2027-02-12T00:00:00"/>
    <x v="0"/>
    <x v="6"/>
  </r>
  <r>
    <n v="1047"/>
    <s v="Kelly Zimmerman"/>
    <s v="douglassville"/>
    <x v="0"/>
    <n v="12785"/>
    <x v="116"/>
    <d v="2021-01-25T00:00:00"/>
    <x v="1"/>
    <x v="1"/>
  </r>
  <r>
    <n v="1048"/>
    <s v="Ken Sherwood"/>
    <s v="reading"/>
    <x v="0"/>
    <n v="12841"/>
    <x v="30"/>
    <d v="2021-02-08T00:00:00"/>
    <x v="1"/>
    <x v="1"/>
  </r>
  <r>
    <n v="1049"/>
    <s v="Kenneth Allen"/>
    <s v="philadelphia"/>
    <x v="0"/>
    <n v="17499"/>
    <x v="493"/>
    <d v="2026-05-27T00:00:00"/>
    <x v="0"/>
    <x v="6"/>
  </r>
  <r>
    <n v="1050"/>
    <s v="Kenneth Harris"/>
    <s v="philadelphia"/>
    <x v="0"/>
    <n v="16299"/>
    <x v="376"/>
    <d v="2025-06-03T00:00:00"/>
    <x v="2"/>
    <x v="6"/>
  </r>
  <r>
    <n v="1051"/>
    <s v="Kenneth Harris"/>
    <s v="philadelphia"/>
    <x v="2"/>
    <n v="16299"/>
    <x v="494"/>
    <d v="2027-01-17T00:00:00"/>
    <x v="0"/>
    <x v="6"/>
  </r>
  <r>
    <n v="1052"/>
    <s v="Kenneth Sites"/>
    <s v="reading"/>
    <x v="0"/>
    <s v="0467"/>
    <x v="50"/>
    <d v="2018-10-27T00:00:00"/>
    <x v="1"/>
    <x v="1"/>
  </r>
  <r>
    <n v="1053"/>
    <s v="Kent Derry"/>
    <s v="philadelphia"/>
    <x v="0"/>
    <n v="8045"/>
    <x v="142"/>
    <d v="2014-03-09T00:00:00"/>
    <x v="1"/>
    <x v="6"/>
  </r>
  <r>
    <n v="1054"/>
    <s v="Kenya Moore"/>
    <s v="philadelphia"/>
    <x v="0"/>
    <n v="8395"/>
    <x v="14"/>
    <d v="2015-04-29T00:00:00"/>
    <x v="1"/>
    <x v="6"/>
  </r>
  <r>
    <n v="1055"/>
    <s v="Kenyatte Tilley"/>
    <s v="philadelphia"/>
    <x v="0"/>
    <n v="20015"/>
    <x v="495"/>
    <d v="2026-03-14T00:00:00"/>
    <x v="0"/>
    <x v="6"/>
  </r>
  <r>
    <n v="1056"/>
    <s v="Kenyetta Preston-Meredith"/>
    <s v="upper darby"/>
    <x v="1"/>
    <n v="13422"/>
    <x v="496"/>
    <d v="2021-05-25T00:00:00"/>
    <x v="1"/>
    <x v="3"/>
  </r>
  <r>
    <n v="1057"/>
    <s v="Keriann Meyers"/>
    <s v="exton"/>
    <x v="0"/>
    <n v="15291"/>
    <x v="51"/>
    <d v="2022-06-30T00:00:00"/>
    <x v="1"/>
    <x v="4"/>
  </r>
  <r>
    <n v="1058"/>
    <s v="Kermin Sochorow"/>
    <s v="ardmore"/>
    <x v="0"/>
    <n v="8279"/>
    <x v="89"/>
    <d v="2014-12-12T00:00:00"/>
    <x v="1"/>
    <x v="5"/>
  </r>
  <r>
    <n v="1059"/>
    <s v="Kerri Scheitrum"/>
    <s v="tamaqua"/>
    <x v="0"/>
    <n v="13585"/>
    <x v="339"/>
    <d v="2027-06-14T00:00:00"/>
    <x v="0"/>
    <x v="0"/>
  </r>
  <r>
    <n v="1060"/>
    <s v="Kerri Scheitrum"/>
    <s v="tamaqua"/>
    <x v="1"/>
    <n v="13585"/>
    <x v="497"/>
    <d v="2027-11-17T00:00:00"/>
    <x v="0"/>
    <x v="0"/>
  </r>
  <r>
    <n v="1061"/>
    <s v="Kerry Miller"/>
    <s v="mount joy"/>
    <x v="0"/>
    <n v="18049"/>
    <x v="498"/>
    <d v="2026-11-18T00:00:00"/>
    <x v="0"/>
    <x v="2"/>
  </r>
  <r>
    <n v="1062"/>
    <s v="Kerry Welch"/>
    <s v="newtown square"/>
    <x v="0"/>
    <n v="10377"/>
    <x v="9"/>
    <d v="2019-09-08T00:00:00"/>
    <x v="1"/>
    <x v="3"/>
  </r>
  <r>
    <n v="1063"/>
    <s v="Kevin  Friel"/>
    <s v="glenolden"/>
    <x v="0"/>
    <n v="20504"/>
    <x v="68"/>
    <d v="2026-06-26T00:00:00"/>
    <x v="0"/>
    <x v="3"/>
  </r>
  <r>
    <n v="1064"/>
    <s v="Kevin Albright"/>
    <s v="shoemakersville"/>
    <x v="0"/>
    <n v="10582"/>
    <x v="88"/>
    <d v="2019-12-12T00:00:00"/>
    <x v="1"/>
    <x v="1"/>
  </r>
  <r>
    <n v="1065"/>
    <s v="Kevin Borum"/>
    <s v="philadelphia"/>
    <x v="0"/>
    <n v="14001"/>
    <x v="19"/>
    <d v="2023-07-24T00:00:00"/>
    <x v="1"/>
    <x v="6"/>
  </r>
  <r>
    <n v="1066"/>
    <s v="Kevin Borum"/>
    <s v="philadelphia"/>
    <x v="1"/>
    <n v="14001"/>
    <x v="499"/>
    <d v="2022-10-20T00:00:00"/>
    <x v="1"/>
    <x v="6"/>
  </r>
  <r>
    <n v="1067"/>
    <s v="Kevin Congdon"/>
    <s v="malvern"/>
    <x v="1"/>
    <n v="16312"/>
    <x v="394"/>
    <d v="2023-06-06T00:00:00"/>
    <x v="1"/>
    <x v="4"/>
  </r>
  <r>
    <n v="1068"/>
    <s v="Kevin Craner"/>
    <s v="pottstown"/>
    <x v="0"/>
    <n v="8967"/>
    <x v="73"/>
    <d v="2026-07-29T00:00:00"/>
    <x v="0"/>
    <x v="4"/>
  </r>
  <r>
    <n v="1069"/>
    <s v="Kevin Craner"/>
    <s v="pottstown"/>
    <x v="1"/>
    <n v="8967"/>
    <x v="500"/>
    <d v="2026-07-29T00:00:00"/>
    <x v="0"/>
    <x v="4"/>
  </r>
  <r>
    <n v="1070"/>
    <s v="Kevin Dial"/>
    <s v="philadelphia"/>
    <x v="0"/>
    <n v="14753"/>
    <x v="224"/>
    <d v="2025-11-01T00:00:00"/>
    <x v="0"/>
    <x v="6"/>
  </r>
  <r>
    <n v="1071"/>
    <s v="Kevin Dial"/>
    <s v="philadelphia"/>
    <x v="1"/>
    <n v="14753"/>
    <x v="182"/>
    <d v="2025-11-01T00:00:00"/>
    <x v="0"/>
    <x v="6"/>
  </r>
  <r>
    <n v="1072"/>
    <s v="Kevin Linder"/>
    <s v="philadelphia"/>
    <x v="0"/>
    <n v="8271"/>
    <x v="89"/>
    <d v="2014-12-12T00:00:00"/>
    <x v="1"/>
    <x v="6"/>
  </r>
  <r>
    <n v="1073"/>
    <s v="Kevin McGee"/>
    <s v="philadelphia"/>
    <x v="0"/>
    <n v="17009"/>
    <x v="259"/>
    <d v="2025-12-01T00:00:00"/>
    <x v="0"/>
    <x v="6"/>
  </r>
  <r>
    <n v="1074"/>
    <s v="Kevin Ried"/>
    <s v="glenolden"/>
    <x v="0"/>
    <n v="17716"/>
    <x v="501"/>
    <d v="2024-08-08T00:00:00"/>
    <x v="2"/>
    <x v="3"/>
  </r>
  <r>
    <n v="1075"/>
    <s v="Kevin White"/>
    <s v="philadelphia"/>
    <x v="0"/>
    <n v="12912"/>
    <x v="245"/>
    <d v="2026-04-25T00:00:00"/>
    <x v="0"/>
    <x v="6"/>
  </r>
  <r>
    <n v="1076"/>
    <s v="Khalid Stokes"/>
    <s v="philadelphia"/>
    <x v="0"/>
    <n v="19237"/>
    <x v="426"/>
    <d v="2025-10-03T00:00:00"/>
    <x v="0"/>
    <x v="6"/>
  </r>
  <r>
    <n v="1077"/>
    <s v="Kia Bigelow"/>
    <s v="philadelphia"/>
    <x v="0"/>
    <n v="9019"/>
    <x v="171"/>
    <d v="2016-09-23T00:00:00"/>
    <x v="1"/>
    <x v="6"/>
  </r>
  <r>
    <n v="1078"/>
    <s v="Kieanna Caterisano"/>
    <s v="hatfield"/>
    <x v="0"/>
    <n v="18438"/>
    <x v="295"/>
    <d v="2027-03-20T00:00:00"/>
    <x v="0"/>
    <x v="5"/>
  </r>
  <r>
    <n v="1079"/>
    <s v="Kim Porter"/>
    <s v="newtown square"/>
    <x v="1"/>
    <n v="8479"/>
    <x v="502"/>
    <d v="2026-02-06T00:00:00"/>
    <x v="0"/>
    <x v="3"/>
  </r>
  <r>
    <n v="1080"/>
    <s v="Kimberley Zellers"/>
    <s v="columbia"/>
    <x v="0"/>
    <n v="13726"/>
    <x v="27"/>
    <d v="2021-06-24T00:00:00"/>
    <x v="1"/>
    <x v="2"/>
  </r>
  <r>
    <n v="1081"/>
    <s v="Kimberly  Jones"/>
    <s v="phoenixville"/>
    <x v="0"/>
    <n v="21611"/>
    <x v="503"/>
    <d v="2027-02-25T00:00:00"/>
    <x v="0"/>
    <x v="4"/>
  </r>
  <r>
    <n v="1082"/>
    <s v="Kimberly Brown"/>
    <s v="pine grove"/>
    <x v="1"/>
    <n v="18187"/>
    <x v="504"/>
    <d v="2025-12-05T00:00:00"/>
    <x v="0"/>
    <x v="0"/>
  </r>
  <r>
    <n v="1083"/>
    <s v="Kimberly Buzzard"/>
    <s v="lancaster"/>
    <x v="0"/>
    <n v="12718"/>
    <x v="6"/>
    <d v="2021-01-14T00:00:00"/>
    <x v="1"/>
    <x v="2"/>
  </r>
  <r>
    <n v="1084"/>
    <s v="Kimberly Esterline"/>
    <s v="bristol"/>
    <x v="0"/>
    <n v="10022"/>
    <x v="134"/>
    <d v="2019-01-31T00:00:00"/>
    <x v="1"/>
    <x v="7"/>
  </r>
  <r>
    <n v="1085"/>
    <s v="Kimberly Grove"/>
    <s v="orwigsburg"/>
    <x v="0"/>
    <n v="8978"/>
    <x v="253"/>
    <d v="2018-08-01T00:00:00"/>
    <x v="1"/>
    <x v="0"/>
  </r>
  <r>
    <n v="1086"/>
    <s v="Kimberly Hunter"/>
    <s v="frackville"/>
    <x v="0"/>
    <n v="9133"/>
    <x v="505"/>
    <d v="2023-03-11T00:00:00"/>
    <x v="1"/>
    <x v="0"/>
  </r>
  <r>
    <n v="1087"/>
    <s v="Kimberly Kulp"/>
    <s v="ephrata"/>
    <x v="0"/>
    <n v="11826"/>
    <x v="72"/>
    <d v="2020-06-28T00:00:00"/>
    <x v="1"/>
    <x v="2"/>
  </r>
  <r>
    <n v="1088"/>
    <s v="Kimberly Wilder"/>
    <s v="washington boro"/>
    <x v="0"/>
    <n v="20372"/>
    <x v="13"/>
    <d v="2026-08-15T00:00:00"/>
    <x v="0"/>
    <x v="2"/>
  </r>
  <r>
    <n v="1089"/>
    <s v="Kimberly Wilder"/>
    <s v="washington boro"/>
    <x v="1"/>
    <n v="20372"/>
    <x v="506"/>
    <d v="2026-06-04T00:00:00"/>
    <x v="0"/>
    <x v="2"/>
  </r>
  <r>
    <n v="1090"/>
    <s v="Kimberly Willis"/>
    <s v="levittown"/>
    <x v="0"/>
    <n v="8518"/>
    <x v="350"/>
    <d v="2021-07-09T00:00:00"/>
    <x v="1"/>
    <x v="7"/>
  </r>
  <r>
    <n v="1091"/>
    <s v="Kirk Parsons"/>
    <s v="philadelphia"/>
    <x v="0"/>
    <n v="9517"/>
    <x v="507"/>
    <d v="2024-02-11T00:00:00"/>
    <x v="1"/>
    <x v="6"/>
  </r>
  <r>
    <n v="1092"/>
    <s v="Kirsten Brannen"/>
    <s v="north wales"/>
    <x v="0"/>
    <n v="10470"/>
    <x v="404"/>
    <d v="2019-10-27T00:00:00"/>
    <x v="1"/>
    <x v="5"/>
  </r>
  <r>
    <n v="1093"/>
    <s v="Kirsten Diedrich"/>
    <s v="reading"/>
    <x v="0"/>
    <n v="12356"/>
    <x v="74"/>
    <d v="2020-09-26T00:00:00"/>
    <x v="1"/>
    <x v="1"/>
  </r>
  <r>
    <n v="1094"/>
    <s v="Kirstie Carpenter"/>
    <s v="manheim"/>
    <x v="0"/>
    <n v="10348"/>
    <x v="176"/>
    <d v="2019-08-28T00:00:00"/>
    <x v="1"/>
    <x v="2"/>
  </r>
  <r>
    <n v="1095"/>
    <s v="Kit Zimmerman"/>
    <s v="chester springs"/>
    <x v="0"/>
    <n v="21045"/>
    <x v="159"/>
    <d v="2026-10-25T00:00:00"/>
    <x v="0"/>
    <x v="4"/>
  </r>
  <r>
    <n v="1096"/>
    <s v="Kris Melton"/>
    <s v="philadelphia"/>
    <x v="0"/>
    <n v="11349"/>
    <x v="135"/>
    <d v="2020-05-07T00:00:00"/>
    <x v="1"/>
    <x v="6"/>
  </r>
  <r>
    <n v="1097"/>
    <s v="Kristianna Rubin"/>
    <s v="philadelphia"/>
    <x v="0"/>
    <n v="13341"/>
    <x v="228"/>
    <d v="2021-05-14T00:00:00"/>
    <x v="1"/>
    <x v="6"/>
  </r>
  <r>
    <n v="1098"/>
    <s v="Kristie Quinn"/>
    <s v="trumbauersville"/>
    <x v="0"/>
    <n v="9781"/>
    <x v="280"/>
    <d v="2020-09-09T00:00:00"/>
    <x v="1"/>
    <x v="7"/>
  </r>
  <r>
    <n v="1099"/>
    <s v="Kristin Schloesser"/>
    <s v="reading"/>
    <x v="0"/>
    <n v="14242"/>
    <x v="195"/>
    <d v="2021-08-09T00:00:00"/>
    <x v="1"/>
    <x v="1"/>
  </r>
  <r>
    <n v="1100"/>
    <s v="Kristina Carroll"/>
    <s v="holland"/>
    <x v="0"/>
    <n v="10247"/>
    <x v="79"/>
    <d v="2023-06-22T00:00:00"/>
    <x v="1"/>
    <x v="7"/>
  </r>
  <r>
    <n v="1101"/>
    <s v="Kristofer Holzworth"/>
    <s v="upper black eddy"/>
    <x v="0"/>
    <n v="15703"/>
    <x v="52"/>
    <d v="2024-12-07T00:00:00"/>
    <x v="3"/>
    <x v="7"/>
  </r>
  <r>
    <n v="1102"/>
    <s v="Kristy Davis"/>
    <s v="bensalem"/>
    <x v="0"/>
    <n v="14942"/>
    <x v="110"/>
    <d v="2021-12-19T00:00:00"/>
    <x v="1"/>
    <x v="7"/>
  </r>
  <r>
    <n v="1103"/>
    <s v="Krysta Arthur"/>
    <s v="morrisville"/>
    <x v="0"/>
    <n v="16523"/>
    <x v="105"/>
    <d v="2023-06-25T00:00:00"/>
    <x v="1"/>
    <x v="7"/>
  </r>
  <r>
    <n v="1104"/>
    <s v="Krysta Kulesa"/>
    <s v="wernersville"/>
    <x v="0"/>
    <n v="8106"/>
    <x v="214"/>
    <d v="2017-03-06T00:00:00"/>
    <x v="1"/>
    <x v="1"/>
  </r>
  <r>
    <n v="1105"/>
    <s v="Krystal Propper"/>
    <s v="levittown"/>
    <x v="0"/>
    <n v="18516"/>
    <x v="263"/>
    <d v="2025-08-22T00:00:00"/>
    <x v="0"/>
    <x v="7"/>
  </r>
  <r>
    <n v="1106"/>
    <s v="Kurt Vivaldi"/>
    <s v="lancaster"/>
    <x v="0"/>
    <n v="12736"/>
    <x v="6"/>
    <d v="2021-01-14T00:00:00"/>
    <x v="1"/>
    <x v="2"/>
  </r>
  <r>
    <n v="1107"/>
    <s v="Kyle Meister"/>
    <s v="levittown"/>
    <x v="0"/>
    <n v="15346"/>
    <x v="94"/>
    <d v="2026-07-29T00:00:00"/>
    <x v="0"/>
    <x v="7"/>
  </r>
  <r>
    <n v="1108"/>
    <s v="Kyle Schreffler"/>
    <s v="lancaster"/>
    <x v="0"/>
    <n v="12734"/>
    <x v="6"/>
    <d v="2021-01-14T00:00:00"/>
    <x v="1"/>
    <x v="2"/>
  </r>
  <r>
    <n v="1109"/>
    <s v="Lael Ravenscroft"/>
    <s v="west chester"/>
    <x v="0"/>
    <n v="20878"/>
    <x v="508"/>
    <d v="2027-01-28T00:00:00"/>
    <x v="0"/>
    <x v="4"/>
  </r>
  <r>
    <n v="1110"/>
    <s v="Lael Ravenscroft"/>
    <s v="west chester"/>
    <x v="1"/>
    <n v="20878"/>
    <x v="445"/>
    <d v="2026-09-24T00:00:00"/>
    <x v="0"/>
    <x v="4"/>
  </r>
  <r>
    <n v="1111"/>
    <s v="Lamar McLean"/>
    <s v="lancaster"/>
    <x v="0"/>
    <n v="9700"/>
    <x v="220"/>
    <d v="2020-07-06T00:00:00"/>
    <x v="1"/>
    <x v="2"/>
  </r>
  <r>
    <n v="1112"/>
    <s v="Lana Sample"/>
    <s v="philadelphia"/>
    <x v="0"/>
    <n v="14424"/>
    <x v="84"/>
    <d v="2021-08-20T00:00:00"/>
    <x v="1"/>
    <x v="6"/>
  </r>
  <r>
    <n v="1113"/>
    <s v="Larry Fisher, Jr."/>
    <s v="lititz"/>
    <x v="0"/>
    <n v="7254"/>
    <x v="196"/>
    <d v="2026-05-01T00:00:00"/>
    <x v="0"/>
    <x v="2"/>
  </r>
  <r>
    <n v="1114"/>
    <s v="Larry Rice"/>
    <s v="philadelphia"/>
    <x v="0"/>
    <n v="11044"/>
    <x v="156"/>
    <d v="2020-04-13T00:00:00"/>
    <x v="1"/>
    <x v="6"/>
  </r>
  <r>
    <n v="1115"/>
    <s v="Latifa Aboumousa"/>
    <s v="lansdale"/>
    <x v="0"/>
    <n v="17115"/>
    <x v="509"/>
    <d v="2026-01-15T00:00:00"/>
    <x v="0"/>
    <x v="5"/>
  </r>
  <r>
    <n v="1116"/>
    <s v="Latisha Kelly"/>
    <s v="reading"/>
    <x v="0"/>
    <n v="20965"/>
    <x v="141"/>
    <d v="2026-10-16T00:00:00"/>
    <x v="0"/>
    <x v="1"/>
  </r>
  <r>
    <n v="1117"/>
    <s v="Latisha Kelly"/>
    <s v="reading"/>
    <x v="1"/>
    <n v="20965"/>
    <x v="141"/>
    <d v="2026-10-16T00:00:00"/>
    <x v="0"/>
    <x v="1"/>
  </r>
  <r>
    <n v="1118"/>
    <s v="Laura Buzzell"/>
    <s v="quakertown"/>
    <x v="0"/>
    <n v="9341"/>
    <x v="510"/>
    <d v="2017-09-10T00:00:00"/>
    <x v="1"/>
    <x v="7"/>
  </r>
  <r>
    <n v="1119"/>
    <s v="Laura Craig"/>
    <s v="philadelphia"/>
    <x v="0"/>
    <n v="15469"/>
    <x v="181"/>
    <d v="2026-09-22T00:00:00"/>
    <x v="0"/>
    <x v="6"/>
  </r>
  <r>
    <n v="1120"/>
    <s v="Laura Craig"/>
    <s v="philadelphia"/>
    <x v="1"/>
    <n v="15469"/>
    <x v="421"/>
    <d v="2026-09-15T00:00:00"/>
    <x v="0"/>
    <x v="6"/>
  </r>
  <r>
    <n v="1121"/>
    <s v="Laura Eliason-D'Uva"/>
    <s v="willow grove"/>
    <x v="1"/>
    <n v="10251"/>
    <x v="500"/>
    <d v="2026-05-24T00:00:00"/>
    <x v="0"/>
    <x v="5"/>
  </r>
  <r>
    <n v="1122"/>
    <s v="Laura Keck"/>
    <s v="barnesville"/>
    <x v="0"/>
    <n v="10155"/>
    <x v="369"/>
    <d v="2019-06-10T00:00:00"/>
    <x v="1"/>
    <x v="0"/>
  </r>
  <r>
    <n v="1123"/>
    <s v="Laura Klapper"/>
    <s v="pottstown"/>
    <x v="0"/>
    <n v="10087"/>
    <x v="21"/>
    <d v="2021-03-21T00:00:00"/>
    <x v="1"/>
    <x v="4"/>
  </r>
  <r>
    <n v="1124"/>
    <s v="Laura Lewis"/>
    <s v="douglassville"/>
    <x v="0"/>
    <n v="15019"/>
    <x v="122"/>
    <d v="2022-01-10T00:00:00"/>
    <x v="1"/>
    <x v="1"/>
  </r>
  <r>
    <n v="1125"/>
    <s v="Laura Moses-DeGele"/>
    <s v="mohnton"/>
    <x v="0"/>
    <n v="17569"/>
    <x v="511"/>
    <d v="2026-06-17T00:00:00"/>
    <x v="0"/>
    <x v="1"/>
  </r>
  <r>
    <n v="1126"/>
    <s v="Lauren Anderson"/>
    <s v="coatesville"/>
    <x v="0"/>
    <n v="22051"/>
    <x v="512"/>
    <d v="2027-05-29T00:00:00"/>
    <x v="0"/>
    <x v="4"/>
  </r>
  <r>
    <n v="1127"/>
    <s v="Lauren Hollinsworth"/>
    <s v="philadelphia"/>
    <x v="0"/>
    <n v="9243"/>
    <x v="308"/>
    <d v="2021-06-25T00:00:00"/>
    <x v="1"/>
    <x v="6"/>
  </r>
  <r>
    <n v="1128"/>
    <s v="Lauren Kowaleski"/>
    <s v="levittown"/>
    <x v="0"/>
    <n v="19537"/>
    <x v="385"/>
    <d v="2025-12-12T00:00:00"/>
    <x v="0"/>
    <x v="7"/>
  </r>
  <r>
    <n v="1129"/>
    <s v="Lauren Riebel"/>
    <s v="levittown"/>
    <x v="0"/>
    <n v="14653"/>
    <x v="449"/>
    <d v="2021-09-06T00:00:00"/>
    <x v="1"/>
    <x v="7"/>
  </r>
  <r>
    <n v="1130"/>
    <s v="Lauren Steinbrunn"/>
    <s v="new ringgold"/>
    <x v="0"/>
    <n v="13588"/>
    <x v="339"/>
    <d v="2021-06-14T00:00:00"/>
    <x v="1"/>
    <x v="0"/>
  </r>
  <r>
    <n v="1131"/>
    <s v="Lauren Szczepanik"/>
    <s v="philadelphia"/>
    <x v="0"/>
    <n v="17878"/>
    <x v="513"/>
    <d v="2026-09-29T00:00:00"/>
    <x v="0"/>
    <x v="6"/>
  </r>
  <r>
    <n v="1132"/>
    <s v="Lauren Walden"/>
    <s v="philadelphia"/>
    <x v="0"/>
    <n v="16535"/>
    <x v="105"/>
    <d v="2025-06-25T00:00:00"/>
    <x v="0"/>
    <x v="6"/>
  </r>
  <r>
    <n v="1133"/>
    <s v="Lauren Williams"/>
    <s v="phoenixville"/>
    <x v="0"/>
    <n v="12366"/>
    <x v="74"/>
    <d v="2026-09-26T00:00:00"/>
    <x v="0"/>
    <x v="4"/>
  </r>
  <r>
    <n v="1134"/>
    <s v="Lauren Williams"/>
    <s v="phoenixville"/>
    <x v="1"/>
    <n v="12366"/>
    <x v="514"/>
    <d v="2026-08-17T00:00:00"/>
    <x v="0"/>
    <x v="4"/>
  </r>
  <r>
    <n v="1135"/>
    <s v="Lauren Wirzberger"/>
    <s v="bensalem"/>
    <x v="0"/>
    <n v="16064"/>
    <x v="515"/>
    <d v="2023-03-16T00:00:00"/>
    <x v="1"/>
    <x v="7"/>
  </r>
  <r>
    <n v="1136"/>
    <s v="Laurencene Wright"/>
    <s v="philadelphia"/>
    <x v="0"/>
    <n v="14425"/>
    <x v="84"/>
    <d v="2021-08-20T00:00:00"/>
    <x v="1"/>
    <x v="6"/>
  </r>
  <r>
    <n v="1137"/>
    <s v="Laurie Corsack-Tester"/>
    <s v="philadelphia"/>
    <x v="0"/>
    <n v="10019"/>
    <x v="134"/>
    <d v="2019-01-31T00:00:00"/>
    <x v="1"/>
    <x v="6"/>
  </r>
  <r>
    <n v="1138"/>
    <s v="Lawrence  Elmore"/>
    <s v="philadelphia"/>
    <x v="0"/>
    <n v="18334"/>
    <x v="516"/>
    <d v="2026-11-18T00:00:00"/>
    <x v="0"/>
    <x v="6"/>
  </r>
  <r>
    <n v="1139"/>
    <s v="Lawrence  Walling"/>
    <s v="bristol"/>
    <x v="0"/>
    <n v="19550"/>
    <x v="385"/>
    <d v="2025-12-12T00:00:00"/>
    <x v="0"/>
    <x v="7"/>
  </r>
  <r>
    <n v="1140"/>
    <s v="Lawrence Worrilow, Jr."/>
    <s v="brookhaven"/>
    <x v="0"/>
    <n v="14020"/>
    <x v="19"/>
    <d v="2021-07-24T00:00:00"/>
    <x v="1"/>
    <x v="3"/>
  </r>
  <r>
    <n v="1141"/>
    <s v="Lawrence Wright"/>
    <s v="philadelphia"/>
    <x v="0"/>
    <n v="14021"/>
    <x v="19"/>
    <d v="2021-07-24T00:00:00"/>
    <x v="1"/>
    <x v="6"/>
  </r>
  <r>
    <n v="1142"/>
    <s v="Lea Gorecki"/>
    <s v="marietta"/>
    <x v="0"/>
    <n v="20157"/>
    <x v="473"/>
    <d v="2026-04-18T00:00:00"/>
    <x v="0"/>
    <x v="2"/>
  </r>
  <r>
    <n v="1143"/>
    <s v="Leah Smith"/>
    <s v="green lane"/>
    <x v="0"/>
    <n v="19621"/>
    <x v="517"/>
    <d v="2025-12-21T00:00:00"/>
    <x v="0"/>
    <x v="5"/>
  </r>
  <r>
    <n v="1144"/>
    <s v="Leah Smith"/>
    <s v="green lane"/>
    <x v="1"/>
    <n v="19621"/>
    <x v="518"/>
    <d v="2026-01-05T00:00:00"/>
    <x v="0"/>
    <x v="5"/>
  </r>
  <r>
    <n v="1145"/>
    <s v="Leanna Patches"/>
    <s v="womelsdorf"/>
    <x v="0"/>
    <n v="16165"/>
    <x v="3"/>
    <d v="2027-04-07T00:00:00"/>
    <x v="0"/>
    <x v="1"/>
  </r>
  <r>
    <n v="1146"/>
    <s v="Lee Hockenbury"/>
    <s v="brookhaven"/>
    <x v="0"/>
    <n v="22052"/>
    <x v="512"/>
    <d v="2027-05-29T00:00:00"/>
    <x v="0"/>
    <x v="3"/>
  </r>
  <r>
    <n v="1147"/>
    <s v="Leeann Charles"/>
    <s v="bernville"/>
    <x v="0"/>
    <n v="21571"/>
    <x v="67"/>
    <d v="2027-02-19T00:00:00"/>
    <x v="0"/>
    <x v="1"/>
  </r>
  <r>
    <n v="1148"/>
    <s v="Leilany Vargas"/>
    <s v="philadelphia"/>
    <x v="1"/>
    <n v="16142"/>
    <x v="199"/>
    <d v="2027-03-31T00:00:00"/>
    <x v="0"/>
    <x v="6"/>
  </r>
  <r>
    <n v="1149"/>
    <s v="Leisa Walgren"/>
    <s v="ephrata"/>
    <x v="0"/>
    <n v="10597"/>
    <x v="88"/>
    <d v="2019-12-12T00:00:00"/>
    <x v="1"/>
    <x v="2"/>
  </r>
  <r>
    <n v="1150"/>
    <s v="Leo Weed"/>
    <s v="lansdale"/>
    <x v="0"/>
    <n v="8713"/>
    <x v="216"/>
    <d v="2021-12-12T00:00:00"/>
    <x v="1"/>
    <x v="5"/>
  </r>
  <r>
    <n v="1151"/>
    <s v="Leon Craddock"/>
    <s v="philadelphia"/>
    <x v="0"/>
    <n v="9999"/>
    <x v="48"/>
    <d v="2019-01-18T00:00:00"/>
    <x v="1"/>
    <x v="6"/>
  </r>
  <r>
    <n v="1152"/>
    <s v="Leonard Burnett"/>
    <s v="philadelphia"/>
    <x v="0"/>
    <n v="11598"/>
    <x v="519"/>
    <d v="2026-07-05T00:00:00"/>
    <x v="0"/>
    <x v="6"/>
  </r>
  <r>
    <n v="1153"/>
    <s v="Leonard Burnett"/>
    <s v="philadelphia"/>
    <x v="2"/>
    <n v="11598"/>
    <x v="520"/>
    <d v="2026-12-19T00:00:00"/>
    <x v="0"/>
    <x v="6"/>
  </r>
  <r>
    <n v="1154"/>
    <s v="Leroy Cruz"/>
    <s v="leesport"/>
    <x v="0"/>
    <n v="15011"/>
    <x v="122"/>
    <d v="2024-01-10T00:00:00"/>
    <x v="1"/>
    <x v="1"/>
  </r>
  <r>
    <n v="1155"/>
    <s v="LeRoy Haas, Jr."/>
    <s v="reading"/>
    <x v="0"/>
    <n v="8295"/>
    <x v="521"/>
    <d v="2021-05-21T00:00:00"/>
    <x v="1"/>
    <x v="1"/>
  </r>
  <r>
    <n v="1156"/>
    <s v="Lesley Foy"/>
    <s v="bensalem"/>
    <x v="0"/>
    <n v="15520"/>
    <x v="181"/>
    <d v="2026-09-22T00:00:00"/>
    <x v="0"/>
    <x v="7"/>
  </r>
  <r>
    <n v="1157"/>
    <s v="Leslie Napolitano"/>
    <s v="coaldale"/>
    <x v="0"/>
    <n v="13580"/>
    <x v="339"/>
    <d v="2027-06-14T00:00:00"/>
    <x v="0"/>
    <x v="0"/>
  </r>
  <r>
    <n v="1158"/>
    <s v="Leslie Napolitano"/>
    <s v="coaldale"/>
    <x v="1"/>
    <n v="13580"/>
    <x v="522"/>
    <d v="2024-12-30T00:00:00"/>
    <x v="2"/>
    <x v="0"/>
  </r>
  <r>
    <n v="1159"/>
    <s v="Letty Vazquez-Pena"/>
    <s v="reading"/>
    <x v="0"/>
    <n v="15029"/>
    <x v="122"/>
    <d v="2022-01-10T00:00:00"/>
    <x v="1"/>
    <x v="1"/>
  </r>
  <r>
    <n v="1160"/>
    <s v="Leylanet Lopez"/>
    <s v="reading"/>
    <x v="0"/>
    <n v="20149"/>
    <x v="523"/>
    <d v="2026-04-12T00:00:00"/>
    <x v="0"/>
    <x v="1"/>
  </r>
  <r>
    <n v="1161"/>
    <s v="Leylanet Lopez"/>
    <s v="reading"/>
    <x v="1"/>
    <n v="20149"/>
    <x v="524"/>
    <d v="2026-07-20T00:00:00"/>
    <x v="0"/>
    <x v="1"/>
  </r>
  <r>
    <n v="1162"/>
    <s v="Linda Geraghty"/>
    <s v="ardmore"/>
    <x v="1"/>
    <n v="21891"/>
    <x v="525"/>
    <d v="2027-04-30T00:00:00"/>
    <x v="0"/>
    <x v="5"/>
  </r>
  <r>
    <n v="1163"/>
    <s v="Linda Kelly"/>
    <s v="philadelphia"/>
    <x v="0"/>
    <n v="18915"/>
    <x v="526"/>
    <d v="2025-07-24T00:00:00"/>
    <x v="0"/>
    <x v="6"/>
  </r>
  <r>
    <n v="1164"/>
    <s v="Linda Kelly"/>
    <s v="philadelphia"/>
    <x v="1"/>
    <n v="18915"/>
    <x v="527"/>
    <d v="2027-04-09T00:00:00"/>
    <x v="0"/>
    <x v="6"/>
  </r>
  <r>
    <n v="1165"/>
    <s v="Linda Loughin"/>
    <s v="clifton heights"/>
    <x v="0"/>
    <n v="9609"/>
    <x v="15"/>
    <d v="2018-05-23T00:00:00"/>
    <x v="1"/>
    <x v="3"/>
  </r>
  <r>
    <n v="1166"/>
    <s v="Linda Rossley"/>
    <s v="folsom"/>
    <x v="0"/>
    <n v="21577"/>
    <x v="67"/>
    <d v="2027-02-19T00:00:00"/>
    <x v="0"/>
    <x v="3"/>
  </r>
  <r>
    <n v="1167"/>
    <s v="Linda Smeltzer"/>
    <s v="manheim"/>
    <x v="0"/>
    <n v="11832"/>
    <x v="72"/>
    <d v="2020-06-28T00:00:00"/>
    <x v="1"/>
    <x v="2"/>
  </r>
  <r>
    <n v="1168"/>
    <s v="Lindsay Jackson"/>
    <s v="manheim"/>
    <x v="0"/>
    <n v="13711"/>
    <x v="27"/>
    <d v="2021-06-24T00:00:00"/>
    <x v="1"/>
    <x v="2"/>
  </r>
  <r>
    <n v="1169"/>
    <s v="Lindsey Draine"/>
    <s v="marietta"/>
    <x v="0"/>
    <n v="17005"/>
    <x v="528"/>
    <d v="2023-11-23T00:00:00"/>
    <x v="1"/>
    <x v="2"/>
  </r>
  <r>
    <n v="1170"/>
    <s v="Lindsey Forman"/>
    <s v="pottstown"/>
    <x v="0"/>
    <n v="17161"/>
    <x v="529"/>
    <d v="2026-02-11T00:00:00"/>
    <x v="0"/>
    <x v="4"/>
  </r>
  <r>
    <n v="1171"/>
    <s v="Lindsey Gageby"/>
    <s v="lititz"/>
    <x v="0"/>
    <n v="13708"/>
    <x v="27"/>
    <d v="2027-06-24T00:00:00"/>
    <x v="0"/>
    <x v="2"/>
  </r>
  <r>
    <n v="1172"/>
    <s v="Lindsey Henrick"/>
    <s v="norristown"/>
    <x v="0"/>
    <n v="13465"/>
    <x v="530"/>
    <d v="2027-05-31T00:00:00"/>
    <x v="0"/>
    <x v="5"/>
  </r>
  <r>
    <n v="1173"/>
    <s v="Lisa Bickelman"/>
    <s v="pottsville"/>
    <x v="0"/>
    <n v="10154"/>
    <x v="369"/>
    <d v="2027-06-10T00:00:00"/>
    <x v="0"/>
    <x v="0"/>
  </r>
  <r>
    <n v="1174"/>
    <s v="Lisa Bickelman"/>
    <s v="pottsville"/>
    <x v="1"/>
    <n v="10154"/>
    <x v="531"/>
    <d v="2027-06-17T00:00:00"/>
    <x v="0"/>
    <x v="0"/>
  </r>
  <r>
    <n v="1175"/>
    <s v="Lisa Bumm"/>
    <s v="levittown"/>
    <x v="1"/>
    <n v="13452"/>
    <x v="532"/>
    <d v="2021-05-28T00:00:00"/>
    <x v="1"/>
    <x v="7"/>
  </r>
  <r>
    <n v="1176"/>
    <s v="Lisa Dalantinow"/>
    <s v="southampton"/>
    <x v="1"/>
    <n v="12476"/>
    <x v="321"/>
    <d v="2025-12-19T00:00:00"/>
    <x v="0"/>
    <x v="7"/>
  </r>
  <r>
    <n v="1177"/>
    <s v="Lisa Fuller"/>
    <s v="reading"/>
    <x v="0"/>
    <n v="9654"/>
    <x v="194"/>
    <d v="2024-06-16T00:00:00"/>
    <x v="1"/>
    <x v="1"/>
  </r>
  <r>
    <n v="1178"/>
    <s v="Lisa Harvey"/>
    <s v="philadelphia"/>
    <x v="0"/>
    <n v="14414"/>
    <x v="84"/>
    <d v="2021-08-20T00:00:00"/>
    <x v="1"/>
    <x v="6"/>
  </r>
  <r>
    <n v="1179"/>
    <s v="Lisa Hutt"/>
    <s v="philadelphia"/>
    <x v="0"/>
    <n v="13920"/>
    <x v="273"/>
    <d v="2025-09-22T00:00:00"/>
    <x v="0"/>
    <x v="6"/>
  </r>
  <r>
    <n v="1180"/>
    <s v="Lisa Juris"/>
    <s v="new hope"/>
    <x v="0"/>
    <n v="12691"/>
    <x v="127"/>
    <d v="2023-01-09T00:00:00"/>
    <x v="1"/>
    <x v="7"/>
  </r>
  <r>
    <n v="1181"/>
    <s v="Lisa Rogers"/>
    <s v="croydon"/>
    <x v="0"/>
    <n v="21866"/>
    <x v="533"/>
    <d v="2027-04-22T00:00:00"/>
    <x v="0"/>
    <x v="7"/>
  </r>
  <r>
    <n v="1182"/>
    <s v="Lisa Rossano"/>
    <s v="cheltenham"/>
    <x v="0"/>
    <n v="15347"/>
    <x v="94"/>
    <d v="2026-07-29T00:00:00"/>
    <x v="0"/>
    <x v="5"/>
  </r>
  <r>
    <n v="1183"/>
    <s v="Lisa Wright"/>
    <s v="dublin"/>
    <x v="0"/>
    <n v="19131"/>
    <x v="534"/>
    <d v="2025-09-08T00:00:00"/>
    <x v="0"/>
    <x v="7"/>
  </r>
  <r>
    <n v="1184"/>
    <s v="Lizandra Torres-Lebron"/>
    <s v="philadelphia"/>
    <x v="0"/>
    <n v="21851"/>
    <x v="535"/>
    <d v="2027-04-15T00:00:00"/>
    <x v="0"/>
    <x v="6"/>
  </r>
  <r>
    <n v="1185"/>
    <s v="Liznamir  Corchado Martinez"/>
    <s v="philadelphia"/>
    <x v="1"/>
    <n v="18595"/>
    <x v="299"/>
    <d v="2027-05-10T00:00:00"/>
    <x v="0"/>
    <x v="6"/>
  </r>
  <r>
    <n v="1186"/>
    <s v="Lois Marino"/>
    <s v="philadelphia"/>
    <x v="0"/>
    <n v="17303"/>
    <x v="157"/>
    <d v="2024-04-05T00:00:00"/>
    <x v="1"/>
    <x v="6"/>
  </r>
  <r>
    <n v="1187"/>
    <s v="Lorene Green"/>
    <s v="philadelphia"/>
    <x v="0"/>
    <n v="11041"/>
    <x v="156"/>
    <d v="2020-04-13T00:00:00"/>
    <x v="1"/>
    <x v="6"/>
  </r>
  <r>
    <n v="1188"/>
    <s v="Loretta Levy"/>
    <s v="philadelphia"/>
    <x v="0"/>
    <n v="8687"/>
    <x v="96"/>
    <d v="2015-11-25T00:00:00"/>
    <x v="1"/>
    <x v="6"/>
  </r>
  <r>
    <n v="1189"/>
    <s v="Loretta Mazzoni"/>
    <s v="philadelphia"/>
    <x v="0"/>
    <n v="17854"/>
    <x v="536"/>
    <d v="2024-09-25T00:00:00"/>
    <x v="2"/>
    <x v="6"/>
  </r>
  <r>
    <n v="1190"/>
    <s v="Loretta Mazzoni"/>
    <s v="philadelphia"/>
    <x v="1"/>
    <n v="17854"/>
    <x v="537"/>
    <d v="2024-09-28T00:00:00"/>
    <x v="2"/>
    <x v="6"/>
  </r>
  <r>
    <n v="1191"/>
    <s v="Lori Davidson"/>
    <s v="pottstown"/>
    <x v="1"/>
    <n v="20066"/>
    <x v="538"/>
    <d v="2026-03-31T00:00:00"/>
    <x v="0"/>
    <x v="4"/>
  </r>
  <r>
    <n v="1192"/>
    <s v="Lori Fallon"/>
    <s v="columbia"/>
    <x v="0"/>
    <n v="10349"/>
    <x v="176"/>
    <d v="2025-08-28T00:00:00"/>
    <x v="0"/>
    <x v="2"/>
  </r>
  <r>
    <n v="1193"/>
    <s v="Lori Oliver"/>
    <s v="horsham"/>
    <x v="0"/>
    <n v="7621"/>
    <x v="482"/>
    <d v="2014-09-10T00:00:00"/>
    <x v="1"/>
    <x v="5"/>
  </r>
  <r>
    <n v="1194"/>
    <s v="Lori Rees"/>
    <s v="mohnton"/>
    <x v="0"/>
    <n v="9883"/>
    <x v="50"/>
    <d v="2018-10-27T00:00:00"/>
    <x v="1"/>
    <x v="1"/>
  </r>
  <r>
    <n v="1195"/>
    <s v="Lorraine Beckett"/>
    <s v="philadelphia"/>
    <x v="0"/>
    <n v="19777"/>
    <x v="539"/>
    <d v="2026-01-29T00:00:00"/>
    <x v="0"/>
    <x v="6"/>
  </r>
  <r>
    <n v="1196"/>
    <s v="Lorraine Tortorice"/>
    <s v="philadelphia"/>
    <x v="1"/>
    <n v="21859"/>
    <x v="540"/>
    <d v="2027-04-17T00:00:00"/>
    <x v="0"/>
    <x v="6"/>
  </r>
  <r>
    <n v="1197"/>
    <s v="Louis Farber"/>
    <s v="philadelphia"/>
    <x v="0"/>
    <n v="14413"/>
    <x v="84"/>
    <d v="2025-08-20T00:00:00"/>
    <x v="0"/>
    <x v="6"/>
  </r>
  <r>
    <n v="1198"/>
    <s v="Louis Fasone"/>
    <s v="philadelphia"/>
    <x v="0"/>
    <n v="14944"/>
    <x v="110"/>
    <d v="2021-12-19T00:00:00"/>
    <x v="1"/>
    <x v="6"/>
  </r>
  <r>
    <n v="1199"/>
    <s v="Lovada Washington"/>
    <s v="philadelphia"/>
    <x v="0"/>
    <n v="17994"/>
    <x v="541"/>
    <d v="2024-11-01T00:00:00"/>
    <x v="2"/>
    <x v="6"/>
  </r>
  <r>
    <n v="1200"/>
    <s v="Lucia Rhoades"/>
    <s v="bensalem"/>
    <x v="1"/>
    <n v="21272"/>
    <x v="317"/>
    <d v="2026-12-17T00:00:00"/>
    <x v="0"/>
    <x v="7"/>
  </r>
  <r>
    <n v="1201"/>
    <s v="Lucy Gehan"/>
    <s v="philadelphia"/>
    <x v="0"/>
    <n v="11316"/>
    <x v="542"/>
    <d v="2026-04-13T00:00:00"/>
    <x v="0"/>
    <x v="6"/>
  </r>
  <r>
    <n v="1202"/>
    <s v="Luis Planas"/>
    <s v="reading"/>
    <x v="0"/>
    <n v="12567"/>
    <x v="49"/>
    <d v="2020-12-11T00:00:00"/>
    <x v="1"/>
    <x v="1"/>
  </r>
  <r>
    <n v="1203"/>
    <s v="Luis Quinones"/>
    <s v="philadelphia"/>
    <x v="0"/>
    <n v="21004"/>
    <x v="300"/>
    <d v="2026-10-22T00:00:00"/>
    <x v="0"/>
    <x v="6"/>
  </r>
  <r>
    <n v="1204"/>
    <s v="Luis Quinones"/>
    <s v="philadelphia"/>
    <x v="1"/>
    <n v="21004"/>
    <x v="141"/>
    <d v="2026-10-16T00:00:00"/>
    <x v="0"/>
    <x v="6"/>
  </r>
  <r>
    <n v="1205"/>
    <s v="Luis Ramos Soto"/>
    <s v="philadelphia"/>
    <x v="0"/>
    <n v="13008"/>
    <x v="257"/>
    <d v="2024-10-15T00:00:00"/>
    <x v="2"/>
    <x v="6"/>
  </r>
  <r>
    <n v="1206"/>
    <s v="Luke  Gorman"/>
    <s v="glen mills"/>
    <x v="0"/>
    <n v="19927"/>
    <x v="543"/>
    <d v="2026-02-21T00:00:00"/>
    <x v="0"/>
    <x v="3"/>
  </r>
  <r>
    <n v="1207"/>
    <s v="Luke Enge"/>
    <s v="philadelphia"/>
    <x v="0"/>
    <n v="17351"/>
    <x v="544"/>
    <d v="2024-04-18T00:00:00"/>
    <x v="1"/>
    <x v="6"/>
  </r>
  <r>
    <n v="1208"/>
    <s v="Luke Soriano"/>
    <s v="philadelphia"/>
    <x v="0"/>
    <n v="17749"/>
    <x v="545"/>
    <d v="2026-08-13T00:00:00"/>
    <x v="0"/>
    <x v="6"/>
  </r>
  <r>
    <n v="1209"/>
    <s v="Lydia Spence"/>
    <s v="morrisville"/>
    <x v="0"/>
    <n v="13744"/>
    <x v="139"/>
    <d v="2021-06-25T00:00:00"/>
    <x v="1"/>
    <x v="7"/>
  </r>
  <r>
    <n v="1210"/>
    <s v="Lydia Walker"/>
    <s v="norristown"/>
    <x v="0"/>
    <n v="18557"/>
    <x v="25"/>
    <d v="2027-06-21T00:00:00"/>
    <x v="0"/>
    <x v="5"/>
  </r>
  <r>
    <n v="1211"/>
    <s v="Lydia Walker"/>
    <s v="norristown"/>
    <x v="1"/>
    <n v="18557"/>
    <x v="413"/>
    <d v="2027-05-01T00:00:00"/>
    <x v="0"/>
    <x v="5"/>
  </r>
  <r>
    <n v="1212"/>
    <s v="Lynda  Jones"/>
    <s v="richlandtown"/>
    <x v="0"/>
    <n v="11995"/>
    <x v="10"/>
    <d v="2020-08-01T00:00:00"/>
    <x v="1"/>
    <x v="7"/>
  </r>
  <r>
    <n v="1213"/>
    <s v="Lyndsey Maisey"/>
    <s v="bensalem"/>
    <x v="0"/>
    <n v="14417"/>
    <x v="84"/>
    <d v="2023-08-20T00:00:00"/>
    <x v="1"/>
    <x v="7"/>
  </r>
  <r>
    <n v="1214"/>
    <s v="Lyndsey Maisey"/>
    <s v="bensalem"/>
    <x v="1"/>
    <n v="14417"/>
    <x v="199"/>
    <d v="2023-03-31T00:00:00"/>
    <x v="1"/>
    <x v="7"/>
  </r>
  <r>
    <n v="1215"/>
    <s v="Lynette Smith"/>
    <s v="philadelphia"/>
    <x v="0"/>
    <n v="9450"/>
    <x v="150"/>
    <d v="2017-12-08T00:00:00"/>
    <x v="1"/>
    <x v="6"/>
  </r>
  <r>
    <n v="1216"/>
    <s v="Lynn Schaffer Koller"/>
    <s v="millersville"/>
    <x v="0"/>
    <n v="20533"/>
    <x v="546"/>
    <d v="2026-07-05T00:00:00"/>
    <x v="0"/>
    <x v="2"/>
  </r>
  <r>
    <n v="1217"/>
    <s v="Lynn Schaffer Koller"/>
    <s v="millersville"/>
    <x v="1"/>
    <n v="20533"/>
    <x v="547"/>
    <d v="2026-07-02T00:00:00"/>
    <x v="0"/>
    <x v="2"/>
  </r>
  <r>
    <n v="1218"/>
    <s v="M. Terase Boyer"/>
    <s v="pottstown"/>
    <x v="0"/>
    <n v="12355"/>
    <x v="74"/>
    <d v="2020-09-26T00:00:00"/>
    <x v="1"/>
    <x v="4"/>
  </r>
  <r>
    <n v="1219"/>
    <s v="MaChere Chiles"/>
    <s v="philadelphia"/>
    <x v="1"/>
    <n v="19966"/>
    <x v="548"/>
    <d v="2026-03-04T00:00:00"/>
    <x v="0"/>
    <x v="6"/>
  </r>
  <r>
    <n v="1220"/>
    <s v="Makaila Davis"/>
    <s v="philadelphia"/>
    <x v="0"/>
    <n v="16971"/>
    <x v="549"/>
    <d v="2025-11-08T00:00:00"/>
    <x v="0"/>
    <x v="6"/>
  </r>
  <r>
    <n v="1221"/>
    <s v="Makaila Davis"/>
    <s v="philadelphia"/>
    <x v="1"/>
    <n v="16971"/>
    <x v="124"/>
    <d v="2025-11-08T00:00:00"/>
    <x v="0"/>
    <x v="6"/>
  </r>
  <r>
    <n v="1222"/>
    <s v="Makiea Shields"/>
    <s v="philadelphia"/>
    <x v="0"/>
    <n v="14760"/>
    <x v="224"/>
    <d v="2021-11-01T00:00:00"/>
    <x v="1"/>
    <x v="6"/>
  </r>
  <r>
    <n v="1223"/>
    <s v="Malcolm Harris"/>
    <s v="lansdowne"/>
    <x v="0"/>
    <n v="8324"/>
    <x v="81"/>
    <d v="2017-02-20T00:00:00"/>
    <x v="1"/>
    <x v="3"/>
  </r>
  <r>
    <n v="1224"/>
    <s v="Malika Sanda"/>
    <s v="bristol"/>
    <x v="0"/>
    <n v="8976"/>
    <x v="73"/>
    <d v="2018-07-29T00:00:00"/>
    <x v="1"/>
    <x v="7"/>
  </r>
  <r>
    <n v="1225"/>
    <s v="Mandy Beer"/>
    <s v="sellersville"/>
    <x v="0"/>
    <n v="11704"/>
    <x v="104"/>
    <d v="2026-06-21T00:00:00"/>
    <x v="0"/>
    <x v="7"/>
  </r>
  <r>
    <n v="1226"/>
    <s v="Manuel Roman"/>
    <s v="lancaster"/>
    <x v="0"/>
    <n v="13718"/>
    <x v="27"/>
    <d v="2021-06-24T00:00:00"/>
    <x v="1"/>
    <x v="2"/>
  </r>
  <r>
    <n v="1227"/>
    <s v="Marc Fidler"/>
    <s v="reading"/>
    <x v="0"/>
    <n v="17769"/>
    <x v="82"/>
    <d v="2024-08-18T00:00:00"/>
    <x v="2"/>
    <x v="1"/>
  </r>
  <r>
    <n v="1228"/>
    <s v="Marc Jackson"/>
    <s v="reading"/>
    <x v="0"/>
    <n v="9879"/>
    <x v="50"/>
    <d v="2018-10-27T00:00:00"/>
    <x v="1"/>
    <x v="1"/>
  </r>
  <r>
    <n v="1229"/>
    <s v="Marc Palmer"/>
    <s v="manheim"/>
    <x v="0"/>
    <n v="17487"/>
    <x v="550"/>
    <d v="2026-07-07T00:00:00"/>
    <x v="0"/>
    <x v="2"/>
  </r>
  <r>
    <n v="1230"/>
    <s v="Marc Palmer"/>
    <s v="manheim"/>
    <x v="1"/>
    <n v="17487"/>
    <x v="428"/>
    <d v="2026-07-01T00:00:00"/>
    <x v="0"/>
    <x v="2"/>
  </r>
  <r>
    <n v="1231"/>
    <s v="Marc Prezioso"/>
    <s v="columbia"/>
    <x v="0"/>
    <n v="13716"/>
    <x v="27"/>
    <d v="2021-06-24T00:00:00"/>
    <x v="1"/>
    <x v="2"/>
  </r>
  <r>
    <n v="1232"/>
    <s v="Marc Willig"/>
    <s v="doylestown"/>
    <x v="0"/>
    <n v="8565"/>
    <x v="71"/>
    <d v="2025-07-30T00:00:00"/>
    <x v="0"/>
    <x v="7"/>
  </r>
  <r>
    <n v="1233"/>
    <s v="Marc Willig"/>
    <s v="doylestown"/>
    <x v="1"/>
    <n v="8565"/>
    <x v="121"/>
    <d v="2024-02-26T00:00:00"/>
    <x v="1"/>
    <x v="7"/>
  </r>
  <r>
    <n v="1234"/>
    <s v="Marcey Canalichio"/>
    <s v="philadelphia"/>
    <x v="0"/>
    <n v="16852"/>
    <x v="273"/>
    <d v="2023-09-22T00:00:00"/>
    <x v="1"/>
    <x v="6"/>
  </r>
  <r>
    <n v="1235"/>
    <s v="Marcus Anderson"/>
    <s v="philadelphia"/>
    <x v="0"/>
    <n v="7339"/>
    <x v="178"/>
    <d v="2013-09-12T00:00:00"/>
    <x v="1"/>
    <x v="6"/>
  </r>
  <r>
    <n v="1236"/>
    <s v="Marcus Platco"/>
    <s v="pottstown"/>
    <x v="0"/>
    <n v="15861"/>
    <x v="328"/>
    <d v="2025-01-15T00:00:00"/>
    <x v="2"/>
    <x v="4"/>
  </r>
  <r>
    <n v="1237"/>
    <s v="Margaret Baldwin Long"/>
    <s v="blandon"/>
    <x v="0"/>
    <n v="8860"/>
    <x v="123"/>
    <d v="2024-05-15T00:00:00"/>
    <x v="1"/>
    <x v="1"/>
  </r>
  <r>
    <n v="1238"/>
    <s v="Margaret Beavers"/>
    <s v="hatboro"/>
    <x v="1"/>
    <n v="17642"/>
    <x v="551"/>
    <d v="2024-07-14T00:00:00"/>
    <x v="2"/>
    <x v="5"/>
  </r>
  <r>
    <n v="1239"/>
    <s v="Margaret Campanaro"/>
    <s v="richboro"/>
    <x v="0"/>
    <n v="20501"/>
    <x v="68"/>
    <d v="2026-06-26T00:00:00"/>
    <x v="0"/>
    <x v="7"/>
  </r>
  <r>
    <n v="1240"/>
    <s v="Margaret Doyle"/>
    <s v="reading"/>
    <x v="0"/>
    <n v="21077"/>
    <x v="552"/>
    <d v="2026-11-02T00:00:00"/>
    <x v="0"/>
    <x v="1"/>
  </r>
  <r>
    <n v="1241"/>
    <s v="Margaret Marron"/>
    <s v="hatboro"/>
    <x v="1"/>
    <n v="13300"/>
    <x v="553"/>
    <d v="2021-05-10T00:00:00"/>
    <x v="1"/>
    <x v="5"/>
  </r>
  <r>
    <n v="1242"/>
    <s v="Margaret Murphy"/>
    <s v="reading"/>
    <x v="0"/>
    <n v="9882"/>
    <x v="50"/>
    <d v="2018-10-27T00:00:00"/>
    <x v="1"/>
    <x v="1"/>
  </r>
  <r>
    <n v="1243"/>
    <s v="Margaret Murphy"/>
    <s v="lansdowne"/>
    <x v="0"/>
    <n v="17298"/>
    <x v="205"/>
    <d v="2026-10-15T00:00:00"/>
    <x v="0"/>
    <x v="3"/>
  </r>
  <r>
    <n v="1244"/>
    <s v="Margaret O'Neill"/>
    <s v="philadelphia"/>
    <x v="0"/>
    <n v="17306"/>
    <x v="157"/>
    <d v="2024-04-05T00:00:00"/>
    <x v="1"/>
    <x v="6"/>
  </r>
  <r>
    <n v="1245"/>
    <s v="Margaret Spor"/>
    <s v="bristol"/>
    <x v="0"/>
    <n v="11714"/>
    <x v="104"/>
    <d v="2026-06-21T00:00:00"/>
    <x v="0"/>
    <x v="7"/>
  </r>
  <r>
    <n v="1246"/>
    <s v="Margery Craig"/>
    <s v="prospect park"/>
    <x v="1"/>
    <n v="15803"/>
    <x v="554"/>
    <d v="2023-01-01T00:00:00"/>
    <x v="1"/>
    <x v="3"/>
  </r>
  <r>
    <n v="1247"/>
    <s v="Maria Cintron"/>
    <s v="philadelphia"/>
    <x v="0"/>
    <n v="7343"/>
    <x v="178"/>
    <d v="2013-09-12T00:00:00"/>
    <x v="1"/>
    <x v="6"/>
  </r>
  <r>
    <n v="1248"/>
    <s v="Maria Collazo"/>
    <s v="temple"/>
    <x v="0"/>
    <n v="10297"/>
    <x v="149"/>
    <d v="2019-06-29T00:00:00"/>
    <x v="1"/>
    <x v="1"/>
  </r>
  <r>
    <n v="1249"/>
    <s v="Maria Garcia"/>
    <s v="temple"/>
    <x v="0"/>
    <n v="8977"/>
    <x v="253"/>
    <d v="2020-08-01T00:00:00"/>
    <x v="1"/>
    <x v="1"/>
  </r>
  <r>
    <n v="1250"/>
    <s v="Maria Kelly"/>
    <s v="doylestown"/>
    <x v="0"/>
    <n v="9722"/>
    <x v="109"/>
    <d v="2018-07-20T00:00:00"/>
    <x v="1"/>
    <x v="7"/>
  </r>
  <r>
    <n v="1251"/>
    <s v="Maria Monaco"/>
    <s v="levittown"/>
    <x v="0"/>
    <n v="9025"/>
    <x v="171"/>
    <d v="2016-09-23T00:00:00"/>
    <x v="1"/>
    <x v="7"/>
  </r>
  <r>
    <n v="1252"/>
    <s v="Marian Altman"/>
    <s v="levittown"/>
    <x v="0"/>
    <n v="15694"/>
    <x v="52"/>
    <d v="2022-12-07T00:00:00"/>
    <x v="1"/>
    <x v="7"/>
  </r>
  <r>
    <n v="1253"/>
    <s v="Marianne Lane"/>
    <s v="point pleasant"/>
    <x v="0"/>
    <n v="8557"/>
    <x v="71"/>
    <d v="2015-07-30T00:00:00"/>
    <x v="1"/>
    <x v="7"/>
  </r>
  <r>
    <n v="1254"/>
    <s v="Marie Datillo"/>
    <s v="glen mills"/>
    <x v="1"/>
    <n v="15738"/>
    <x v="555"/>
    <d v="2024-12-16T00:00:00"/>
    <x v="2"/>
    <x v="3"/>
  </r>
  <r>
    <n v="1255"/>
    <s v="Marie Kelly"/>
    <s v="philadelphia"/>
    <x v="0"/>
    <n v="14011"/>
    <x v="19"/>
    <d v="2021-07-24T00:00:00"/>
    <x v="1"/>
    <x v="6"/>
  </r>
  <r>
    <n v="1256"/>
    <s v="Marie Lewis"/>
    <s v="philadelphia"/>
    <x v="0"/>
    <n v="18769"/>
    <x v="25"/>
    <d v="2025-06-21T00:00:00"/>
    <x v="0"/>
    <x v="6"/>
  </r>
  <r>
    <n v="1257"/>
    <s v="Marion Martin"/>
    <s v="philadelphia"/>
    <x v="0"/>
    <n v="9446"/>
    <x v="150"/>
    <d v="2017-12-08T00:00:00"/>
    <x v="1"/>
    <x v="6"/>
  </r>
  <r>
    <n v="1258"/>
    <s v="Marisol Mayo"/>
    <s v="lancaster"/>
    <x v="0"/>
    <n v="12733"/>
    <x v="6"/>
    <d v="2021-01-14T00:00:00"/>
    <x v="1"/>
    <x v="2"/>
  </r>
  <r>
    <n v="1259"/>
    <s v="Marjorie Rand"/>
    <s v="philadelphia"/>
    <x v="0"/>
    <n v="14807"/>
    <x v="117"/>
    <d v="2021-11-18T00:00:00"/>
    <x v="1"/>
    <x v="6"/>
  </r>
  <r>
    <n v="1260"/>
    <s v="Mark Cain-Walther"/>
    <s v="chester"/>
    <x v="0"/>
    <n v="18905"/>
    <x v="487"/>
    <d v="2025-07-21T00:00:00"/>
    <x v="0"/>
    <x v="3"/>
  </r>
  <r>
    <n v="1261"/>
    <s v="Mark Copestakes"/>
    <s v="philadelphia"/>
    <x v="0"/>
    <n v="21772"/>
    <x v="556"/>
    <d v="2027-03-26T00:00:00"/>
    <x v="0"/>
    <x v="6"/>
  </r>
  <r>
    <n v="1262"/>
    <s v="Mark Doutt"/>
    <s v="willow street"/>
    <x v="0"/>
    <n v="17030"/>
    <x v="557"/>
    <d v="2023-12-11T00:00:00"/>
    <x v="1"/>
    <x v="2"/>
  </r>
  <r>
    <n v="1263"/>
    <s v="Mark Gosselin"/>
    <s v="reading"/>
    <x v="0"/>
    <n v="9053"/>
    <x v="558"/>
    <d v="2018-10-24T00:00:00"/>
    <x v="1"/>
    <x v="1"/>
  </r>
  <r>
    <n v="1264"/>
    <s v="Mark Kane"/>
    <s v="philadelphia"/>
    <x v="0"/>
    <n v="18768"/>
    <x v="25"/>
    <d v="2025-06-21T00:00:00"/>
    <x v="0"/>
    <x v="6"/>
  </r>
  <r>
    <n v="1265"/>
    <s v="Mark McKnight"/>
    <s v="doylestown"/>
    <x v="0"/>
    <n v="8477"/>
    <x v="355"/>
    <d v="2015-06-01T00:00:00"/>
    <x v="1"/>
    <x v="7"/>
  </r>
  <r>
    <n v="1266"/>
    <s v="Mark Reese"/>
    <s v="tamaqua"/>
    <x v="1"/>
    <n v="15811"/>
    <x v="559"/>
    <d v="2023-01-05T00:00:00"/>
    <x v="1"/>
    <x v="0"/>
  </r>
  <r>
    <n v="1267"/>
    <s v="Markecia Anderson"/>
    <s v="philadelphia"/>
    <x v="1"/>
    <n v="21360"/>
    <x v="560"/>
    <d v="2027-01-11T00:00:00"/>
    <x v="0"/>
    <x v="6"/>
  </r>
  <r>
    <n v="1268"/>
    <s v="Markecia Anderson"/>
    <s v="philadelphia"/>
    <x v="2"/>
    <n v="21360"/>
    <x v="561"/>
    <d v="2027-01-12T00:00:00"/>
    <x v="0"/>
    <x v="6"/>
  </r>
  <r>
    <n v="1269"/>
    <s v="Marla McNulty"/>
    <s v="norristown"/>
    <x v="0"/>
    <n v="18489"/>
    <x v="114"/>
    <d v="2027-04-06T00:00:00"/>
    <x v="0"/>
    <x v="5"/>
  </r>
  <r>
    <n v="1270"/>
    <s v="Marlene Madison"/>
    <s v="doylestown"/>
    <x v="0"/>
    <n v="8559"/>
    <x v="71"/>
    <d v="2015-07-30T00:00:00"/>
    <x v="1"/>
    <x v="7"/>
  </r>
  <r>
    <n v="1271"/>
    <s v="Marlin Liggitt"/>
    <s v="hatfield"/>
    <x v="0"/>
    <n v="21973"/>
    <x v="98"/>
    <d v="2027-05-15T00:00:00"/>
    <x v="0"/>
    <x v="5"/>
  </r>
  <r>
    <n v="1272"/>
    <s v="Marta Coronado"/>
    <s v="philadelphia"/>
    <x v="0"/>
    <n v="7346"/>
    <x v="178"/>
    <d v="2011-09-12T00:00:00"/>
    <x v="1"/>
    <x v="6"/>
  </r>
  <r>
    <n v="1273"/>
    <s v="Marta Newstat"/>
    <s v="narberth"/>
    <x v="0"/>
    <n v="9780"/>
    <x v="280"/>
    <d v="2026-09-09T00:00:00"/>
    <x v="0"/>
    <x v="5"/>
  </r>
  <r>
    <n v="1274"/>
    <s v="Martha Rich"/>
    <s v="orwigsburg"/>
    <x v="0"/>
    <n v="9193"/>
    <x v="60"/>
    <d v="2017-05-20T00:00:00"/>
    <x v="1"/>
    <x v="0"/>
  </r>
  <r>
    <n v="1275"/>
    <s v="Martin Cunningham"/>
    <s v="wayne"/>
    <x v="0"/>
    <n v="14940"/>
    <x v="110"/>
    <d v="2021-12-19T00:00:00"/>
    <x v="1"/>
    <x v="3"/>
  </r>
  <r>
    <n v="1276"/>
    <s v="Martin Linville, II"/>
    <s v="philadelphia"/>
    <x v="0"/>
    <n v="12430"/>
    <x v="562"/>
    <d v="2026-10-23T00:00:00"/>
    <x v="0"/>
    <x v="6"/>
  </r>
  <r>
    <n v="1277"/>
    <s v="Martina Byrd"/>
    <s v="media"/>
    <x v="0"/>
    <n v="21161"/>
    <x v="563"/>
    <d v="2026-11-19T00:00:00"/>
    <x v="0"/>
    <x v="3"/>
  </r>
  <r>
    <n v="1278"/>
    <s v="Martina-Victoria Albulet"/>
    <s v="leesport"/>
    <x v="0"/>
    <n v="21569"/>
    <x v="67"/>
    <d v="2027-02-19T00:00:00"/>
    <x v="0"/>
    <x v="1"/>
  </r>
  <r>
    <n v="1279"/>
    <s v="Mary  Allen"/>
    <s v="lancaster"/>
    <x v="0"/>
    <n v="12714"/>
    <x v="6"/>
    <d v="2027-01-14T00:00:00"/>
    <x v="0"/>
    <x v="2"/>
  </r>
  <r>
    <n v="1280"/>
    <s v="Mary Duck"/>
    <s v="philadelphia"/>
    <x v="0"/>
    <n v="8635"/>
    <x v="323"/>
    <d v="2019-09-13T00:00:00"/>
    <x v="1"/>
    <x v="6"/>
  </r>
  <r>
    <n v="1281"/>
    <s v="Mary Franzoi"/>
    <s v="malvern"/>
    <x v="0"/>
    <n v="9602"/>
    <x v="15"/>
    <d v="2026-05-23T00:00:00"/>
    <x v="0"/>
    <x v="4"/>
  </r>
  <r>
    <n v="1282"/>
    <s v="Mary Franzoi"/>
    <s v="malvern"/>
    <x v="1"/>
    <n v="9602"/>
    <x v="564"/>
    <d v="2026-05-23T00:00:00"/>
    <x v="0"/>
    <x v="4"/>
  </r>
  <r>
    <n v="1283"/>
    <s v="Mary Hagen"/>
    <s v="doylestown"/>
    <x v="0"/>
    <n v="8707"/>
    <x v="216"/>
    <d v="2015-12-12T00:00:00"/>
    <x v="1"/>
    <x v="7"/>
  </r>
  <r>
    <n v="1284"/>
    <s v="Mary Halstead"/>
    <s v="leesport"/>
    <x v="0"/>
    <n v="1719"/>
    <x v="122"/>
    <d v="2026-01-10T00:00:00"/>
    <x v="0"/>
    <x v="1"/>
  </r>
  <r>
    <n v="1285"/>
    <s v="Mary LaCroix"/>
    <s v="shillington"/>
    <x v="0"/>
    <n v="20191"/>
    <x v="565"/>
    <d v="2026-04-30T00:00:00"/>
    <x v="0"/>
    <x v="1"/>
  </r>
  <r>
    <n v="1286"/>
    <s v="Mary McGarry"/>
    <s v="north wales"/>
    <x v="1"/>
    <n v="19426"/>
    <x v="566"/>
    <d v="2025-11-20T00:00:00"/>
    <x v="0"/>
    <x v="5"/>
  </r>
  <r>
    <n v="1287"/>
    <s v="Mary O'Donovan"/>
    <s v="drexel hill"/>
    <x v="0"/>
    <n v="15293"/>
    <x v="51"/>
    <d v="2024-06-30T00:00:00"/>
    <x v="4"/>
    <x v="3"/>
  </r>
  <r>
    <n v="1288"/>
    <s v="Mary Patricia Huhn"/>
    <s v="langhorne"/>
    <x v="0"/>
    <n v="9347"/>
    <x v="251"/>
    <d v="2025-09-11T00:00:00"/>
    <x v="0"/>
    <x v="7"/>
  </r>
  <r>
    <n v="1289"/>
    <s v="Mary Patricia Huhn"/>
    <s v="langhorne"/>
    <x v="1"/>
    <n v="9347"/>
    <x v="567"/>
    <d v="2025-09-11T00:00:00"/>
    <x v="0"/>
    <x v="7"/>
  </r>
  <r>
    <n v="1290"/>
    <s v="Mary Rubillo"/>
    <s v="aston"/>
    <x v="0"/>
    <n v="12001"/>
    <x v="10"/>
    <d v="2020-08-01T00:00:00"/>
    <x v="1"/>
    <x v="3"/>
  </r>
  <r>
    <n v="1291"/>
    <s v="Mary Swoyer-Larson"/>
    <s v="harleysville"/>
    <x v="1"/>
    <n v="20068"/>
    <x v="568"/>
    <d v="2026-04-01T00:00:00"/>
    <x v="0"/>
    <x v="5"/>
  </r>
  <r>
    <n v="1292"/>
    <s v="Mary Taylor"/>
    <s v="ferndale"/>
    <x v="0"/>
    <n v="9988"/>
    <x v="255"/>
    <d v="2023-01-11T00:00:00"/>
    <x v="1"/>
    <x v="7"/>
  </r>
  <r>
    <n v="1293"/>
    <s v="Mary Trimber"/>
    <s v="philadelphia"/>
    <x v="0"/>
    <n v="21780"/>
    <x v="569"/>
    <d v="2027-03-27T00:00:00"/>
    <x v="0"/>
    <x v="6"/>
  </r>
  <r>
    <n v="1294"/>
    <s v="Maryann DiPietro"/>
    <s v="horsham"/>
    <x v="0"/>
    <n v="9713"/>
    <x v="109"/>
    <d v="2018-07-20T00:00:00"/>
    <x v="1"/>
    <x v="5"/>
  </r>
  <r>
    <n v="1295"/>
    <s v="Maryann Nowicki"/>
    <s v="southampton"/>
    <x v="0"/>
    <n v="8709"/>
    <x v="216"/>
    <d v="2015-12-12T00:00:00"/>
    <x v="1"/>
    <x v="7"/>
  </r>
  <r>
    <n v="1296"/>
    <s v="Maryanna Freehoff"/>
    <s v="fairless hills"/>
    <x v="0"/>
    <n v="13737"/>
    <x v="139"/>
    <d v="2023-06-25T00:00:00"/>
    <x v="1"/>
    <x v="7"/>
  </r>
  <r>
    <n v="1297"/>
    <s v="Mary-Jo Donnelly"/>
    <s v="philadelphia"/>
    <x v="0"/>
    <n v="18508"/>
    <x v="570"/>
    <d v="2025-04-13T00:00:00"/>
    <x v="4"/>
    <x v="6"/>
  </r>
  <r>
    <n v="1298"/>
    <s v="Matthew Dixon"/>
    <s v="philadelphia"/>
    <x v="0"/>
    <n v="14006"/>
    <x v="19"/>
    <d v="2021-07-24T00:00:00"/>
    <x v="1"/>
    <x v="6"/>
  </r>
  <r>
    <n v="1299"/>
    <s v="Matthew Freda"/>
    <s v="southampton"/>
    <x v="0"/>
    <n v="11991"/>
    <x v="571"/>
    <d v="2026-01-15T00:00:00"/>
    <x v="0"/>
    <x v="7"/>
  </r>
  <r>
    <n v="1300"/>
    <s v="Matthew Helfrich"/>
    <s v="harleysville"/>
    <x v="0"/>
    <n v="19235"/>
    <x v="426"/>
    <d v="2025-10-03T00:00:00"/>
    <x v="0"/>
    <x v="5"/>
  </r>
  <r>
    <n v="1301"/>
    <s v="Matthew Jacobs"/>
    <s v="chester"/>
    <x v="0"/>
    <n v="18435"/>
    <x v="295"/>
    <d v="2025-03-20T00:00:00"/>
    <x v="2"/>
    <x v="3"/>
  </r>
  <r>
    <n v="1302"/>
    <s v="Matthew Johnson"/>
    <s v="coatesville"/>
    <x v="0"/>
    <n v="13844"/>
    <x v="52"/>
    <d v="2022-12-07T00:00:00"/>
    <x v="1"/>
    <x v="4"/>
  </r>
  <r>
    <n v="1303"/>
    <s v="Matthew Mackley"/>
    <s v="philadelphia"/>
    <x v="0"/>
    <n v="16147"/>
    <x v="572"/>
    <d v="2027-04-03T00:00:00"/>
    <x v="0"/>
    <x v="6"/>
  </r>
  <r>
    <n v="1304"/>
    <s v="Matthew MacLaughlin"/>
    <s v="exton"/>
    <x v="0"/>
    <n v="10004"/>
    <x v="48"/>
    <d v="2019-01-18T00:00:00"/>
    <x v="1"/>
    <x v="4"/>
  </r>
  <r>
    <n v="1305"/>
    <s v="Matthew McGahran"/>
    <s v="doylestown"/>
    <x v="1"/>
    <n v="18256"/>
    <x v="573"/>
    <d v="2025-01-26T00:00:00"/>
    <x v="2"/>
    <x v="7"/>
  </r>
  <r>
    <n v="1306"/>
    <s v="Matthew Quinn"/>
    <s v="feasterville trevose"/>
    <x v="0"/>
    <n v="15510"/>
    <x v="574"/>
    <d v="2024-01-16T00:00:00"/>
    <x v="1"/>
    <x v="7"/>
  </r>
  <r>
    <n v="1307"/>
    <s v="Matthew Setley"/>
    <s v="reading"/>
    <x v="0"/>
    <n v="21862"/>
    <x v="575"/>
    <d v="2027-04-20T00:00:00"/>
    <x v="0"/>
    <x v="1"/>
  </r>
  <r>
    <n v="1308"/>
    <s v="Matthew Shepherd"/>
    <s v="blandon"/>
    <x v="0"/>
    <n v="17099"/>
    <x v="576"/>
    <d v="2024-01-07T00:00:00"/>
    <x v="1"/>
    <x v="1"/>
  </r>
  <r>
    <n v="1309"/>
    <s v="Matthew Sloan"/>
    <s v="doylestown"/>
    <x v="0"/>
    <n v="9728"/>
    <x v="109"/>
    <d v="2018-07-20T00:00:00"/>
    <x v="1"/>
    <x v="7"/>
  </r>
  <r>
    <n v="1310"/>
    <s v="Matthew Stroup"/>
    <s v="collegeville"/>
    <x v="0"/>
    <n v="17554"/>
    <x v="577"/>
    <d v="2024-06-10T00:00:00"/>
    <x v="1"/>
    <x v="5"/>
  </r>
  <r>
    <n v="1311"/>
    <s v="Matthew Toth"/>
    <s v="lititz"/>
    <x v="0"/>
    <n v="10233"/>
    <x v="578"/>
    <d v="2021-06-17T00:00:00"/>
    <x v="1"/>
    <x v="2"/>
  </r>
  <r>
    <n v="1312"/>
    <s v="Maun Flanagan"/>
    <s v="levittown"/>
    <x v="0"/>
    <n v="8498"/>
    <x v="41"/>
    <d v="2023-06-25T00:00:00"/>
    <x v="1"/>
    <x v="7"/>
  </r>
  <r>
    <n v="1313"/>
    <s v="Maun Flanagan"/>
    <s v="levittown"/>
    <x v="1"/>
    <n v="8498"/>
    <x v="125"/>
    <d v="2023-06-25T00:00:00"/>
    <x v="1"/>
    <x v="7"/>
  </r>
  <r>
    <n v="1314"/>
    <s v="Maureen Campbell"/>
    <s v="philadelphia"/>
    <x v="0"/>
    <n v="14409"/>
    <x v="84"/>
    <d v="2021-08-20T00:00:00"/>
    <x v="1"/>
    <x v="6"/>
  </r>
  <r>
    <n v="1315"/>
    <s v="Maurice Murray"/>
    <s v="bensalem"/>
    <x v="0"/>
    <n v="8922"/>
    <x v="289"/>
    <d v="2026-06-26T00:00:00"/>
    <x v="0"/>
    <x v="7"/>
  </r>
  <r>
    <n v="1316"/>
    <s v="Maurice Murray"/>
    <s v="bensalem"/>
    <x v="1"/>
    <n v="8922"/>
    <x v="579"/>
    <d v="2026-06-26T00:00:00"/>
    <x v="0"/>
    <x v="7"/>
  </r>
  <r>
    <n v="1317"/>
    <s v="Max Fick"/>
    <s v="reading"/>
    <x v="0"/>
    <n v="9653"/>
    <x v="194"/>
    <d v="2022-06-16T00:00:00"/>
    <x v="1"/>
    <x v="1"/>
  </r>
  <r>
    <n v="1318"/>
    <s v="Maxwell Hamond"/>
    <s v="west chester"/>
    <x v="0"/>
    <n v="14240"/>
    <x v="195"/>
    <d v="2021-08-09T00:00:00"/>
    <x v="1"/>
    <x v="4"/>
  </r>
  <r>
    <n v="1319"/>
    <s v="Meagan Penrose"/>
    <s v="philadelphia"/>
    <x v="0"/>
    <n v="10034"/>
    <x v="134"/>
    <d v="2019-01-31T00:00:00"/>
    <x v="1"/>
    <x v="6"/>
  </r>
  <r>
    <n v="1320"/>
    <s v="Meek Rineer"/>
    <s v="willow street"/>
    <x v="1"/>
    <n v="9777"/>
    <x v="580"/>
    <d v="2026-08-15T00:00:00"/>
    <x v="0"/>
    <x v="2"/>
  </r>
  <r>
    <n v="1321"/>
    <s v="Megan  Zweifach"/>
    <s v="lancaster"/>
    <x v="1"/>
    <n v="21970"/>
    <x v="349"/>
    <d v="2027-05-16T00:00:00"/>
    <x v="0"/>
    <x v="2"/>
  </r>
  <r>
    <n v="1322"/>
    <s v="Megan Bannon"/>
    <s v="marcus hook"/>
    <x v="0"/>
    <n v="21441"/>
    <x v="508"/>
    <d v="2027-01-28T00:00:00"/>
    <x v="0"/>
    <x v="3"/>
  </r>
  <r>
    <n v="1323"/>
    <s v="Megan Hesson"/>
    <s v="philadelphia"/>
    <x v="0"/>
    <n v="18762"/>
    <x v="25"/>
    <d v="2025-06-21T00:00:00"/>
    <x v="0"/>
    <x v="6"/>
  </r>
  <r>
    <n v="1324"/>
    <s v="Megan Miller"/>
    <s v="sellersville"/>
    <x v="0"/>
    <n v="15966"/>
    <x v="581"/>
    <d v="2025-02-18T00:00:00"/>
    <x v="2"/>
    <x v="7"/>
  </r>
  <r>
    <n v="1325"/>
    <s v="Megan Santella"/>
    <s v="brookhaven"/>
    <x v="0"/>
    <n v="16853"/>
    <x v="273"/>
    <d v="2025-09-22T00:00:00"/>
    <x v="0"/>
    <x v="3"/>
  </r>
  <r>
    <n v="1326"/>
    <s v="Megan Santella"/>
    <s v="brookhaven"/>
    <x v="1"/>
    <n v="16853"/>
    <x v="582"/>
    <d v="2026-10-26T00:00:00"/>
    <x v="0"/>
    <x v="3"/>
  </r>
  <r>
    <n v="1327"/>
    <s v="Megan Swoboda"/>
    <s v="oxford"/>
    <x v="0"/>
    <n v="17437"/>
    <x v="485"/>
    <d v="2026-05-12T00:00:00"/>
    <x v="0"/>
    <x v="4"/>
  </r>
  <r>
    <n v="1328"/>
    <s v="Megan Swoboda"/>
    <s v="oxford"/>
    <x v="1"/>
    <n v="17437"/>
    <x v="485"/>
    <d v="2026-05-12T00:00:00"/>
    <x v="0"/>
    <x v="4"/>
  </r>
  <r>
    <n v="1329"/>
    <s v="Megan Welsh"/>
    <s v="mohnton"/>
    <x v="0"/>
    <n v="13591"/>
    <x v="332"/>
    <d v="2027-02-12T00:00:00"/>
    <x v="0"/>
    <x v="1"/>
  </r>
  <r>
    <n v="1330"/>
    <s v="Meghan McCullough"/>
    <s v="clifton heights"/>
    <x v="0"/>
    <n v="15517"/>
    <x v="181"/>
    <d v="2022-09-22T00:00:00"/>
    <x v="1"/>
    <x v="3"/>
  </r>
  <r>
    <n v="1331"/>
    <s v="Melanie  Schweser"/>
    <s v="philadelphia"/>
    <x v="0"/>
    <n v="21066"/>
    <x v="583"/>
    <d v="2026-11-12T00:00:00"/>
    <x v="0"/>
    <x v="6"/>
  </r>
  <r>
    <n v="1332"/>
    <s v="Melanie  Schweser"/>
    <s v="philadelphia"/>
    <x v="1"/>
    <n v="21066"/>
    <x v="584"/>
    <d v="2026-11-01T00:00:00"/>
    <x v="0"/>
    <x v="6"/>
  </r>
  <r>
    <n v="1333"/>
    <s v="Melanie Avila"/>
    <s v="millersville"/>
    <x v="1"/>
    <n v="19460"/>
    <x v="351"/>
    <d v="2025-11-27T00:00:00"/>
    <x v="0"/>
    <x v="2"/>
  </r>
  <r>
    <n v="1334"/>
    <s v="Melanie Zobian"/>
    <s v="west chester"/>
    <x v="0"/>
    <n v="15712"/>
    <x v="52"/>
    <d v="2022-12-07T00:00:00"/>
    <x v="1"/>
    <x v="4"/>
  </r>
  <r>
    <n v="1335"/>
    <s v="Melissa  Clark"/>
    <s v="philadelphia"/>
    <x v="0"/>
    <n v="20888"/>
    <x v="488"/>
    <d v="2026-09-25T00:00:00"/>
    <x v="0"/>
    <x v="6"/>
  </r>
  <r>
    <n v="1336"/>
    <s v="Melissa  Francis"/>
    <s v="philadelphia"/>
    <x v="0"/>
    <n v="20772"/>
    <x v="16"/>
    <d v="2026-08-29T00:00:00"/>
    <x v="0"/>
    <x v="6"/>
  </r>
  <r>
    <n v="1337"/>
    <s v="Melissa Alivernini-Hall"/>
    <s v="glenside"/>
    <x v="0"/>
    <n v="16994"/>
    <x v="372"/>
    <d v="2023-12-14T00:00:00"/>
    <x v="1"/>
    <x v="5"/>
  </r>
  <r>
    <n v="1338"/>
    <s v="Melissa Alivernini-Hall"/>
    <s v="glenside"/>
    <x v="1"/>
    <n v="16994"/>
    <x v="585"/>
    <d v="2023-11-19T00:00:00"/>
    <x v="1"/>
    <x v="5"/>
  </r>
  <r>
    <n v="1339"/>
    <s v="Melissa Brown"/>
    <s v="media"/>
    <x v="0"/>
    <n v="9977"/>
    <x v="255"/>
    <d v="2027-01-11T00:00:00"/>
    <x v="0"/>
    <x v="3"/>
  </r>
  <r>
    <n v="1340"/>
    <s v="Melissa Groden"/>
    <s v="horsham"/>
    <x v="1"/>
    <n v="15812"/>
    <x v="586"/>
    <d v="2027-01-06T00:00:00"/>
    <x v="0"/>
    <x v="5"/>
  </r>
  <r>
    <n v="1341"/>
    <s v="Melissa Harris"/>
    <s v="quakertown"/>
    <x v="0"/>
    <n v="9716"/>
    <x v="109"/>
    <d v="2022-07-20T00:00:00"/>
    <x v="1"/>
    <x v="7"/>
  </r>
  <r>
    <n v="1342"/>
    <s v="Melissa McCluskey"/>
    <s v="fleetwood"/>
    <x v="0"/>
    <n v="17046"/>
    <x v="55"/>
    <d v="2023-12-15T00:00:00"/>
    <x v="1"/>
    <x v="1"/>
  </r>
  <r>
    <n v="1343"/>
    <s v="Melissa Parris"/>
    <s v="philadelphia"/>
    <x v="0"/>
    <n v="16856"/>
    <x v="273"/>
    <d v="2025-09-22T00:00:00"/>
    <x v="0"/>
    <x v="6"/>
  </r>
  <r>
    <n v="1344"/>
    <s v="Melissa Reed"/>
    <s v="philadelphia"/>
    <x v="0"/>
    <n v="21040"/>
    <x v="159"/>
    <d v="2026-10-25T00:00:00"/>
    <x v="0"/>
    <x v="6"/>
  </r>
  <r>
    <n v="1345"/>
    <s v="Melissa Toth"/>
    <s v="levittown"/>
    <x v="0"/>
    <n v="16534"/>
    <x v="105"/>
    <d v="2023-06-25T00:00:00"/>
    <x v="1"/>
    <x v="7"/>
  </r>
  <r>
    <n v="1346"/>
    <s v="Melissa Wallace"/>
    <s v="reading"/>
    <x v="0"/>
    <n v="15030"/>
    <x v="122"/>
    <d v="2022-01-10T00:00:00"/>
    <x v="1"/>
    <x v="1"/>
  </r>
  <r>
    <n v="1347"/>
    <s v="Melodie Jackson"/>
    <s v="philadelphia"/>
    <x v="0"/>
    <n v="7771"/>
    <x v="264"/>
    <d v="2015-03-11T00:00:00"/>
    <x v="1"/>
    <x v="6"/>
  </r>
  <r>
    <n v="1348"/>
    <s v="Melodie McCredie"/>
    <s v="havertown"/>
    <x v="0"/>
    <n v="17884"/>
    <x v="587"/>
    <d v="2024-10-02T00:00:00"/>
    <x v="2"/>
    <x v="3"/>
  </r>
  <r>
    <n v="1349"/>
    <s v="Melody Schofield"/>
    <s v="philadelphia"/>
    <x v="0"/>
    <n v="9448"/>
    <x v="150"/>
    <d v="2019-12-08T00:00:00"/>
    <x v="1"/>
    <x v="6"/>
  </r>
  <r>
    <n v="1350"/>
    <s v="Mersadies Bonilla"/>
    <s v="philadelphia"/>
    <x v="0"/>
    <n v="13869"/>
    <x v="84"/>
    <d v="2023-08-20T00:00:00"/>
    <x v="1"/>
    <x v="6"/>
  </r>
  <r>
    <n v="1351"/>
    <s v="Michael  Andreacchio"/>
    <s v="shillington"/>
    <x v="0"/>
    <n v="17972"/>
    <x v="588"/>
    <d v="2026-10-20T00:00:00"/>
    <x v="0"/>
    <x v="1"/>
  </r>
  <r>
    <n v="1352"/>
    <s v="Michael Alston"/>
    <s v="philadelphia"/>
    <x v="0"/>
    <n v="8389"/>
    <x v="14"/>
    <d v="2015-04-29T00:00:00"/>
    <x v="1"/>
    <x v="6"/>
  </r>
  <r>
    <n v="1353"/>
    <s v="Michael Armstrong"/>
    <s v="bensalem"/>
    <x v="0"/>
    <n v="9536"/>
    <x v="61"/>
    <d v="2018-03-11T00:00:00"/>
    <x v="1"/>
    <x v="7"/>
  </r>
  <r>
    <n v="1354"/>
    <s v="Michael Babij"/>
    <s v="bensalem"/>
    <x v="0"/>
    <n v="10243"/>
    <x v="79"/>
    <d v="2019-06-22T00:00:00"/>
    <x v="1"/>
    <x v="7"/>
  </r>
  <r>
    <n v="1355"/>
    <s v="Michael Bentz"/>
    <s v="bechtelsville"/>
    <x v="0"/>
    <n v="22089"/>
    <x v="357"/>
    <d v="2027-06-05T00:00:00"/>
    <x v="0"/>
    <x v="1"/>
  </r>
  <r>
    <n v="1356"/>
    <s v="Michael Brajczewski"/>
    <s v="blue bell"/>
    <x v="1"/>
    <n v="16253"/>
    <x v="589"/>
    <d v="2025-05-19T00:00:00"/>
    <x v="2"/>
    <x v="5"/>
  </r>
  <r>
    <n v="1357"/>
    <s v="Michael Colbert"/>
    <s v="philadelphia"/>
    <x v="0"/>
    <n v="21196"/>
    <x v="590"/>
    <d v="2026-11-30T00:00:00"/>
    <x v="0"/>
    <x v="6"/>
  </r>
  <r>
    <n v="1358"/>
    <s v="Michael Dinnini"/>
    <s v="birdsboro"/>
    <x v="0"/>
    <n v="15768"/>
    <x v="221"/>
    <d v="2022-12-21T00:00:00"/>
    <x v="1"/>
    <x v="1"/>
  </r>
  <r>
    <n v="1359"/>
    <s v="Michael DiTommaso, Jr."/>
    <s v="levittown"/>
    <x v="0"/>
    <n v="8915"/>
    <x v="289"/>
    <d v="2018-06-26T00:00:00"/>
    <x v="1"/>
    <x v="7"/>
  </r>
  <r>
    <n v="1360"/>
    <s v="Michael Doyle"/>
    <s v="philadelphia"/>
    <x v="0"/>
    <n v="16153"/>
    <x v="105"/>
    <d v="2023-06-25T00:00:00"/>
    <x v="1"/>
    <x v="6"/>
  </r>
  <r>
    <n v="1361"/>
    <s v="Michael Doyle"/>
    <s v="philadelphia"/>
    <x v="1"/>
    <n v="16153"/>
    <x v="591"/>
    <d v="2023-04-05T00:00:00"/>
    <x v="1"/>
    <x v="6"/>
  </r>
  <r>
    <n v="1362"/>
    <s v="Michael Eller"/>
    <s v="reading"/>
    <x v="0"/>
    <n v="17624"/>
    <x v="592"/>
    <d v="2026-07-09T00:00:00"/>
    <x v="0"/>
    <x v="1"/>
  </r>
  <r>
    <n v="1363"/>
    <s v="Michael Elmer"/>
    <s v="adamstown"/>
    <x v="0"/>
    <n v="12724"/>
    <x v="6"/>
    <d v="2025-01-14T00:00:00"/>
    <x v="2"/>
    <x v="2"/>
  </r>
  <r>
    <n v="1364"/>
    <s v="Michael Fick"/>
    <s v="reading"/>
    <x v="0"/>
    <n v="13568"/>
    <x v="339"/>
    <d v="2021-06-14T00:00:00"/>
    <x v="1"/>
    <x v="1"/>
  </r>
  <r>
    <n v="1365"/>
    <s v="Michael Gottschalk"/>
    <s v="bristol"/>
    <x v="0"/>
    <n v="16130"/>
    <x v="105"/>
    <d v="2023-06-25T00:00:00"/>
    <x v="1"/>
    <x v="7"/>
  </r>
  <r>
    <n v="1366"/>
    <s v="Michael Gottschalk"/>
    <s v="bristol"/>
    <x v="1"/>
    <n v="16130"/>
    <x v="279"/>
    <d v="2023-03-29T00:00:00"/>
    <x v="1"/>
    <x v="7"/>
  </r>
  <r>
    <n v="1367"/>
    <s v="Michael Hanley"/>
    <s v="levittown"/>
    <x v="0"/>
    <n v="8918"/>
    <x v="289"/>
    <d v="2016-06-26T00:00:00"/>
    <x v="1"/>
    <x v="7"/>
  </r>
  <r>
    <n v="1368"/>
    <s v="Michael Hartley, Sr."/>
    <s v="philadelphia"/>
    <x v="0"/>
    <n v="15775"/>
    <x v="221"/>
    <d v="2024-12-21T00:00:00"/>
    <x v="2"/>
    <x v="6"/>
  </r>
  <r>
    <n v="1369"/>
    <s v="Michael Hrouda"/>
    <s v="bensalem"/>
    <x v="0"/>
    <n v="12901"/>
    <x v="593"/>
    <d v="2026-01-19T00:00:00"/>
    <x v="0"/>
    <x v="7"/>
  </r>
  <r>
    <n v="1370"/>
    <s v="Michael Johnson"/>
    <s v="philadelphia"/>
    <x v="0"/>
    <n v="19700"/>
    <x v="594"/>
    <d v="2026-01-09T00:00:00"/>
    <x v="0"/>
    <x v="6"/>
  </r>
  <r>
    <n v="1371"/>
    <s v="Michael Kennedy"/>
    <s v="downingtown"/>
    <x v="0"/>
    <n v="22018"/>
    <x v="480"/>
    <d v="2027-05-27T00:00:00"/>
    <x v="0"/>
    <x v="4"/>
  </r>
  <r>
    <n v="1372"/>
    <s v="Michael Leonard"/>
    <s v="philadelphia"/>
    <x v="0"/>
    <n v="16123"/>
    <x v="57"/>
    <d v="2025-03-25T00:00:00"/>
    <x v="2"/>
    <x v="6"/>
  </r>
  <r>
    <n v="1373"/>
    <s v="Michael Mancuso"/>
    <s v="bensalem"/>
    <x v="0"/>
    <n v="8156"/>
    <x v="595"/>
    <d v="2022-07-25T00:00:00"/>
    <x v="1"/>
    <x v="7"/>
  </r>
  <r>
    <n v="1374"/>
    <s v="Michael Mayo"/>
    <s v="philadelphia"/>
    <x v="0"/>
    <n v="20077"/>
    <x v="568"/>
    <d v="2026-04-01T00:00:00"/>
    <x v="0"/>
    <x v="6"/>
  </r>
  <r>
    <n v="1375"/>
    <s v="Michael Mckibbin"/>
    <s v="phoenixville"/>
    <x v="0"/>
    <n v="21174"/>
    <x v="596"/>
    <d v="2026-11-23T00:00:00"/>
    <x v="0"/>
    <x v="4"/>
  </r>
  <r>
    <n v="1376"/>
    <s v="Michael McLaughlin"/>
    <s v="philadelphia"/>
    <x v="0"/>
    <n v="16529"/>
    <x v="105"/>
    <d v="2025-06-25T00:00:00"/>
    <x v="0"/>
    <x v="6"/>
  </r>
  <r>
    <n v="1377"/>
    <s v="Michael Milbourne"/>
    <s v="philadelphia"/>
    <x v="0"/>
    <n v="17770"/>
    <x v="82"/>
    <d v="2024-08-18T00:00:00"/>
    <x v="2"/>
    <x v="6"/>
  </r>
  <r>
    <n v="1378"/>
    <s v="Michael Minauro"/>
    <s v="philadelphia"/>
    <x v="0"/>
    <n v="14418"/>
    <x v="84"/>
    <d v="2025-08-20T00:00:00"/>
    <x v="0"/>
    <x v="6"/>
  </r>
  <r>
    <n v="1379"/>
    <s v="Michael Minauro"/>
    <s v="philadelphia"/>
    <x v="2"/>
    <n v="14418"/>
    <x v="597"/>
    <d v="2025-08-20T00:00:00"/>
    <x v="0"/>
    <x v="6"/>
  </r>
  <r>
    <n v="1380"/>
    <s v="Michael Pascale"/>
    <s v="chester"/>
    <x v="0"/>
    <n v="20509"/>
    <x v="68"/>
    <d v="2026-06-26T00:00:00"/>
    <x v="0"/>
    <x v="3"/>
  </r>
  <r>
    <n v="1381"/>
    <s v="Michael Posivak"/>
    <s v="reading"/>
    <x v="0"/>
    <n v="10594"/>
    <x v="88"/>
    <d v="2023-12-12T00:00:00"/>
    <x v="1"/>
    <x v="1"/>
  </r>
  <r>
    <n v="1382"/>
    <s v="Michael Reese"/>
    <s v="reading"/>
    <x v="0"/>
    <n v="9192"/>
    <x v="60"/>
    <d v="2027-05-20T00:00:00"/>
    <x v="0"/>
    <x v="1"/>
  </r>
  <r>
    <n v="1383"/>
    <s v="Michael Reese"/>
    <s v="reading"/>
    <x v="1"/>
    <n v="9192"/>
    <x v="598"/>
    <d v="2027-05-19T00:00:00"/>
    <x v="0"/>
    <x v="1"/>
  </r>
  <r>
    <n v="1384"/>
    <s v="Michael Rodowitz"/>
    <s v="coaldale"/>
    <x v="0"/>
    <n v="10181"/>
    <x v="369"/>
    <d v="2023-06-10T00:00:00"/>
    <x v="1"/>
    <x v="0"/>
  </r>
  <r>
    <n v="1385"/>
    <s v="Michael Rodowitz"/>
    <s v="coaldale"/>
    <x v="1"/>
    <n v="10181"/>
    <x v="599"/>
    <d v="2023-06-18T00:00:00"/>
    <x v="1"/>
    <x v="0"/>
  </r>
  <r>
    <n v="1386"/>
    <s v="Michael Rowe"/>
    <s v="wyomissing"/>
    <x v="0"/>
    <n v="8335"/>
    <x v="287"/>
    <d v="2015-02-26T00:00:00"/>
    <x v="1"/>
    <x v="1"/>
  </r>
  <r>
    <n v="1387"/>
    <s v="Michael Schuette"/>
    <s v="exton"/>
    <x v="0"/>
    <n v="21179"/>
    <x v="600"/>
    <d v="2026-12-22T00:00:00"/>
    <x v="0"/>
    <x v="4"/>
  </r>
  <r>
    <n v="1388"/>
    <s v="Michael Schuette"/>
    <s v="exton"/>
    <x v="1"/>
    <n v="21179"/>
    <x v="601"/>
    <d v="2026-11-25T00:00:00"/>
    <x v="0"/>
    <x v="4"/>
  </r>
  <r>
    <n v="1389"/>
    <s v="Michael Seely"/>
    <s v="reading"/>
    <x v="0"/>
    <n v="13586"/>
    <x v="339"/>
    <d v="2021-06-14T00:00:00"/>
    <x v="1"/>
    <x v="1"/>
  </r>
  <r>
    <n v="1390"/>
    <s v="Michael Shapiro"/>
    <s v="philadelphia"/>
    <x v="0"/>
    <n v="17383"/>
    <x v="602"/>
    <d v="2024-04-22T00:00:00"/>
    <x v="1"/>
    <x v="6"/>
  </r>
  <r>
    <n v="1391"/>
    <s v="Michael Shaub"/>
    <s v="mountville"/>
    <x v="0"/>
    <n v="8926"/>
    <x v="289"/>
    <d v="2016-06-26T00:00:00"/>
    <x v="1"/>
    <x v="2"/>
  </r>
  <r>
    <n v="1392"/>
    <s v="Michael Smith"/>
    <s v="morrisville"/>
    <x v="0"/>
    <n v="8784"/>
    <x v="165"/>
    <d v="2016-03-12T00:00:00"/>
    <x v="1"/>
    <x v="7"/>
  </r>
  <r>
    <n v="1393"/>
    <s v="Michael Tirado"/>
    <s v="philadelphia"/>
    <x v="0"/>
    <n v="19735"/>
    <x v="603"/>
    <d v="2026-01-12T00:00:00"/>
    <x v="0"/>
    <x v="6"/>
  </r>
  <r>
    <n v="1394"/>
    <s v="Michael White"/>
    <s v="lancaster"/>
    <x v="0"/>
    <n v="17792"/>
    <x v="604"/>
    <d v="2024-08-29T00:00:00"/>
    <x v="2"/>
    <x v="2"/>
  </r>
  <r>
    <n v="1395"/>
    <s v="Michael White"/>
    <s v="manheim"/>
    <x v="0"/>
    <n v="20236"/>
    <x v="605"/>
    <d v="2026-05-08T00:00:00"/>
    <x v="0"/>
    <x v="2"/>
  </r>
  <r>
    <n v="1396"/>
    <s v="Michael Worthy"/>
    <s v="philadelphia"/>
    <x v="0"/>
    <n v="11343"/>
    <x v="135"/>
    <d v="2020-05-07T00:00:00"/>
    <x v="1"/>
    <x v="6"/>
  </r>
  <r>
    <n v="1397"/>
    <s v="Michele Fischer"/>
    <s v="coatesville"/>
    <x v="0"/>
    <n v="8392"/>
    <x v="14"/>
    <d v="2015-04-29T00:00:00"/>
    <x v="1"/>
    <x v="4"/>
  </r>
  <r>
    <n v="1398"/>
    <s v="Michele Pelusi"/>
    <s v="pottstown"/>
    <x v="0"/>
    <n v="8710"/>
    <x v="216"/>
    <d v="2017-12-12T00:00:00"/>
    <x v="1"/>
    <x v="4"/>
  </r>
  <r>
    <n v="1399"/>
    <s v="Michele Ryan"/>
    <s v="rehrersburg"/>
    <x v="0"/>
    <n v="15493"/>
    <x v="606"/>
    <d v="2022-09-17T00:00:00"/>
    <x v="1"/>
    <x v="1"/>
  </r>
  <r>
    <n v="1400"/>
    <s v="Michele Simons"/>
    <s v="pottstown"/>
    <x v="0"/>
    <n v="19428"/>
    <x v="566"/>
    <d v="2025-11-20T00:00:00"/>
    <x v="0"/>
    <x v="4"/>
  </r>
  <r>
    <n v="1401"/>
    <s v="Michele Symes"/>
    <s v="croydon"/>
    <x v="0"/>
    <n v="8277"/>
    <x v="89"/>
    <d v="2014-12-12T00:00:00"/>
    <x v="1"/>
    <x v="7"/>
  </r>
  <r>
    <n v="1402"/>
    <s v="Michell Weaver"/>
    <s v="reading"/>
    <x v="0"/>
    <n v="15017"/>
    <x v="122"/>
    <d v="2026-01-10T00:00:00"/>
    <x v="0"/>
    <x v="1"/>
  </r>
  <r>
    <n v="1403"/>
    <s v="Michelle  Eib"/>
    <s v="philadelphia"/>
    <x v="0"/>
    <n v="17391"/>
    <x v="607"/>
    <d v="2026-04-26T00:00:00"/>
    <x v="0"/>
    <x v="6"/>
  </r>
  <r>
    <n v="1404"/>
    <s v="Michelle  Kaniuk"/>
    <s v="philadelphia"/>
    <x v="0"/>
    <n v="16121"/>
    <x v="57"/>
    <d v="2025-03-25T00:00:00"/>
    <x v="2"/>
    <x v="6"/>
  </r>
  <r>
    <n v="1405"/>
    <s v="Michelle Billups"/>
    <s v="reading"/>
    <x v="0"/>
    <n v="8905"/>
    <x v="344"/>
    <d v="2018-06-25T00:00:00"/>
    <x v="1"/>
    <x v="1"/>
  </r>
  <r>
    <n v="1406"/>
    <s v="Michelle Cardillo"/>
    <s v="drexel hill"/>
    <x v="0"/>
    <n v="16986"/>
    <x v="608"/>
    <d v="2025-11-16T00:00:00"/>
    <x v="0"/>
    <x v="3"/>
  </r>
  <r>
    <n v="1407"/>
    <s v="Michelle Conrad"/>
    <s v="downingtown"/>
    <x v="0"/>
    <n v="9985"/>
    <x v="255"/>
    <d v="2027-01-11T00:00:00"/>
    <x v="0"/>
    <x v="4"/>
  </r>
  <r>
    <n v="1408"/>
    <s v="Michelle Deavitt"/>
    <s v="mohnton"/>
    <x v="0"/>
    <n v="20041"/>
    <x v="210"/>
    <d v="2026-03-25T00:00:00"/>
    <x v="0"/>
    <x v="1"/>
  </r>
  <r>
    <n v="1409"/>
    <s v="Michelle Friel"/>
    <s v="west chester"/>
    <x v="0"/>
    <n v="11707"/>
    <x v="104"/>
    <d v="2022-06-21T00:00:00"/>
    <x v="1"/>
    <x v="4"/>
  </r>
  <r>
    <n v="1410"/>
    <s v="Michelle Groff"/>
    <s v="boyertown"/>
    <x v="0"/>
    <n v="11681"/>
    <x v="2"/>
    <d v="2020-06-18T00:00:00"/>
    <x v="1"/>
    <x v="1"/>
  </r>
  <r>
    <n v="1411"/>
    <s v="Michelle Kaisinger"/>
    <s v="langhorne"/>
    <x v="0"/>
    <n v="8919"/>
    <x v="289"/>
    <d v="2020-06-26T00:00:00"/>
    <x v="1"/>
    <x v="7"/>
  </r>
  <r>
    <n v="1412"/>
    <s v="Michelle Kaisinger"/>
    <s v="langhorne"/>
    <x v="1"/>
    <n v="8919"/>
    <x v="609"/>
    <d v="2020-08-22T00:00:00"/>
    <x v="1"/>
    <x v="7"/>
  </r>
  <r>
    <n v="1413"/>
    <s v="Michelle Leister"/>
    <s v="trooper"/>
    <x v="0"/>
    <n v="15705"/>
    <x v="52"/>
    <d v="2024-12-07T00:00:00"/>
    <x v="2"/>
    <x v="5"/>
  </r>
  <r>
    <n v="1414"/>
    <s v="Michelle Lockhart"/>
    <s v="hatboro"/>
    <x v="0"/>
    <n v="16309"/>
    <x v="610"/>
    <d v="2027-06-04T00:00:00"/>
    <x v="0"/>
    <x v="5"/>
  </r>
  <r>
    <n v="1415"/>
    <s v="Michelle Simmons"/>
    <s v="norristown"/>
    <x v="0"/>
    <n v="7163"/>
    <x v="377"/>
    <d v="2026-11-15T00:00:00"/>
    <x v="0"/>
    <x v="5"/>
  </r>
  <r>
    <n v="1416"/>
    <s v="Michelle Simmons"/>
    <s v="norristown"/>
    <x v="1"/>
    <n v="7163"/>
    <x v="611"/>
    <d v="2026-11-15T00:00:00"/>
    <x v="0"/>
    <x v="5"/>
  </r>
  <r>
    <n v="1417"/>
    <s v="Miguel Santana"/>
    <s v="philadelphia"/>
    <x v="0"/>
    <n v="22102"/>
    <x v="1"/>
    <d v="2027-06-04T00:00:00"/>
    <x v="0"/>
    <x v="6"/>
  </r>
  <r>
    <n v="1418"/>
    <s v="Miguel Santiago"/>
    <s v="croydon"/>
    <x v="0"/>
    <n v="10267"/>
    <x v="79"/>
    <d v="2021-06-22T00:00:00"/>
    <x v="1"/>
    <x v="7"/>
  </r>
  <r>
    <n v="1419"/>
    <s v="Miguel Santiago"/>
    <s v="croydon"/>
    <x v="1"/>
    <n v="10267"/>
    <x v="37"/>
    <d v="2021-01-22T00:00:00"/>
    <x v="1"/>
    <x v="7"/>
  </r>
  <r>
    <n v="1420"/>
    <s v="Miles Jaworski"/>
    <s v="philadelphia"/>
    <x v="0"/>
    <n v="19308"/>
    <x v="612"/>
    <d v="2025-10-14T00:00:00"/>
    <x v="0"/>
    <x v="6"/>
  </r>
  <r>
    <n v="1421"/>
    <s v="Milton Jones"/>
    <s v="bala cynwyd"/>
    <x v="0"/>
    <n v="8763"/>
    <x v="613"/>
    <d v="2016-02-18T00:00:00"/>
    <x v="1"/>
    <x v="5"/>
  </r>
  <r>
    <n v="1422"/>
    <s v="Milton Myers"/>
    <s v="philadelphia"/>
    <x v="0"/>
    <n v="7899"/>
    <x v="614"/>
    <d v="2026-12-01T00:00:00"/>
    <x v="0"/>
    <x v="6"/>
  </r>
  <r>
    <n v="1423"/>
    <s v="Mimi Frames"/>
    <s v="philadelphia"/>
    <x v="0"/>
    <n v="21573"/>
    <x v="335"/>
    <d v="2027-02-15T00:00:00"/>
    <x v="0"/>
    <x v="6"/>
  </r>
  <r>
    <n v="1424"/>
    <s v="Miranda Gilleo"/>
    <s v="bristol"/>
    <x v="0"/>
    <n v="15698"/>
    <x v="52"/>
    <d v="2026-12-07T00:00:00"/>
    <x v="0"/>
    <x v="7"/>
  </r>
  <r>
    <n v="1425"/>
    <s v="Miriam Zamichieli"/>
    <s v="bristol"/>
    <x v="0"/>
    <n v="9730"/>
    <x v="109"/>
    <d v="2018-07-20T00:00:00"/>
    <x v="1"/>
    <x v="7"/>
  </r>
  <r>
    <n v="1426"/>
    <s v="Mitchell Rothstein"/>
    <s v="malvern"/>
    <x v="0"/>
    <n v="20327"/>
    <x v="169"/>
    <d v="2026-05-21T00:00:00"/>
    <x v="0"/>
    <x v="4"/>
  </r>
  <r>
    <n v="1427"/>
    <s v="Monda Mwaya"/>
    <s v="philadelphia"/>
    <x v="0"/>
    <n v="19737"/>
    <x v="615"/>
    <d v="2026-02-13T00:00:00"/>
    <x v="0"/>
    <x v="6"/>
  </r>
  <r>
    <n v="1428"/>
    <s v="Monda Mwaya"/>
    <s v="philadelphia"/>
    <x v="1"/>
    <n v="19737"/>
    <x v="616"/>
    <d v="2026-01-16T00:00:00"/>
    <x v="0"/>
    <x v="6"/>
  </r>
  <r>
    <n v="1429"/>
    <s v="Monica Anderson"/>
    <s v="philadelphia"/>
    <x v="0"/>
    <n v="9564"/>
    <x v="361"/>
    <d v="2018-04-06T00:00:00"/>
    <x v="1"/>
    <x v="6"/>
  </r>
  <r>
    <n v="1430"/>
    <s v="Monica Meddaugh"/>
    <s v="north wales"/>
    <x v="0"/>
    <n v="17243"/>
    <x v="617"/>
    <d v="2026-03-22T00:00:00"/>
    <x v="0"/>
    <x v="5"/>
  </r>
  <r>
    <n v="1431"/>
    <s v="Monica Meddaugh"/>
    <s v="north wales"/>
    <x v="1"/>
    <n v="17243"/>
    <x v="618"/>
    <d v="2026-03-17T00:00:00"/>
    <x v="0"/>
    <x v="5"/>
  </r>
  <r>
    <n v="1432"/>
    <s v="Monica Plummar"/>
    <s v="lancaster"/>
    <x v="0"/>
    <n v="9822"/>
    <x v="231"/>
    <d v="2025-08-15T00:00:00"/>
    <x v="0"/>
    <x v="2"/>
  </r>
  <r>
    <n v="1433"/>
    <s v="Monica Plummar"/>
    <s v="lancaster"/>
    <x v="1"/>
    <n v="9822"/>
    <x v="619"/>
    <d v="2025-07-11T00:00:00"/>
    <x v="0"/>
    <x v="2"/>
  </r>
  <r>
    <n v="1434"/>
    <s v="Monica Russup"/>
    <s v="tamaqua"/>
    <x v="0"/>
    <n v="13584"/>
    <x v="339"/>
    <d v="2021-06-14T00:00:00"/>
    <x v="3"/>
    <x v="0"/>
  </r>
  <r>
    <n v="1435"/>
    <s v="Monica Spanninger"/>
    <s v="abington"/>
    <x v="0"/>
    <n v="14954"/>
    <x v="110"/>
    <d v="2025-12-19T00:00:00"/>
    <x v="0"/>
    <x v="5"/>
  </r>
  <r>
    <n v="1436"/>
    <s v="Monica Spanninger"/>
    <s v="abington"/>
    <x v="1"/>
    <n v="14954"/>
    <x v="620"/>
    <d v="2025-12-19T00:00:00"/>
    <x v="0"/>
    <x v="5"/>
  </r>
  <r>
    <n v="1437"/>
    <s v="Monica Thomas"/>
    <s v="levittown"/>
    <x v="0"/>
    <n v="17308"/>
    <x v="157"/>
    <d v="2024-04-05T00:00:00"/>
    <x v="1"/>
    <x v="7"/>
  </r>
  <r>
    <n v="1438"/>
    <s v="Monique Powell"/>
    <s v="croydon"/>
    <x v="0"/>
    <n v="16184"/>
    <x v="621"/>
    <d v="2023-04-18T00:00:00"/>
    <x v="1"/>
    <x v="7"/>
  </r>
  <r>
    <n v="1439"/>
    <s v="Morgan Fanning"/>
    <s v="bridgeport"/>
    <x v="0"/>
    <n v="18950"/>
    <x v="486"/>
    <d v="2025-08-01T00:00:00"/>
    <x v="0"/>
    <x v="5"/>
  </r>
  <r>
    <n v="1440"/>
    <s v="Morgan Giampietro"/>
    <s v="phoenixville"/>
    <x v="0"/>
    <n v="11708"/>
    <x v="104"/>
    <d v="2020-06-21T00:00:00"/>
    <x v="1"/>
    <x v="4"/>
  </r>
  <r>
    <n v="1441"/>
    <s v="Morton Caster"/>
    <s v="reading"/>
    <x v="0"/>
    <n v="9182"/>
    <x v="60"/>
    <d v="2017-05-20T00:00:00"/>
    <x v="1"/>
    <x v="1"/>
  </r>
  <r>
    <n v="1442"/>
    <s v="Muriel Dean-Mittig"/>
    <s v="lancaster"/>
    <x v="0"/>
    <n v="7445"/>
    <x v="622"/>
    <d v="2025-12-22T00:00:00"/>
    <x v="0"/>
    <x v="2"/>
  </r>
  <r>
    <n v="1443"/>
    <s v="Murray Soss"/>
    <s v="springfield"/>
    <x v="0"/>
    <n v="17933"/>
    <x v="146"/>
    <d v="2024-10-06T00:00:00"/>
    <x v="2"/>
    <x v="3"/>
  </r>
  <r>
    <n v="1444"/>
    <s v="Nacole McCutchen"/>
    <s v="philadelphia"/>
    <x v="0"/>
    <n v="18339"/>
    <x v="623"/>
    <d v="2026-04-05T00:00:00"/>
    <x v="0"/>
    <x v="6"/>
  </r>
  <r>
    <n v="1445"/>
    <s v="Nacole McCutchen"/>
    <s v="philadelphia"/>
    <x v="1"/>
    <n v="18339"/>
    <x v="568"/>
    <d v="2026-04-01T00:00:00"/>
    <x v="0"/>
    <x v="6"/>
  </r>
  <r>
    <n v="1446"/>
    <s v="Nada Sayed-Ahmed"/>
    <s v="philadelphia"/>
    <x v="0"/>
    <n v="20891"/>
    <x v="624"/>
    <d v="2026-09-26T00:00:00"/>
    <x v="0"/>
    <x v="6"/>
  </r>
  <r>
    <n v="1447"/>
    <s v="Naim Shakir"/>
    <s v="philadelphia"/>
    <x v="0"/>
    <n v="13343"/>
    <x v="228"/>
    <d v="2021-05-14T00:00:00"/>
    <x v="1"/>
    <x v="6"/>
  </r>
  <r>
    <n v="1448"/>
    <s v="Nancy Jacoby"/>
    <s v="perkiomenville"/>
    <x v="0"/>
    <n v="10120"/>
    <x v="63"/>
    <d v="2019-04-21T00:00:00"/>
    <x v="1"/>
    <x v="5"/>
  </r>
  <r>
    <n v="1449"/>
    <s v="Nancy Morrison"/>
    <s v="chadds ford"/>
    <x v="1"/>
    <n v="15787"/>
    <x v="625"/>
    <d v="2026-12-22T00:00:00"/>
    <x v="0"/>
    <x v="3"/>
  </r>
  <r>
    <n v="1450"/>
    <s v="Nancy Newman"/>
    <s v="newtown square"/>
    <x v="0"/>
    <n v="8476"/>
    <x v="626"/>
    <d v="2026-09-18T00:00:00"/>
    <x v="0"/>
    <x v="3"/>
  </r>
  <r>
    <n v="1451"/>
    <s v="Nancy Newman"/>
    <s v="newtown square"/>
    <x v="1"/>
    <n v="8476"/>
    <x v="625"/>
    <d v="2022-12-22T00:00:00"/>
    <x v="1"/>
    <x v="3"/>
  </r>
  <r>
    <n v="1452"/>
    <s v="Nancy Pappadakis"/>
    <s v="bristol"/>
    <x v="0"/>
    <n v="16515"/>
    <x v="105"/>
    <d v="2025-06-25T00:00:00"/>
    <x v="0"/>
    <x v="7"/>
  </r>
  <r>
    <n v="1453"/>
    <s v="Natalie Rivera"/>
    <s v="croydon"/>
    <x v="0"/>
    <n v="13743"/>
    <x v="139"/>
    <d v="2023-06-25T00:00:00"/>
    <x v="1"/>
    <x v="7"/>
  </r>
  <r>
    <n v="1454"/>
    <s v="Natalie Salamone"/>
    <s v="fleetwood"/>
    <x v="0"/>
    <n v="13342"/>
    <x v="228"/>
    <d v="2027-05-14T00:00:00"/>
    <x v="0"/>
    <x v="1"/>
  </r>
  <r>
    <n v="1455"/>
    <s v="Natashia Fox"/>
    <s v="philadelphia"/>
    <x v="0"/>
    <n v="10024"/>
    <x v="134"/>
    <d v="2019-01-31T00:00:00"/>
    <x v="1"/>
    <x v="6"/>
  </r>
  <r>
    <n v="1456"/>
    <s v="Nathan Parker"/>
    <s v="philadelphia"/>
    <x v="0"/>
    <n v="9027"/>
    <x v="171"/>
    <d v="2016-09-23T00:00:00"/>
    <x v="1"/>
    <x v="6"/>
  </r>
  <r>
    <n v="1457"/>
    <s v="Neilson Smith"/>
    <s v="blue ball"/>
    <x v="0"/>
    <n v="13721"/>
    <x v="27"/>
    <d v="2021-06-24T00:00:00"/>
    <x v="1"/>
    <x v="2"/>
  </r>
  <r>
    <n v="1458"/>
    <s v="Newton Mull"/>
    <s v="pottsville"/>
    <x v="0"/>
    <n v="11582"/>
    <x v="627"/>
    <d v="2026-06-05T00:00:00"/>
    <x v="4"/>
    <x v="0"/>
  </r>
  <r>
    <n v="1459"/>
    <s v="Newton Mull"/>
    <s v="pottsville"/>
    <x v="1"/>
    <n v="11582"/>
    <x v="92"/>
    <d v="2026-06-05T00:00:00"/>
    <x v="4"/>
    <x v="0"/>
  </r>
  <r>
    <n v="1460"/>
    <s v="Nicholas Dietrich"/>
    <s v="west chester"/>
    <x v="0"/>
    <n v="17387"/>
    <x v="607"/>
    <d v="2026-04-26T00:00:00"/>
    <x v="0"/>
    <x v="4"/>
  </r>
  <r>
    <n v="1461"/>
    <s v="Nicholas Dogias"/>
    <s v="yardley"/>
    <x v="0"/>
    <n v="18305"/>
    <x v="371"/>
    <d v="2025-02-14T00:00:00"/>
    <x v="2"/>
    <x v="7"/>
  </r>
  <r>
    <n v="1462"/>
    <s v="Nicholas Higgins"/>
    <s v="reading"/>
    <x v="0"/>
    <n v="20144"/>
    <x v="336"/>
    <d v="2026-04-17T00:00:00"/>
    <x v="3"/>
    <x v="1"/>
  </r>
  <r>
    <n v="1463"/>
    <s v="Nicholas Pavlov"/>
    <s v="reading"/>
    <x v="0"/>
    <n v="13581"/>
    <x v="339"/>
    <d v="2023-06-14T00:00:00"/>
    <x v="1"/>
    <x v="1"/>
  </r>
  <r>
    <n v="1464"/>
    <s v="Nicholas Stoltzfus"/>
    <s v="leola"/>
    <x v="0"/>
    <n v="10487"/>
    <x v="404"/>
    <d v="2021-10-27T00:00:00"/>
    <x v="3"/>
    <x v="2"/>
  </r>
  <r>
    <n v="1465"/>
    <s v="Nicolas Greer"/>
    <s v="philadelphia"/>
    <x v="0"/>
    <n v="20268"/>
    <x v="201"/>
    <d v="2026-05-14T00:00:00"/>
    <x v="0"/>
    <x v="6"/>
  </r>
  <r>
    <n v="1466"/>
    <s v="Nicole Adams"/>
    <s v="lansdale"/>
    <x v="0"/>
    <n v="16139"/>
    <x v="199"/>
    <d v="2027-03-31T00:00:00"/>
    <x v="0"/>
    <x v="5"/>
  </r>
  <r>
    <n v="1467"/>
    <s v="Nicole Adams"/>
    <s v="lansdale"/>
    <x v="1"/>
    <n v="16139"/>
    <x v="628"/>
    <d v="2027-03-31T00:00:00"/>
    <x v="0"/>
    <x v="5"/>
  </r>
  <r>
    <n v="1468"/>
    <s v="Nicole Bauer"/>
    <s v="birdsboro"/>
    <x v="0"/>
    <n v="21570"/>
    <x v="67"/>
    <d v="2027-02-19T00:00:00"/>
    <x v="0"/>
    <x v="1"/>
  </r>
  <r>
    <n v="1469"/>
    <s v="Nicole Brown"/>
    <s v="reading"/>
    <x v="0"/>
    <n v="15009"/>
    <x v="122"/>
    <d v="2024-01-10T00:00:00"/>
    <x v="1"/>
    <x v="1"/>
  </r>
  <r>
    <n v="1470"/>
    <s v="Nicole Caltabiano"/>
    <s v="ardmore"/>
    <x v="0"/>
    <n v="14003"/>
    <x v="19"/>
    <d v="2023-07-24T00:00:00"/>
    <x v="1"/>
    <x v="5"/>
  </r>
  <r>
    <n v="1471"/>
    <s v="Nicole Castro"/>
    <s v="wyomissing"/>
    <x v="0"/>
    <n v="9426"/>
    <x v="629"/>
    <d v="2026-12-23T00:00:00"/>
    <x v="0"/>
    <x v="1"/>
  </r>
  <r>
    <n v="1472"/>
    <s v="Nicole Castronova"/>
    <s v="bridgeport"/>
    <x v="0"/>
    <n v="20995"/>
    <x v="205"/>
    <d v="2026-10-15T00:00:00"/>
    <x v="0"/>
    <x v="5"/>
  </r>
  <r>
    <n v="1473"/>
    <s v="Nicole Davis"/>
    <s v="philadelphia"/>
    <x v="0"/>
    <n v="14412"/>
    <x v="84"/>
    <d v="2021-08-20T00:00:00"/>
    <x v="1"/>
    <x v="6"/>
  </r>
  <r>
    <n v="1474"/>
    <s v="Nicole Ellis"/>
    <s v="philadelphia"/>
    <x v="0"/>
    <n v="12969"/>
    <x v="84"/>
    <d v="2025-08-20T00:00:00"/>
    <x v="0"/>
    <x v="6"/>
  </r>
  <r>
    <n v="1475"/>
    <s v="Nicole Ellis"/>
    <s v="philadelphia"/>
    <x v="0"/>
    <n v="15890"/>
    <x v="630"/>
    <d v="2027-01-19T00:00:00"/>
    <x v="0"/>
    <x v="6"/>
  </r>
  <r>
    <n v="1476"/>
    <s v="Nicole Kirste"/>
    <s v="reinholds"/>
    <x v="0"/>
    <n v="7658"/>
    <x v="631"/>
    <d v="2012-11-09T00:00:00"/>
    <x v="1"/>
    <x v="2"/>
  </r>
  <r>
    <n v="1477"/>
    <s v="Nicole Loveless"/>
    <s v="levittown"/>
    <x v="0"/>
    <n v="16349"/>
    <x v="632"/>
    <d v="2027-06-09T00:00:00"/>
    <x v="0"/>
    <x v="7"/>
  </r>
  <r>
    <n v="1478"/>
    <s v="Nicole O'Donnell"/>
    <s v="narberth"/>
    <x v="0"/>
    <n v="9610"/>
    <x v="15"/>
    <d v="2026-05-23T00:00:00"/>
    <x v="0"/>
    <x v="5"/>
  </r>
  <r>
    <n v="1479"/>
    <s v="Nicole Polit"/>
    <s v="philadelphia"/>
    <x v="0"/>
    <n v="19219"/>
    <x v="633"/>
    <d v="2025-09-29T00:00:00"/>
    <x v="0"/>
    <x v="6"/>
  </r>
  <r>
    <n v="1480"/>
    <s v="Nicole Polit"/>
    <s v="philadelphia"/>
    <x v="1"/>
    <n v="19219"/>
    <x v="309"/>
    <d v="2026-02-20T00:00:00"/>
    <x v="0"/>
    <x v="6"/>
  </r>
  <r>
    <n v="1481"/>
    <s v="Nicole Ramsey"/>
    <s v="philadelphia"/>
    <x v="0"/>
    <n v="11686"/>
    <x v="2"/>
    <d v="2020-06-18T00:00:00"/>
    <x v="1"/>
    <x v="6"/>
  </r>
  <r>
    <n v="1482"/>
    <s v="Nicole Santon"/>
    <s v="holmes"/>
    <x v="0"/>
    <n v="21003"/>
    <x v="205"/>
    <d v="2026-10-15T00:00:00"/>
    <x v="0"/>
    <x v="3"/>
  </r>
  <r>
    <n v="1483"/>
    <s v="Nicole Wert"/>
    <s v="lancaster"/>
    <x v="0"/>
    <n v="13725"/>
    <x v="27"/>
    <d v="2021-06-24T00:00:00"/>
    <x v="1"/>
    <x v="2"/>
  </r>
  <r>
    <n v="1484"/>
    <s v="Niesha Leadum"/>
    <s v="philadelphia"/>
    <x v="1"/>
    <n v="13448"/>
    <x v="634"/>
    <d v="2027-05-22T00:00:00"/>
    <x v="0"/>
    <x v="6"/>
  </r>
  <r>
    <n v="1485"/>
    <s v="Nikki Bowman"/>
    <s v="lancaster"/>
    <x v="0"/>
    <n v="19010"/>
    <x v="231"/>
    <d v="2025-08-15T00:00:00"/>
    <x v="0"/>
    <x v="2"/>
  </r>
  <r>
    <n v="1486"/>
    <s v="Nikki Golden-Arnold"/>
    <s v="royersford"/>
    <x v="0"/>
    <n v="9239"/>
    <x v="308"/>
    <d v="2017-06-25T00:00:00"/>
    <x v="1"/>
    <x v="5"/>
  </r>
  <r>
    <n v="1487"/>
    <s v="Nina Oplinger"/>
    <s v="wernersville"/>
    <x v="0"/>
    <n v="9659"/>
    <x v="552"/>
    <d v="2026-11-02T00:00:00"/>
    <x v="0"/>
    <x v="1"/>
  </r>
  <r>
    <n v="1488"/>
    <s v="Nina Poslosky"/>
    <s v="barnesville"/>
    <x v="0"/>
    <n v="10156"/>
    <x v="369"/>
    <d v="2019-06-10T00:00:00"/>
    <x v="1"/>
    <x v="0"/>
  </r>
  <r>
    <n v="1489"/>
    <s v="Nissa Spangler"/>
    <s v="glenside"/>
    <x v="0"/>
    <n v="17014"/>
    <x v="635"/>
    <d v="2023-12-02T00:00:00"/>
    <x v="1"/>
    <x v="5"/>
  </r>
  <r>
    <n v="1490"/>
    <s v="Noemi Gonzalez"/>
    <s v="reading"/>
    <x v="1"/>
    <n v="20668"/>
    <x v="636"/>
    <d v="2026-08-10T00:00:00"/>
    <x v="0"/>
    <x v="1"/>
  </r>
  <r>
    <n v="1491"/>
    <s v="Norberto Rosa"/>
    <s v="philadelphia"/>
    <x v="0"/>
    <n v="12577"/>
    <x v="49"/>
    <d v="2026-12-11T00:00:00"/>
    <x v="0"/>
    <x v="6"/>
  </r>
  <r>
    <n v="1492"/>
    <s v="Norma Perez"/>
    <s v="philadelphia"/>
    <x v="0"/>
    <n v="14018"/>
    <x v="19"/>
    <d v="2021-07-24T00:00:00"/>
    <x v="1"/>
    <x v="6"/>
  </r>
  <r>
    <n v="1493"/>
    <s v="Orlando Vega"/>
    <s v="womelsdorf"/>
    <x v="0"/>
    <n v="9766"/>
    <x v="274"/>
    <d v="2026-08-19T00:00:00"/>
    <x v="0"/>
    <x v="1"/>
  </r>
  <r>
    <n v="1494"/>
    <s v="Ossilee McElveen"/>
    <s v="philadelphia"/>
    <x v="0"/>
    <n v="11042"/>
    <x v="156"/>
    <d v="2020-04-13T00:00:00"/>
    <x v="1"/>
    <x v="6"/>
  </r>
  <r>
    <n v="1495"/>
    <s v="Paige Fern"/>
    <s v="warrington"/>
    <x v="0"/>
    <n v="18107"/>
    <x v="243"/>
    <d v="2026-12-12T00:00:00"/>
    <x v="0"/>
    <x v="7"/>
  </r>
  <r>
    <n v="1496"/>
    <s v="Paige Jellison"/>
    <s v="lansdale"/>
    <x v="0"/>
    <n v="14010"/>
    <x v="19"/>
    <d v="2025-07-24T00:00:00"/>
    <x v="0"/>
    <x v="5"/>
  </r>
  <r>
    <n v="1497"/>
    <s v="Pamela  Breton"/>
    <s v="bernville"/>
    <x v="0"/>
    <n v="17041"/>
    <x v="372"/>
    <d v="2025-12-14T00:00:00"/>
    <x v="0"/>
    <x v="1"/>
  </r>
  <r>
    <n v="1498"/>
    <s v="Pamela Beck"/>
    <s v="leesport"/>
    <x v="0"/>
    <n v="19008"/>
    <x v="231"/>
    <d v="2025-08-15T00:00:00"/>
    <x v="0"/>
    <x v="1"/>
  </r>
  <r>
    <n v="1499"/>
    <s v="Pamela Dillon"/>
    <s v="chadds ford"/>
    <x v="0"/>
    <n v="8653"/>
    <x v="164"/>
    <d v="2025-10-30T00:00:00"/>
    <x v="0"/>
    <x v="3"/>
  </r>
  <r>
    <n v="1500"/>
    <s v="Pamela Fox"/>
    <s v="yardley"/>
    <x v="0"/>
    <n v="12573"/>
    <x v="49"/>
    <d v="2020-12-11T00:00:00"/>
    <x v="1"/>
    <x v="7"/>
  </r>
  <r>
    <n v="1501"/>
    <s v="Pamela Lewis"/>
    <s v="lansdale"/>
    <x v="0"/>
    <n v="15706"/>
    <x v="52"/>
    <d v="2026-12-07T00:00:00"/>
    <x v="0"/>
    <x v="5"/>
  </r>
  <r>
    <n v="1502"/>
    <s v="Pamela Moore"/>
    <s v="philadelphia"/>
    <x v="0"/>
    <n v="8570"/>
    <x v="71"/>
    <d v="2017-07-30T00:00:00"/>
    <x v="1"/>
    <x v="6"/>
  </r>
  <r>
    <n v="1503"/>
    <s v="Pamela Vasquez"/>
    <s v="line lexington"/>
    <x v="0"/>
    <n v="12004"/>
    <x v="10"/>
    <d v="2026-08-01T00:00:00"/>
    <x v="0"/>
    <x v="7"/>
  </r>
  <r>
    <n v="1504"/>
    <s v="Pamela Vasquez"/>
    <s v="line lexington"/>
    <x v="1"/>
    <n v="12004"/>
    <x v="430"/>
    <d v="2023-03-19T00:00:00"/>
    <x v="1"/>
    <x v="7"/>
  </r>
  <r>
    <n v="1505"/>
    <s v="Pamfilo Dacua, III"/>
    <s v="philadelphia"/>
    <x v="0"/>
    <n v="19338"/>
    <x v="206"/>
    <d v="2025-12-04T00:00:00"/>
    <x v="0"/>
    <x v="6"/>
  </r>
  <r>
    <n v="1506"/>
    <s v="Pamfilo Dacua, III"/>
    <s v="philadelphia"/>
    <x v="1"/>
    <n v="19338"/>
    <x v="637"/>
    <d v="2025-12-01T00:00:00"/>
    <x v="0"/>
    <x v="6"/>
  </r>
  <r>
    <n v="1507"/>
    <s v="Patricia  Kellar"/>
    <s v="holicong"/>
    <x v="0"/>
    <n v="17045"/>
    <x v="55"/>
    <d v="2023-12-15T00:00:00"/>
    <x v="1"/>
    <x v="7"/>
  </r>
  <r>
    <n v="1508"/>
    <s v="Patricia Andrews"/>
    <s v="philadelphia"/>
    <x v="0"/>
    <n v="20325"/>
    <x v="130"/>
    <d v="2026-05-22T00:00:00"/>
    <x v="0"/>
    <x v="6"/>
  </r>
  <r>
    <n v="1509"/>
    <s v="Patricia Bailey"/>
    <s v="holland"/>
    <x v="0"/>
    <n v="11701"/>
    <x v="104"/>
    <d v="2020-06-21T00:00:00"/>
    <x v="1"/>
    <x v="7"/>
  </r>
  <r>
    <n v="1510"/>
    <s v="Patricia Bailey"/>
    <s v="holland"/>
    <x v="1"/>
    <n v="11701"/>
    <x v="373"/>
    <d v="2020-09-25T00:00:00"/>
    <x v="1"/>
    <x v="7"/>
  </r>
  <r>
    <n v="1511"/>
    <s v="Patricia Blazejewski"/>
    <s v="bensalem"/>
    <x v="1"/>
    <n v="21407"/>
    <x v="638"/>
    <d v="2027-01-25T00:00:00"/>
    <x v="0"/>
    <x v="7"/>
  </r>
  <r>
    <n v="1512"/>
    <s v="Patricia Collins"/>
    <s v="reading"/>
    <x v="0"/>
    <n v="15491"/>
    <x v="606"/>
    <d v="2024-09-17T00:00:00"/>
    <x v="2"/>
    <x v="1"/>
  </r>
  <r>
    <n v="1513"/>
    <s v="Patricia D'Alonzo"/>
    <s v="langhorne"/>
    <x v="0"/>
    <n v="8968"/>
    <x v="73"/>
    <d v="2020-07-29T00:00:00"/>
    <x v="1"/>
    <x v="7"/>
  </r>
  <r>
    <n v="1514"/>
    <s v="Patricia Hamre"/>
    <s v="aston"/>
    <x v="0"/>
    <n v="9604"/>
    <x v="15"/>
    <d v="2018-05-23T00:00:00"/>
    <x v="1"/>
    <x v="3"/>
  </r>
  <r>
    <n v="1515"/>
    <s v="Patricia Miller"/>
    <s v="feasterville"/>
    <x v="0"/>
    <n v="7831"/>
    <x v="639"/>
    <d v="2013-04-21T00:00:00"/>
    <x v="1"/>
    <x v="7"/>
  </r>
  <r>
    <n v="1516"/>
    <s v="Patricia Murphy"/>
    <s v="boothwyn"/>
    <x v="0"/>
    <n v="8560"/>
    <x v="71"/>
    <d v="2015-07-30T00:00:00"/>
    <x v="1"/>
    <x v="3"/>
  </r>
  <r>
    <n v="1517"/>
    <s v="Patricia Murphy"/>
    <s v="new hope"/>
    <x v="0"/>
    <n v="8975"/>
    <x v="73"/>
    <d v="2016-07-29T00:00:00"/>
    <x v="1"/>
    <x v="7"/>
  </r>
  <r>
    <n v="1518"/>
    <s v="Patricia Nye"/>
    <s v="north wales"/>
    <x v="0"/>
    <n v="10702"/>
    <x v="640"/>
    <d v="2026-10-27T00:00:00"/>
    <x v="0"/>
    <x v="5"/>
  </r>
  <r>
    <n v="1519"/>
    <s v="Patricia Rinaldi"/>
    <s v="sellersville"/>
    <x v="0"/>
    <n v="8478"/>
    <x v="355"/>
    <d v="2017-06-01T00:00:00"/>
    <x v="1"/>
    <x v="7"/>
  </r>
  <r>
    <n v="1520"/>
    <s v="Patricia Vasinda"/>
    <s v="philadelphia"/>
    <x v="1"/>
    <n v="21406"/>
    <x v="641"/>
    <d v="2027-01-24T00:00:00"/>
    <x v="0"/>
    <x v="6"/>
  </r>
  <r>
    <n v="1521"/>
    <s v="Patricia Ward"/>
    <s v="exton"/>
    <x v="1"/>
    <n v="18289"/>
    <x v="642"/>
    <d v="2027-02-08T00:00:00"/>
    <x v="0"/>
    <x v="4"/>
  </r>
  <r>
    <n v="1522"/>
    <s v="Patrick  Dillon"/>
    <s v="levittown"/>
    <x v="0"/>
    <n v="18699"/>
    <x v="46"/>
    <d v="2026-02-14T00:00:00"/>
    <x v="0"/>
    <x v="7"/>
  </r>
  <r>
    <n v="1523"/>
    <s v="Patrick  Dillon"/>
    <s v="levittown"/>
    <x v="1"/>
    <n v="18699"/>
    <x v="643"/>
    <d v="2025-06-09T00:00:00"/>
    <x v="2"/>
    <x v="7"/>
  </r>
  <r>
    <n v="1524"/>
    <s v="Patrick Dooley"/>
    <s v="drexel hill"/>
    <x v="0"/>
    <n v="10270"/>
    <x v="79"/>
    <d v="2025-06-22T00:00:00"/>
    <x v="0"/>
    <x v="3"/>
  </r>
  <r>
    <n v="1525"/>
    <s v="Patrick Farrell"/>
    <s v="kempton"/>
    <x v="0"/>
    <n v="8839"/>
    <x v="644"/>
    <d v="2018-05-14T00:00:00"/>
    <x v="1"/>
    <x v="1"/>
  </r>
  <r>
    <n v="1526"/>
    <s v="Patrick Lucas"/>
    <s v="pottstown"/>
    <x v="0"/>
    <n v="11682"/>
    <x v="2"/>
    <d v="2020-06-18T00:00:00"/>
    <x v="1"/>
    <x v="4"/>
  </r>
  <r>
    <n v="1527"/>
    <s v="Patrick Marison"/>
    <s v="bernville"/>
    <x v="0"/>
    <n v="10165"/>
    <x v="77"/>
    <d v="2021-06-13T00:00:00"/>
    <x v="1"/>
    <x v="1"/>
  </r>
  <r>
    <n v="1528"/>
    <s v="Patrick Montgomery"/>
    <s v="phoenixville"/>
    <x v="1"/>
    <n v="17397"/>
    <x v="645"/>
    <d v="2024-04-28T00:00:00"/>
    <x v="1"/>
    <x v="4"/>
  </r>
  <r>
    <n v="1529"/>
    <s v="Patrick O'Connor"/>
    <s v="philadelphia"/>
    <x v="0"/>
    <n v="20857"/>
    <x v="646"/>
    <d v="2026-09-19T00:00:00"/>
    <x v="0"/>
    <x v="6"/>
  </r>
  <r>
    <n v="1530"/>
    <s v="Patrick Purdie"/>
    <s v="upper darby"/>
    <x v="0"/>
    <n v="18078"/>
    <x v="647"/>
    <d v="2026-12-04T00:00:00"/>
    <x v="0"/>
    <x v="3"/>
  </r>
  <r>
    <n v="1531"/>
    <s v="Patrick Purdie"/>
    <s v="upper darby"/>
    <x v="1"/>
    <n v="18078"/>
    <x v="648"/>
    <d v="2026-12-07T00:00:00"/>
    <x v="0"/>
    <x v="3"/>
  </r>
  <r>
    <n v="1532"/>
    <s v="Patti Rich"/>
    <s v="orwigsburg"/>
    <x v="1"/>
    <n v="21089"/>
    <x v="649"/>
    <d v="2026-11-08T00:00:00"/>
    <x v="0"/>
    <x v="0"/>
  </r>
  <r>
    <n v="1533"/>
    <s v="Paul Roberts"/>
    <s v="downingtown"/>
    <x v="0"/>
    <n v="13717"/>
    <x v="27"/>
    <d v="2021-06-24T00:00:00"/>
    <x v="1"/>
    <x v="4"/>
  </r>
  <r>
    <n v="1534"/>
    <s v="Paul Rosa"/>
    <s v="reading"/>
    <x v="0"/>
    <n v="15783"/>
    <x v="221"/>
    <d v="2022-12-21T00:00:00"/>
    <x v="1"/>
    <x v="1"/>
  </r>
  <r>
    <n v="1535"/>
    <s v="Paul Screvane"/>
    <s v="reading"/>
    <x v="0"/>
    <n v="9194"/>
    <x v="60"/>
    <d v="2017-05-20T00:00:00"/>
    <x v="1"/>
    <x v="1"/>
  </r>
  <r>
    <n v="1536"/>
    <s v="Paul Sharrah"/>
    <s v="havertown"/>
    <x v="0"/>
    <n v="14243"/>
    <x v="195"/>
    <d v="2021-08-09T00:00:00"/>
    <x v="1"/>
    <x v="3"/>
  </r>
  <r>
    <n v="1537"/>
    <s v="Paul Van Jura"/>
    <s v="columbia"/>
    <x v="0"/>
    <n v="15183"/>
    <x v="208"/>
    <d v="2026-03-10T00:00:00"/>
    <x v="0"/>
    <x v="2"/>
  </r>
  <r>
    <n v="1538"/>
    <s v="Paul Williamson"/>
    <s v="doylestown"/>
    <x v="0"/>
    <n v="9913"/>
    <x v="310"/>
    <d v="2018-11-12T00:00:00"/>
    <x v="1"/>
    <x v="7"/>
  </r>
  <r>
    <n v="1539"/>
    <s v="Paul Youngblood"/>
    <s v="philadelphia"/>
    <x v="0"/>
    <n v="8933"/>
    <x v="80"/>
    <d v="2016-06-27T00:00:00"/>
    <x v="1"/>
    <x v="6"/>
  </r>
  <r>
    <n v="1540"/>
    <s v="Paula Hood"/>
    <s v="philadelphia"/>
    <x v="0"/>
    <n v="13330"/>
    <x v="228"/>
    <d v="2027-05-14T00:00:00"/>
    <x v="0"/>
    <x v="6"/>
  </r>
  <r>
    <n v="1541"/>
    <s v="Paulann Sabatino"/>
    <s v="havertown"/>
    <x v="0"/>
    <n v="21030"/>
    <x v="489"/>
    <d v="2026-10-21T00:00:00"/>
    <x v="0"/>
    <x v="3"/>
  </r>
  <r>
    <n v="1542"/>
    <s v="Pedro Duran"/>
    <s v="philadelphia"/>
    <x v="0"/>
    <n v="13763"/>
    <x v="52"/>
    <d v="2022-12-07T00:00:00"/>
    <x v="1"/>
    <x v="6"/>
  </r>
  <r>
    <n v="1543"/>
    <s v="Per Hagen"/>
    <s v="new hope"/>
    <x v="0"/>
    <n v="13085"/>
    <x v="228"/>
    <d v="2027-05-14T00:00:00"/>
    <x v="0"/>
    <x v="7"/>
  </r>
  <r>
    <n v="1544"/>
    <s v="Per Hagen"/>
    <s v="new hope"/>
    <x v="1"/>
    <n v="13085"/>
    <x v="650"/>
    <d v="2027-03-27T00:00:00"/>
    <x v="0"/>
    <x v="7"/>
  </r>
  <r>
    <n v="1545"/>
    <s v="Peter  Spayde"/>
    <s v="philadelphia"/>
    <x v="0"/>
    <n v="12552"/>
    <x v="651"/>
    <d v="2026-12-04T00:00:00"/>
    <x v="0"/>
    <x v="6"/>
  </r>
  <r>
    <n v="1546"/>
    <s v="Peter Brizick"/>
    <s v="west chester"/>
    <x v="0"/>
    <n v="9597"/>
    <x v="153"/>
    <d v="2026-05-24T00:00:00"/>
    <x v="0"/>
    <x v="4"/>
  </r>
  <r>
    <n v="1547"/>
    <s v="Peter Duma"/>
    <s v="morrisville"/>
    <x v="0"/>
    <n v="7770"/>
    <x v="264"/>
    <d v="2013-03-11T00:00:00"/>
    <x v="1"/>
    <x v="7"/>
  </r>
  <r>
    <n v="1548"/>
    <s v="Peter Edwards"/>
    <s v="philadelphia"/>
    <x v="0"/>
    <n v="9444"/>
    <x v="150"/>
    <d v="2017-12-08T00:00:00"/>
    <x v="1"/>
    <x v="6"/>
  </r>
  <r>
    <n v="1549"/>
    <s v="Peter Fitzgerald"/>
    <s v="lancaster"/>
    <x v="0"/>
    <n v="18477"/>
    <x v="652"/>
    <d v="2027-04-03T00:00:00"/>
    <x v="0"/>
    <x v="2"/>
  </r>
  <r>
    <n v="1550"/>
    <s v="Peter Graustein"/>
    <s v="elizabethtown"/>
    <x v="0"/>
    <n v="15773"/>
    <x v="221"/>
    <d v="2026-12-21T00:00:00"/>
    <x v="0"/>
    <x v="2"/>
  </r>
  <r>
    <n v="1551"/>
    <s v="Peter McMenamin"/>
    <s v="new ringgold"/>
    <x v="0"/>
    <n v="8689"/>
    <x v="653"/>
    <d v="2018-12-08T00:00:00"/>
    <x v="1"/>
    <x v="0"/>
  </r>
  <r>
    <n v="1552"/>
    <s v="Philip Staurowsky, Jr."/>
    <s v="downingtown"/>
    <x v="0"/>
    <n v="16932"/>
    <x v="654"/>
    <d v="2023-10-21T00:00:00"/>
    <x v="1"/>
    <x v="4"/>
  </r>
  <r>
    <n v="1553"/>
    <s v="Philip Visconto"/>
    <s v="levittown"/>
    <x v="0"/>
    <n v="18244"/>
    <x v="655"/>
    <d v="2025-01-21T00:00:00"/>
    <x v="2"/>
    <x v="7"/>
  </r>
  <r>
    <n v="1554"/>
    <s v="Phillip Albright"/>
    <s v="birdsboro"/>
    <x v="0"/>
    <n v="9972"/>
    <x v="255"/>
    <d v="2019-01-11T00:00:00"/>
    <x v="1"/>
    <x v="1"/>
  </r>
  <r>
    <n v="1555"/>
    <s v="Phillip Bennett"/>
    <s v="wernersville"/>
    <x v="0"/>
    <n v="9425"/>
    <x v="31"/>
    <d v="2025-12-03T00:00:00"/>
    <x v="0"/>
    <x v="1"/>
  </r>
  <r>
    <n v="1556"/>
    <s v="Phyllis Davis"/>
    <s v="philadelphia"/>
    <x v="0"/>
    <n v="8940"/>
    <x v="80"/>
    <d v="2016-06-27T00:00:00"/>
    <x v="1"/>
    <x v="6"/>
  </r>
  <r>
    <n v="1557"/>
    <s v="Ponce De Leon Moss III"/>
    <s v="pottstown"/>
    <x v="0"/>
    <n v="19145"/>
    <x v="656"/>
    <d v="2025-09-12T00:00:00"/>
    <x v="0"/>
    <x v="4"/>
  </r>
  <r>
    <n v="1558"/>
    <s v="Rachael Heiser"/>
    <s v="doylestown"/>
    <x v="0"/>
    <n v="9718"/>
    <x v="109"/>
    <d v="2026-07-20T00:00:00"/>
    <x v="0"/>
    <x v="7"/>
  </r>
  <r>
    <n v="1559"/>
    <s v="Rachael Smith"/>
    <s v="reading"/>
    <x v="0"/>
    <n v="8928"/>
    <x v="289"/>
    <d v="2016-06-26T00:00:00"/>
    <x v="1"/>
    <x v="1"/>
  </r>
  <r>
    <n v="1560"/>
    <s v="Rachael Wilcox"/>
    <s v="philadelphia"/>
    <x v="0"/>
    <n v="8605"/>
    <x v="657"/>
    <d v="2015-08-21T00:00:00"/>
    <x v="1"/>
    <x v="6"/>
  </r>
  <r>
    <n v="1561"/>
    <s v="Rachel  Reale-Adams"/>
    <s v="philadelphia"/>
    <x v="0"/>
    <n v="17773"/>
    <x v="82"/>
    <d v="2026-08-18T00:00:00"/>
    <x v="0"/>
    <x v="6"/>
  </r>
  <r>
    <n v="1562"/>
    <s v="Rachel Dougherty"/>
    <s v="elkins park"/>
    <x v="0"/>
    <n v="9714"/>
    <x v="109"/>
    <d v="2026-07-20T00:00:00"/>
    <x v="0"/>
    <x v="5"/>
  </r>
  <r>
    <n v="1563"/>
    <s v="Rachel Leventhal"/>
    <s v="levittown"/>
    <x v="0"/>
    <n v="16136"/>
    <x v="105"/>
    <d v="2027-03-31T00:00:00"/>
    <x v="0"/>
    <x v="7"/>
  </r>
  <r>
    <n v="1564"/>
    <s v="Rachel Leventhal"/>
    <s v="levittown"/>
    <x v="1"/>
    <n v="16136"/>
    <x v="199"/>
    <d v="2027-03-31T00:00:00"/>
    <x v="0"/>
    <x v="7"/>
  </r>
  <r>
    <n v="1565"/>
    <s v="Racquel Fetzer"/>
    <s v="philadelphia"/>
    <x v="0"/>
    <n v="10252"/>
    <x v="79"/>
    <d v="2021-06-22T00:00:00"/>
    <x v="1"/>
    <x v="6"/>
  </r>
  <r>
    <n v="1566"/>
    <s v="Rajpal Grewal"/>
    <s v="upper darby"/>
    <x v="0"/>
    <n v="8499"/>
    <x v="41"/>
    <d v="2023-06-25T00:00:00"/>
    <x v="1"/>
    <x v="3"/>
  </r>
  <r>
    <n v="1567"/>
    <s v="Ralph Birkmire, Jr."/>
    <s v="philadelphia"/>
    <x v="0"/>
    <n v="14800"/>
    <x v="117"/>
    <d v="2021-11-18T00:00:00"/>
    <x v="1"/>
    <x v="6"/>
  </r>
  <r>
    <n v="1568"/>
    <s v="Rana Gardner"/>
    <s v="philadelphia"/>
    <x v="0"/>
    <n v="11319"/>
    <x v="224"/>
    <d v="2021-11-01T00:00:00"/>
    <x v="1"/>
    <x v="6"/>
  </r>
  <r>
    <n v="1569"/>
    <s v="Randall Flood"/>
    <s v="birdsboro"/>
    <x v="0"/>
    <n v="9052"/>
    <x v="558"/>
    <d v="2020-10-24T00:00:00"/>
    <x v="1"/>
    <x v="1"/>
  </r>
  <r>
    <n v="1570"/>
    <s v="Randy Goldy"/>
    <s v="philadelphia"/>
    <x v="0"/>
    <n v="17713"/>
    <x v="658"/>
    <d v="2024-08-04T00:00:00"/>
    <x v="2"/>
    <x v="6"/>
  </r>
  <r>
    <n v="1571"/>
    <s v="Randy Goodman"/>
    <s v="langhorne"/>
    <x v="0"/>
    <n v="20589"/>
    <x v="659"/>
    <d v="2026-07-17T00:00:00"/>
    <x v="0"/>
    <x v="7"/>
  </r>
  <r>
    <n v="1572"/>
    <s v="Randy Hawes"/>
    <s v="bensalem"/>
    <x v="0"/>
    <n v="20031"/>
    <x v="412"/>
    <d v="2026-03-21T00:00:00"/>
    <x v="0"/>
    <x v="7"/>
  </r>
  <r>
    <n v="1573"/>
    <s v="Randy Hawes"/>
    <s v="bensalem"/>
    <x v="1"/>
    <n v="20031"/>
    <x v="568"/>
    <d v="2026-04-01T00:00:00"/>
    <x v="0"/>
    <x v="7"/>
  </r>
  <r>
    <n v="1574"/>
    <s v="Rasheeda Isley"/>
    <s v="philadelphia"/>
    <x v="0"/>
    <n v="15514"/>
    <x v="181"/>
    <d v="2026-09-22T00:00:00"/>
    <x v="0"/>
    <x v="6"/>
  </r>
  <r>
    <n v="1575"/>
    <s v="Rasheeda Isley"/>
    <s v="philadelphia"/>
    <x v="1"/>
    <n v="15514"/>
    <x v="660"/>
    <d v="2025-04-20T00:00:00"/>
    <x v="2"/>
    <x v="6"/>
  </r>
  <r>
    <n v="1576"/>
    <s v="Rasheeda Jackson"/>
    <s v="philadelphia"/>
    <x v="0"/>
    <n v="5308"/>
    <x v="84"/>
    <d v="2025-08-20T00:00:00"/>
    <x v="0"/>
    <x v="6"/>
  </r>
  <r>
    <n v="1577"/>
    <s v="Rasheetta Milas"/>
    <s v="philadelphia"/>
    <x v="0"/>
    <n v="10007"/>
    <x v="48"/>
    <d v="2021-01-18T00:00:00"/>
    <x v="1"/>
    <x v="6"/>
  </r>
  <r>
    <n v="1578"/>
    <s v="Raul Sanchez"/>
    <s v="wynnewood"/>
    <x v="0"/>
    <n v="10112"/>
    <x v="63"/>
    <d v="2019-04-21T00:00:00"/>
    <x v="1"/>
    <x v="5"/>
  </r>
  <r>
    <n v="1579"/>
    <s v="Ray Newlin"/>
    <s v="akron"/>
    <x v="0"/>
    <n v="16124"/>
    <x v="57"/>
    <d v="2023-03-25T00:00:00"/>
    <x v="1"/>
    <x v="2"/>
  </r>
  <r>
    <n v="1580"/>
    <s v="Raychel Kernicky-Jackson"/>
    <s v="springfield"/>
    <x v="0"/>
    <n v="10028"/>
    <x v="134"/>
    <d v="2019-01-31T00:00:00"/>
    <x v="1"/>
    <x v="3"/>
  </r>
  <r>
    <n v="1581"/>
    <s v="Raymond Callahan"/>
    <s v="morrisville"/>
    <x v="0"/>
    <n v="20500"/>
    <x v="68"/>
    <d v="2026-06-26T00:00:00"/>
    <x v="0"/>
    <x v="7"/>
  </r>
  <r>
    <n v="1582"/>
    <s v="Raymond Hill"/>
    <s v="manheim"/>
    <x v="0"/>
    <n v="7938"/>
    <x v="250"/>
    <d v="2015-10-07T00:00:00"/>
    <x v="1"/>
    <x v="2"/>
  </r>
  <r>
    <n v="1583"/>
    <s v="Raymond Selden, III"/>
    <s v="philadelphia"/>
    <x v="0"/>
    <n v="9028"/>
    <x v="171"/>
    <d v="2016-09-23T00:00:00"/>
    <x v="1"/>
    <x v="6"/>
  </r>
  <r>
    <n v="1584"/>
    <s v="Reanna Martin"/>
    <s v="sinking spring"/>
    <x v="1"/>
    <n v="20562"/>
    <x v="283"/>
    <d v="2026-07-10T00:00:00"/>
    <x v="0"/>
    <x v="1"/>
  </r>
  <r>
    <n v="1585"/>
    <s v="Rebecca Deo"/>
    <s v="philadelphia"/>
    <x v="0"/>
    <n v="15611"/>
    <x v="424"/>
    <d v="2024-11-05T00:00:00"/>
    <x v="2"/>
    <x v="6"/>
  </r>
  <r>
    <n v="1586"/>
    <s v="Rebecca Deo"/>
    <s v="philadelphia"/>
    <x v="1"/>
    <n v="15611"/>
    <x v="661"/>
    <d v="2023-03-12T00:00:00"/>
    <x v="1"/>
    <x v="6"/>
  </r>
  <r>
    <n v="1587"/>
    <s v="Rebecca Earp"/>
    <s v="lancaster"/>
    <x v="0"/>
    <n v="9652"/>
    <x v="194"/>
    <d v="2018-06-16T00:00:00"/>
    <x v="1"/>
    <x v="2"/>
  </r>
  <r>
    <n v="1588"/>
    <s v="Regina Higgins"/>
    <s v="prospect park"/>
    <x v="0"/>
    <n v="9778"/>
    <x v="280"/>
    <d v="2026-09-09T00:00:00"/>
    <x v="0"/>
    <x v="3"/>
  </r>
  <r>
    <n v="1589"/>
    <s v="Regina Higgins"/>
    <s v="prospect park"/>
    <x v="1"/>
    <n v="9778"/>
    <x v="662"/>
    <d v="2026-09-09T00:00:00"/>
    <x v="0"/>
    <x v="3"/>
  </r>
  <r>
    <n v="1590"/>
    <s v="Regina Higgins"/>
    <s v="prospect park"/>
    <x v="2"/>
    <n v="9778"/>
    <x v="620"/>
    <d v="2026-09-09T00:00:00"/>
    <x v="0"/>
    <x v="3"/>
  </r>
  <r>
    <n v="1591"/>
    <s v="Reginald Ford"/>
    <s v="reading"/>
    <x v="0"/>
    <n v="8705"/>
    <x v="216"/>
    <d v="2015-12-12T00:00:00"/>
    <x v="1"/>
    <x v="1"/>
  </r>
  <r>
    <n v="1592"/>
    <s v="Reinaldo Inchautegui"/>
    <s v="philadelphia"/>
    <x v="1"/>
    <n v="20615"/>
    <x v="663"/>
    <d v="2026-07-25T00:00:00"/>
    <x v="0"/>
    <x v="6"/>
  </r>
  <r>
    <n v="1593"/>
    <s v="Renee Faunce"/>
    <s v="horsham"/>
    <x v="0"/>
    <n v="13735"/>
    <x v="139"/>
    <d v="2023-06-25T00:00:00"/>
    <x v="1"/>
    <x v="5"/>
  </r>
  <r>
    <n v="1594"/>
    <s v="Renee Grube"/>
    <s v="orwigsburg"/>
    <x v="0"/>
    <n v="10086"/>
    <x v="21"/>
    <d v="2019-03-21T00:00:00"/>
    <x v="1"/>
    <x v="0"/>
  </r>
  <r>
    <n v="1595"/>
    <s v="Rhoda Wilkerson"/>
    <s v="reading"/>
    <x v="0"/>
    <n v="15031"/>
    <x v="122"/>
    <d v="2024-01-10T00:00:00"/>
    <x v="1"/>
    <x v="1"/>
  </r>
  <r>
    <n v="1596"/>
    <s v="Richard  Henderson"/>
    <s v="philadelphia"/>
    <x v="0"/>
    <n v="22095"/>
    <x v="1"/>
    <d v="2027-06-04T00:00:00"/>
    <x v="0"/>
    <x v="6"/>
  </r>
  <r>
    <n v="1597"/>
    <s v="Richard Arnold"/>
    <s v="media"/>
    <x v="0"/>
    <n v="13999"/>
    <x v="19"/>
    <d v="2023-07-24T00:00:00"/>
    <x v="1"/>
    <x v="3"/>
  </r>
  <r>
    <n v="1598"/>
    <s v="Richard Auerbach"/>
    <s v="philadelphia"/>
    <x v="0"/>
    <n v="11037"/>
    <x v="156"/>
    <d v="2020-04-13T00:00:00"/>
    <x v="1"/>
    <x v="6"/>
  </r>
  <r>
    <n v="1599"/>
    <s v="Richard Felty"/>
    <s v="doylestown"/>
    <x v="0"/>
    <n v="8276"/>
    <x v="89"/>
    <d v="2022-12-12T00:00:00"/>
    <x v="1"/>
    <x v="7"/>
  </r>
  <r>
    <n v="1600"/>
    <s v="Richard Felty"/>
    <s v="doylestown"/>
    <x v="1"/>
    <n v="8276"/>
    <x v="664"/>
    <d v="2021-08-02T00:00:00"/>
    <x v="1"/>
    <x v="7"/>
  </r>
  <r>
    <n v="1601"/>
    <s v="Richard Kuhn, Sr."/>
    <s v="east earl"/>
    <x v="0"/>
    <n v="12730"/>
    <x v="6"/>
    <d v="2021-01-14T00:00:00"/>
    <x v="1"/>
    <x v="2"/>
  </r>
  <r>
    <n v="1602"/>
    <s v="Richard McDonald, Jr."/>
    <s v="bensalem"/>
    <x v="0"/>
    <n v="14651"/>
    <x v="449"/>
    <d v="2021-09-06T00:00:00"/>
    <x v="1"/>
    <x v="7"/>
  </r>
  <r>
    <n v="1603"/>
    <s v="Richard Petrolawicz"/>
    <s v="philadelphia"/>
    <x v="0"/>
    <n v="8200"/>
    <x v="217"/>
    <d v="2018-09-07T00:00:00"/>
    <x v="1"/>
    <x v="6"/>
  </r>
  <r>
    <n v="1604"/>
    <s v="Richard Reeves, Jr."/>
    <s v="bensalem"/>
    <x v="0"/>
    <n v="8714"/>
    <x v="216"/>
    <d v="2019-12-12T00:00:00"/>
    <x v="1"/>
    <x v="7"/>
  </r>
  <r>
    <n v="1605"/>
    <s v="Richard Robus"/>
    <s v="dresher"/>
    <x v="0"/>
    <n v="9447"/>
    <x v="150"/>
    <d v="2023-12-08T00:00:00"/>
    <x v="1"/>
    <x v="5"/>
  </r>
  <r>
    <n v="1606"/>
    <s v="Richard Vogel"/>
    <s v="philadelphia"/>
    <x v="0"/>
    <n v="17368"/>
    <x v="68"/>
    <d v="2026-06-26T00:00:00"/>
    <x v="0"/>
    <x v="6"/>
  </r>
  <r>
    <n v="1607"/>
    <s v="Rick Kallish"/>
    <s v="wernersville"/>
    <x v="0"/>
    <n v="18303"/>
    <x v="605"/>
    <d v="2026-05-08T00:00:00"/>
    <x v="0"/>
    <x v="1"/>
  </r>
  <r>
    <n v="1608"/>
    <s v="Rika Barrett"/>
    <s v="feasterville"/>
    <x v="0"/>
    <n v="8159"/>
    <x v="170"/>
    <d v="2014-07-21T00:00:00"/>
    <x v="1"/>
    <x v="7"/>
  </r>
  <r>
    <n v="1609"/>
    <s v="Rina Elyce"/>
    <s v="jenkintown"/>
    <x v="0"/>
    <n v="15287"/>
    <x v="51"/>
    <d v="2026-06-30T00:00:00"/>
    <x v="0"/>
    <x v="5"/>
  </r>
  <r>
    <n v="1610"/>
    <s v="Robert  Gattone"/>
    <s v="philadelphia"/>
    <x v="0"/>
    <n v="15341"/>
    <x v="94"/>
    <d v="2026-07-29T00:00:00"/>
    <x v="0"/>
    <x v="6"/>
  </r>
  <r>
    <n v="1611"/>
    <s v="Robert  Morton"/>
    <s v="philadelphia"/>
    <x v="0"/>
    <n v="11829"/>
    <x v="333"/>
    <d v="2026-12-03T00:00:00"/>
    <x v="0"/>
    <x v="6"/>
  </r>
  <r>
    <n v="1612"/>
    <s v="Robert Ambrose"/>
    <s v="philadelphia"/>
    <x v="0"/>
    <n v="14938"/>
    <x v="110"/>
    <d v="2025-12-19T00:00:00"/>
    <x v="0"/>
    <x v="6"/>
  </r>
  <r>
    <n v="1613"/>
    <s v="Robert Barber"/>
    <s v="pennsburg"/>
    <x v="0"/>
    <n v="8331"/>
    <x v="81"/>
    <d v="2015-02-20T00:00:00"/>
    <x v="1"/>
    <x v="5"/>
  </r>
  <r>
    <n v="1614"/>
    <s v="Robert Bedford"/>
    <s v="trumbauersville"/>
    <x v="0"/>
    <n v="4064"/>
    <x v="109"/>
    <d v="2022-07-20T00:00:00"/>
    <x v="1"/>
    <x v="7"/>
  </r>
  <r>
    <n v="1615"/>
    <s v="Robert Bedford"/>
    <s v="trumbauersville"/>
    <x v="1"/>
    <n v="4064"/>
    <x v="421"/>
    <d v="2022-09-15T00:00:00"/>
    <x v="1"/>
    <x v="7"/>
  </r>
  <r>
    <n v="1616"/>
    <s v="Robert Blackiston"/>
    <s v="levittown"/>
    <x v="0"/>
    <n v="10246"/>
    <x v="79"/>
    <d v="2019-06-22T00:00:00"/>
    <x v="1"/>
    <x v="7"/>
  </r>
  <r>
    <n v="1617"/>
    <s v="Robert Collins"/>
    <s v="philadelphia"/>
    <x v="0"/>
    <n v="19404"/>
    <x v="438"/>
    <d v="2025-11-14T00:00:00"/>
    <x v="0"/>
    <x v="6"/>
  </r>
  <r>
    <n v="1618"/>
    <s v="Robert Coolbaugh"/>
    <s v="perkasie"/>
    <x v="0"/>
    <n v="18106"/>
    <x v="243"/>
    <d v="2024-12-12T00:00:00"/>
    <x v="2"/>
    <x v="7"/>
  </r>
  <r>
    <n v="1619"/>
    <s v="Robert Custer"/>
    <s v="norristown"/>
    <x v="0"/>
    <n v="10298"/>
    <x v="149"/>
    <d v="2025-06-29T00:00:00"/>
    <x v="0"/>
    <x v="5"/>
  </r>
  <r>
    <n v="1620"/>
    <s v="Robert Diaz"/>
    <s v="bensalem"/>
    <x v="0"/>
    <n v="8682"/>
    <x v="96"/>
    <d v="2025-11-25T00:00:00"/>
    <x v="0"/>
    <x v="7"/>
  </r>
  <r>
    <n v="1621"/>
    <s v="Robert Diaz"/>
    <s v="bensalem"/>
    <x v="1"/>
    <n v="8626"/>
    <x v="339"/>
    <d v="2026-06-14T00:00:00"/>
    <x v="0"/>
    <x v="7"/>
  </r>
  <r>
    <n v="1622"/>
    <s v="Robert Dill"/>
    <s v="upper darby"/>
    <x v="0"/>
    <n v="14005"/>
    <x v="19"/>
    <d v="2021-07-24T00:00:00"/>
    <x v="1"/>
    <x v="3"/>
  </r>
  <r>
    <n v="1623"/>
    <s v="Robert Dott"/>
    <s v="philadelphia"/>
    <x v="0"/>
    <n v="16120"/>
    <x v="57"/>
    <d v="2023-03-25T00:00:00"/>
    <x v="1"/>
    <x v="6"/>
  </r>
  <r>
    <n v="1624"/>
    <s v="Robert Flood"/>
    <s v="philadelphia"/>
    <x v="0"/>
    <n v="12681"/>
    <x v="665"/>
    <d v="2027-01-30T00:00:00"/>
    <x v="0"/>
    <x v="6"/>
  </r>
  <r>
    <n v="1625"/>
    <s v="Robert Garrett"/>
    <s v="philadelphia"/>
    <x v="0"/>
    <n v="13639"/>
    <x v="599"/>
    <d v="2021-06-18T00:00:00"/>
    <x v="1"/>
    <x v="6"/>
  </r>
  <r>
    <n v="1626"/>
    <s v="Robert Jackson"/>
    <s v="temple"/>
    <x v="0"/>
    <n v="7159"/>
    <x v="371"/>
    <d v="2025-02-14T00:00:00"/>
    <x v="2"/>
    <x v="1"/>
  </r>
  <r>
    <n v="1627"/>
    <s v="Robert Kobash"/>
    <s v="levittown"/>
    <x v="0"/>
    <n v="10257"/>
    <x v="79"/>
    <d v="2019-06-22T00:00:00"/>
    <x v="1"/>
    <x v="7"/>
  </r>
  <r>
    <n v="1628"/>
    <s v="Robert Lash"/>
    <s v="aston"/>
    <x v="0"/>
    <n v="10258"/>
    <x v="79"/>
    <d v="2019-06-22T00:00:00"/>
    <x v="1"/>
    <x v="3"/>
  </r>
  <r>
    <n v="1629"/>
    <s v="Robert Sellers"/>
    <s v="perkasie"/>
    <x v="0"/>
    <n v="15948"/>
    <x v="666"/>
    <d v="2027-02-10T00:00:00"/>
    <x v="0"/>
    <x v="7"/>
  </r>
  <r>
    <n v="1630"/>
    <s v="Robert Spencer Jr."/>
    <s v="honey brook"/>
    <x v="0"/>
    <n v="18491"/>
    <x v="114"/>
    <d v="2027-04-06T00:00:00"/>
    <x v="0"/>
    <x v="4"/>
  </r>
  <r>
    <n v="1631"/>
    <s v="Robert Strauber, Jr."/>
    <s v="morgantown"/>
    <x v="0"/>
    <n v="8272"/>
    <x v="89"/>
    <d v="2026-12-12T00:00:00"/>
    <x v="0"/>
    <x v="1"/>
  </r>
  <r>
    <n v="1632"/>
    <s v="Robert Strauber, Jr."/>
    <s v="morgantown"/>
    <x v="1"/>
    <n v="8272"/>
    <x v="667"/>
    <d v="2026-12-12T00:00:00"/>
    <x v="0"/>
    <x v="1"/>
  </r>
  <r>
    <n v="1633"/>
    <s v="Robert Weatherholtz"/>
    <s v="ephrata"/>
    <x v="0"/>
    <n v="18992"/>
    <x v="668"/>
    <d v="2025-08-17T00:00:00"/>
    <x v="0"/>
    <x v="2"/>
  </r>
  <r>
    <n v="1634"/>
    <s v="Robert Weatherholtz"/>
    <s v="ephrata"/>
    <x v="1"/>
    <n v="18992"/>
    <x v="669"/>
    <d v="2025-08-06T00:00:00"/>
    <x v="0"/>
    <x v="2"/>
  </r>
  <r>
    <n v="1635"/>
    <s v="Robert Williams"/>
    <s v="fairless hills"/>
    <x v="0"/>
    <n v="15869"/>
    <x v="311"/>
    <d v="2025-01-16T00:00:00"/>
    <x v="2"/>
    <x v="7"/>
  </r>
  <r>
    <n v="1636"/>
    <s v="Robert Wood"/>
    <s v="bristol"/>
    <x v="0"/>
    <n v="12784"/>
    <x v="116"/>
    <d v="2021-01-25T00:00:00"/>
    <x v="1"/>
    <x v="7"/>
  </r>
  <r>
    <n v="1637"/>
    <s v="Robyn Tutela-Zarli"/>
    <s v="bensalem"/>
    <x v="0"/>
    <n v="9545"/>
    <x v="61"/>
    <d v="2018-03-11T00:00:00"/>
    <x v="1"/>
    <x v="7"/>
  </r>
  <r>
    <n v="1638"/>
    <s v="Rodney Brown"/>
    <s v="philadelphia"/>
    <x v="0"/>
    <n v="8939"/>
    <x v="80"/>
    <d v="2018-06-27T00:00:00"/>
    <x v="1"/>
    <x v="6"/>
  </r>
  <r>
    <n v="1639"/>
    <s v="Rodney Smith"/>
    <s v="philadelphia"/>
    <x v="0"/>
    <n v="22103"/>
    <x v="1"/>
    <d v="2027-06-04T00:00:00"/>
    <x v="0"/>
    <x v="6"/>
  </r>
  <r>
    <n v="1640"/>
    <s v="Roger Cobb"/>
    <s v="philadelphia"/>
    <x v="0"/>
    <n v="14411"/>
    <x v="84"/>
    <d v="2021-08-20T00:00:00"/>
    <x v="1"/>
    <x v="6"/>
  </r>
  <r>
    <n v="1641"/>
    <s v="Roger Culbreth, Sr."/>
    <s v="lancaster"/>
    <x v="0"/>
    <n v="7659"/>
    <x v="670"/>
    <d v="2020-05-16T00:00:00"/>
    <x v="1"/>
    <x v="2"/>
  </r>
  <r>
    <n v="1642"/>
    <s v="Ronald  Averette Sr"/>
    <s v="philadelphia"/>
    <x v="0"/>
    <n v="21637"/>
    <x v="343"/>
    <d v="2027-03-07T00:00:00"/>
    <x v="0"/>
    <x v="6"/>
  </r>
  <r>
    <n v="1643"/>
    <s v="Ronald  Averette Sr"/>
    <s v="philadelphia"/>
    <x v="1"/>
    <n v="21637"/>
    <x v="384"/>
    <d v="2027-03-03T00:00:00"/>
    <x v="0"/>
    <x v="6"/>
  </r>
  <r>
    <n v="1644"/>
    <s v="Ronald Ford"/>
    <s v="philadelphia"/>
    <x v="0"/>
    <n v="8393"/>
    <x v="14"/>
    <d v="2019-04-29T00:00:00"/>
    <x v="1"/>
    <x v="6"/>
  </r>
  <r>
    <n v="1645"/>
    <s v="Ronald Richardson"/>
    <s v="philadelphia"/>
    <x v="0"/>
    <n v="18300"/>
    <x v="671"/>
    <d v="2025-02-16T00:00:00"/>
    <x v="2"/>
    <x v="6"/>
  </r>
  <r>
    <n v="1646"/>
    <s v="Ronald Richardson"/>
    <s v="philadelphia"/>
    <x v="1"/>
    <n v="18300"/>
    <x v="672"/>
    <d v="2025-02-15T00:00:00"/>
    <x v="2"/>
    <x v="6"/>
  </r>
  <r>
    <n v="1647"/>
    <s v="Ronald Sereny, Jr."/>
    <s v="norristown"/>
    <x v="0"/>
    <n v="12362"/>
    <x v="74"/>
    <d v="2020-09-26T00:00:00"/>
    <x v="1"/>
    <x v="5"/>
  </r>
  <r>
    <n v="1648"/>
    <s v="Ronald Sheppard"/>
    <s v="philadelphia"/>
    <x v="0"/>
    <n v="11045"/>
    <x v="156"/>
    <d v="2020-04-13T00:00:00"/>
    <x v="1"/>
    <x v="6"/>
  </r>
  <r>
    <n v="1649"/>
    <s v="Rosa DiBetta"/>
    <s v="sellersville"/>
    <x v="0"/>
    <n v="17310"/>
    <x v="673"/>
    <d v="2026-04-14T00:00:00"/>
    <x v="0"/>
    <x v="7"/>
  </r>
  <r>
    <n v="1650"/>
    <s v="Rosa DiBetta"/>
    <s v="sellersville"/>
    <x v="1"/>
    <n v="17310"/>
    <x v="674"/>
    <d v="2026-04-07T00:00:00"/>
    <x v="0"/>
    <x v="7"/>
  </r>
  <r>
    <n v="1651"/>
    <s v="Rosemary Velez"/>
    <s v="philadelphia"/>
    <x v="0"/>
    <n v="17223"/>
    <x v="675"/>
    <d v="2026-02-04T00:00:00"/>
    <x v="0"/>
    <x v="6"/>
  </r>
  <r>
    <n v="1652"/>
    <s v="Rosemary Velez"/>
    <s v="philadelphia"/>
    <x v="2"/>
    <n v="17223"/>
    <x v="662"/>
    <d v="2027-01-21T00:00:00"/>
    <x v="0"/>
    <x v="6"/>
  </r>
  <r>
    <n v="1653"/>
    <s v="Rowland Woodward IV"/>
    <s v="bristol"/>
    <x v="0"/>
    <n v="11775"/>
    <x v="139"/>
    <d v="2021-06-25T00:00:00"/>
    <x v="1"/>
    <x v="7"/>
  </r>
  <r>
    <n v="1654"/>
    <s v="Roxanne Armstead-Veasely"/>
    <s v="upper darby"/>
    <x v="0"/>
    <n v="8495"/>
    <x v="676"/>
    <d v="2018-11-30T00:00:00"/>
    <x v="1"/>
    <x v="3"/>
  </r>
  <r>
    <n v="1655"/>
    <s v="Roy Kelley"/>
    <s v="philadelphia"/>
    <x v="0"/>
    <n v="20951"/>
    <x v="677"/>
    <d v="2026-10-10T00:00:00"/>
    <x v="0"/>
    <x v="6"/>
  </r>
  <r>
    <n v="1656"/>
    <s v="Roy Murray"/>
    <s v="philadelphia"/>
    <x v="0"/>
    <n v="11350"/>
    <x v="135"/>
    <d v="2020-05-07T00:00:00"/>
    <x v="1"/>
    <x v="6"/>
  </r>
  <r>
    <n v="1657"/>
    <s v="Russell  Harold"/>
    <s v="philadelphia"/>
    <x v="0"/>
    <n v="16526"/>
    <x v="105"/>
    <d v="2025-06-25T00:00:00"/>
    <x v="0"/>
    <x v="6"/>
  </r>
  <r>
    <n v="1658"/>
    <s v="Russell Moses"/>
    <s v="philadelphia"/>
    <x v="0"/>
    <n v="14419"/>
    <x v="84"/>
    <d v="2021-08-20T00:00:00"/>
    <x v="1"/>
    <x v="6"/>
  </r>
  <r>
    <n v="1659"/>
    <s v="Ryan Allen"/>
    <s v="langhorne"/>
    <x v="0"/>
    <n v="9709"/>
    <x v="109"/>
    <d v="2026-07-20T00:00:00"/>
    <x v="0"/>
    <x v="7"/>
  </r>
  <r>
    <n v="1660"/>
    <s v="Ryan Anderson"/>
    <s v="philadelphia"/>
    <x v="0"/>
    <n v="18764"/>
    <x v="25"/>
    <d v="2025-06-21T00:00:00"/>
    <x v="0"/>
    <x v="6"/>
  </r>
  <r>
    <n v="1661"/>
    <s v="Ryan Bradley"/>
    <s v="reading"/>
    <x v="0"/>
    <n v="7778"/>
    <x v="678"/>
    <d v="2024-09-19T00:00:00"/>
    <x v="2"/>
    <x v="1"/>
  </r>
  <r>
    <n v="1662"/>
    <s v="Ryan DuBois"/>
    <s v="north wales"/>
    <x v="0"/>
    <n v="16824"/>
    <x v="679"/>
    <d v="2023-09-13T00:00:00"/>
    <x v="1"/>
    <x v="5"/>
  </r>
  <r>
    <n v="1663"/>
    <s v="Ryan Englehart"/>
    <s v="birdsboro"/>
    <x v="0"/>
    <n v="8864"/>
    <x v="123"/>
    <d v="2020-05-14T00:00:00"/>
    <x v="1"/>
    <x v="1"/>
  </r>
  <r>
    <n v="1664"/>
    <s v="Ryan Schweiger"/>
    <s v="boyertown"/>
    <x v="0"/>
    <n v="8652"/>
    <x v="164"/>
    <d v="2025-10-30T00:00:00"/>
    <x v="0"/>
    <x v="1"/>
  </r>
  <r>
    <n v="1665"/>
    <s v="Ryant Washington"/>
    <s v="philadelphia"/>
    <x v="0"/>
    <n v="8778"/>
    <x v="680"/>
    <d v="2025-02-14T00:00:00"/>
    <x v="2"/>
    <x v="6"/>
  </r>
  <r>
    <n v="1666"/>
    <s v="Saafir Ahadr"/>
    <s v="quakertown"/>
    <x v="0"/>
    <n v="8666"/>
    <x v="164"/>
    <d v="2015-10-30T00:00:00"/>
    <x v="1"/>
    <x v="7"/>
  </r>
  <r>
    <n v="1667"/>
    <s v="Sabrina Dalton"/>
    <s v="philadelphia"/>
    <x v="0"/>
    <n v="11706"/>
    <x v="104"/>
    <d v="2020-06-21T00:00:00"/>
    <x v="1"/>
    <x v="6"/>
  </r>
  <r>
    <n v="1668"/>
    <s v="Sabrina D'Angelo"/>
    <s v="philadelphia"/>
    <x v="0"/>
    <n v="20918"/>
    <x v="173"/>
    <d v="2026-10-02T00:00:00"/>
    <x v="0"/>
    <x v="6"/>
  </r>
  <r>
    <n v="1669"/>
    <s v="Saia Baird"/>
    <s v="philadelphia"/>
    <x v="0"/>
    <n v="17574"/>
    <x v="681"/>
    <d v="2024-06-20T00:00:00"/>
    <x v="2"/>
    <x v="6"/>
  </r>
  <r>
    <n v="1670"/>
    <s v="Salisa Brantley-Seignious"/>
    <s v="birdsboro"/>
    <x v="0"/>
    <n v="12263"/>
    <x v="30"/>
    <d v="2027-02-08T00:00:00"/>
    <x v="0"/>
    <x v="1"/>
  </r>
  <r>
    <n v="1671"/>
    <s v="Samantha  Piotrkowski"/>
    <s v="blandon"/>
    <x v="0"/>
    <n v="16858"/>
    <x v="273"/>
    <d v="2025-09-22T00:00:00"/>
    <x v="0"/>
    <x v="1"/>
  </r>
  <r>
    <n v="1672"/>
    <s v="Samantha Burdick"/>
    <s v="ephrata"/>
    <x v="0"/>
    <n v="13701"/>
    <x v="27"/>
    <d v="2023-06-24T00:00:00"/>
    <x v="1"/>
    <x v="2"/>
  </r>
  <r>
    <n v="1673"/>
    <s v="Samantha Carfagno"/>
    <s v="philadelphia"/>
    <x v="0"/>
    <n v="20994"/>
    <x v="205"/>
    <d v="2026-10-15T00:00:00"/>
    <x v="0"/>
    <x v="6"/>
  </r>
  <r>
    <n v="1674"/>
    <s v="Samantha Dillman"/>
    <s v="reading"/>
    <x v="0"/>
    <n v="10119"/>
    <x v="63"/>
    <d v="2021-04-21T00:00:00"/>
    <x v="1"/>
    <x v="1"/>
  </r>
  <r>
    <n v="1675"/>
    <s v="Samantha Flaim"/>
    <s v="barnesville"/>
    <x v="0"/>
    <n v="18060"/>
    <x v="682"/>
    <d v="2024-11-22T00:00:00"/>
    <x v="2"/>
    <x v="0"/>
  </r>
  <r>
    <n v="1676"/>
    <s v="Samantha Isabell"/>
    <s v="quakertown"/>
    <x v="0"/>
    <n v="9720"/>
    <x v="109"/>
    <d v="2020-07-20T00:00:00"/>
    <x v="1"/>
    <x v="7"/>
  </r>
  <r>
    <n v="1677"/>
    <s v="Samantha Kaisinger"/>
    <s v="langhorne"/>
    <x v="0"/>
    <n v="9244"/>
    <x v="308"/>
    <d v="2017-06-25T00:00:00"/>
    <x v="1"/>
    <x v="7"/>
  </r>
  <r>
    <n v="1678"/>
    <s v="Samantha Osterlof"/>
    <s v="akron"/>
    <x v="0"/>
    <n v="15951"/>
    <x v="683"/>
    <d v="2025-02-12T00:00:00"/>
    <x v="2"/>
    <x v="2"/>
  </r>
  <r>
    <n v="1679"/>
    <s v="Samantha Osterlof"/>
    <s v="akron"/>
    <x v="1"/>
    <n v="15951"/>
    <x v="248"/>
    <d v="2024-01-04T00:00:00"/>
    <x v="1"/>
    <x v="2"/>
  </r>
  <r>
    <n v="1680"/>
    <s v="Samuel Albert, Jr."/>
    <s v="reading"/>
    <x v="0"/>
    <n v="7772"/>
    <x v="264"/>
    <d v="2025-03-11T00:00:00"/>
    <x v="2"/>
    <x v="1"/>
  </r>
  <r>
    <n v="1681"/>
    <s v="Samuel Albert, Jr."/>
    <s v="reading"/>
    <x v="1"/>
    <n v="7772"/>
    <x v="684"/>
    <d v="2025-03-11T00:00:00"/>
    <x v="2"/>
    <x v="1"/>
  </r>
  <r>
    <n v="1682"/>
    <s v="Samuel Haubert"/>
    <s v="lancaster"/>
    <x v="0"/>
    <n v="20859"/>
    <x v="646"/>
    <d v="2026-09-19T00:00:00"/>
    <x v="0"/>
    <x v="2"/>
  </r>
  <r>
    <n v="1683"/>
    <s v="Sandra Benner"/>
    <s v="pennsburg"/>
    <x v="0"/>
    <n v="11094"/>
    <x v="95"/>
    <d v="2020-09-07T00:00:00"/>
    <x v="1"/>
    <x v="5"/>
  </r>
  <r>
    <n v="1684"/>
    <s v="Sandra Reedy"/>
    <s v="reading"/>
    <x v="0"/>
    <n v="13582"/>
    <x v="339"/>
    <d v="2021-06-14T00:00:00"/>
    <x v="1"/>
    <x v="1"/>
  </r>
  <r>
    <n v="1685"/>
    <s v="Saquona  Crawford"/>
    <s v="philadelphia"/>
    <x v="0"/>
    <n v="17989"/>
    <x v="685"/>
    <d v="2026-10-29T00:00:00"/>
    <x v="0"/>
    <x v="6"/>
  </r>
  <r>
    <n v="1686"/>
    <s v="Sara Colvin"/>
    <s v="croydon"/>
    <x v="0"/>
    <n v="8702"/>
    <x v="216"/>
    <d v="2015-12-12T00:00:00"/>
    <x v="1"/>
    <x v="7"/>
  </r>
  <r>
    <n v="1687"/>
    <s v="Sara Cubano"/>
    <s v="marietta"/>
    <x v="0"/>
    <n v="10384"/>
    <x v="686"/>
    <d v="2019-09-12T00:00:00"/>
    <x v="1"/>
    <x v="2"/>
  </r>
  <r>
    <n v="1688"/>
    <s v="Sara Doud"/>
    <s v="exton"/>
    <x v="1"/>
    <n v="18442"/>
    <x v="687"/>
    <d v="2027-03-21T00:00:00"/>
    <x v="0"/>
    <x v="4"/>
  </r>
  <r>
    <n v="1689"/>
    <s v="Sara Fouad"/>
    <s v="croydon"/>
    <x v="0"/>
    <n v="20865"/>
    <x v="131"/>
    <d v="2026-09-20T00:00:00"/>
    <x v="0"/>
    <x v="7"/>
  </r>
  <r>
    <n v="1690"/>
    <s v="Sara Gefvert"/>
    <s v="ridley park"/>
    <x v="0"/>
    <n v="10025"/>
    <x v="134"/>
    <d v="2025-01-31T00:00:00"/>
    <x v="2"/>
    <x v="3"/>
  </r>
  <r>
    <n v="1691"/>
    <s v="Sara Groome"/>
    <s v="philadelphia"/>
    <x v="0"/>
    <n v="15717"/>
    <x v="52"/>
    <d v="2026-12-07T00:00:00"/>
    <x v="0"/>
    <x v="6"/>
  </r>
  <r>
    <n v="1692"/>
    <s v="Sarah Aila"/>
    <s v="ephrata"/>
    <x v="0"/>
    <n v="19156"/>
    <x v="133"/>
    <d v="2026-09-27T00:00:00"/>
    <x v="0"/>
    <x v="2"/>
  </r>
  <r>
    <n v="1693"/>
    <s v="Sarah Alley"/>
    <s v="reading"/>
    <x v="0"/>
    <n v="7939"/>
    <x v="454"/>
    <d v="2025-08-15T00:00:00"/>
    <x v="0"/>
    <x v="1"/>
  </r>
  <r>
    <n v="1694"/>
    <s v="Sarah Carroll"/>
    <s v="philadelphia"/>
    <x v="0"/>
    <n v="19394"/>
    <x v="438"/>
    <d v="2025-11-14T00:00:00"/>
    <x v="0"/>
    <x v="6"/>
  </r>
  <r>
    <n v="1695"/>
    <s v="Sarah Hill"/>
    <s v="tamaqua"/>
    <x v="0"/>
    <n v="15010"/>
    <x v="122"/>
    <d v="2022-01-10T00:00:00"/>
    <x v="1"/>
    <x v="0"/>
  </r>
  <r>
    <n v="1696"/>
    <s v="Sarah Hill"/>
    <s v="tamaqua"/>
    <x v="1"/>
    <n v="15010"/>
    <x v="688"/>
    <d v="2023-03-23T00:00:00"/>
    <x v="1"/>
    <x v="0"/>
  </r>
  <r>
    <n v="1697"/>
    <s v="Sarah Jacobs"/>
    <s v="lancaster"/>
    <x v="0"/>
    <n v="13712"/>
    <x v="27"/>
    <d v="2023-06-24T00:00:00"/>
    <x v="1"/>
    <x v="2"/>
  </r>
  <r>
    <n v="1698"/>
    <s v="Sarah Mohl"/>
    <s v="minersville"/>
    <x v="0"/>
    <n v="17400"/>
    <x v="645"/>
    <d v="2026-04-28T00:00:00"/>
    <x v="0"/>
    <x v="0"/>
  </r>
  <r>
    <n v="1699"/>
    <s v="Saulene Llanes"/>
    <s v="philadelphia"/>
    <x v="0"/>
    <n v="10651"/>
    <x v="36"/>
    <d v="2026-01-18T00:00:00"/>
    <x v="0"/>
    <x v="6"/>
  </r>
  <r>
    <n v="1700"/>
    <s v="Saundra Robinson"/>
    <s v="collegeville"/>
    <x v="0"/>
    <n v="14423"/>
    <x v="84"/>
    <d v="2021-08-20T00:00:00"/>
    <x v="1"/>
    <x v="5"/>
  </r>
  <r>
    <n v="1701"/>
    <s v="Scott Brody"/>
    <s v="morrisville"/>
    <x v="0"/>
    <n v="9164"/>
    <x v="129"/>
    <d v="2017-05-08T00:00:00"/>
    <x v="1"/>
    <x v="7"/>
  </r>
  <r>
    <n v="1702"/>
    <s v="Scott Giacomucci"/>
    <s v="phoenixville"/>
    <x v="0"/>
    <n v="8633"/>
    <x v="323"/>
    <d v="2015-09-13T00:00:00"/>
    <x v="1"/>
    <x v="4"/>
  </r>
  <r>
    <n v="1703"/>
    <s v="Scott Hoffman"/>
    <s v="phoenixville"/>
    <x v="0"/>
    <n v="18691"/>
    <x v="689"/>
    <d v="2025-06-07T00:00:00"/>
    <x v="2"/>
    <x v="4"/>
  </r>
  <r>
    <n v="1704"/>
    <s v="Scott Kimmel"/>
    <s v="reading"/>
    <x v="0"/>
    <n v="10296"/>
    <x v="149"/>
    <d v="2027-06-29T00:00:00"/>
    <x v="0"/>
    <x v="1"/>
  </r>
  <r>
    <n v="1705"/>
    <s v="Scott Kuhn"/>
    <s v="quakertown"/>
    <x v="1"/>
    <n v="19534"/>
    <x v="385"/>
    <d v="2025-12-12T00:00:00"/>
    <x v="0"/>
    <x v="7"/>
  </r>
  <r>
    <n v="1706"/>
    <s v="Scott Miller"/>
    <s v="reading"/>
    <x v="0"/>
    <n v="9657"/>
    <x v="194"/>
    <d v="2018-06-16T00:00:00"/>
    <x v="1"/>
    <x v="1"/>
  </r>
  <r>
    <n v="1707"/>
    <s v="Scott Theurer"/>
    <s v="washington boro"/>
    <x v="0"/>
    <n v="9739"/>
    <x v="690"/>
    <d v="2024-08-04T00:00:00"/>
    <x v="2"/>
    <x v="2"/>
  </r>
  <r>
    <n v="1708"/>
    <s v="Scott Theurer"/>
    <s v="washington boro"/>
    <x v="2"/>
    <n v="9739"/>
    <x v="691"/>
    <d v="2026-02-14T00:00:00"/>
    <x v="0"/>
    <x v="2"/>
  </r>
  <r>
    <n v="1709"/>
    <s v="Scott Tyson"/>
    <s v="souderton"/>
    <x v="0"/>
    <n v="9451"/>
    <x v="150"/>
    <d v="2017-12-08T00:00:00"/>
    <x v="1"/>
    <x v="5"/>
  </r>
  <r>
    <n v="1710"/>
    <s v="Sean Casey"/>
    <s v="aston"/>
    <x v="0"/>
    <n v="17036"/>
    <x v="692"/>
    <d v="2024-09-18T00:00:00"/>
    <x v="2"/>
    <x v="3"/>
  </r>
  <r>
    <n v="1711"/>
    <s v="Sean Fogler"/>
    <s v="philadelphia"/>
    <x v="0"/>
    <n v="13333"/>
    <x v="228"/>
    <d v="2021-05-14T00:00:00"/>
    <x v="1"/>
    <x v="6"/>
  </r>
  <r>
    <n v="1712"/>
    <s v="Sean Malak"/>
    <s v="leesport"/>
    <x v="0"/>
    <n v="11827"/>
    <x v="72"/>
    <d v="2022-06-28T00:00:00"/>
    <x v="1"/>
    <x v="1"/>
  </r>
  <r>
    <n v="1713"/>
    <s v="Sean McManus"/>
    <s v="bristol"/>
    <x v="0"/>
    <n v="21213"/>
    <x v="693"/>
    <d v="2026-12-05T00:00:00"/>
    <x v="0"/>
    <x v="7"/>
  </r>
  <r>
    <n v="1714"/>
    <s v="Seth Hornbeck"/>
    <s v="norristown"/>
    <x v="0"/>
    <n v="21649"/>
    <x v="694"/>
    <d v="2027-03-05T00:00:00"/>
    <x v="0"/>
    <x v="5"/>
  </r>
  <r>
    <n v="1715"/>
    <s v="Seth Hornbeck"/>
    <s v="norristown"/>
    <x v="1"/>
    <n v="21649"/>
    <x v="694"/>
    <d v="2027-03-05T00:00:00"/>
    <x v="0"/>
    <x v="5"/>
  </r>
  <r>
    <n v="1716"/>
    <s v="Shahida Mimms"/>
    <s v="philadelphia"/>
    <x v="0"/>
    <n v="9045"/>
    <x v="279"/>
    <d v="2023-03-29T00:00:00"/>
    <x v="1"/>
    <x v="6"/>
  </r>
  <r>
    <n v="1717"/>
    <s v="ShaMar Benjamin"/>
    <s v="philadelphia"/>
    <x v="0"/>
    <n v="14000"/>
    <x v="19"/>
    <d v="2023-07-24T00:00:00"/>
    <x v="1"/>
    <x v="6"/>
  </r>
  <r>
    <n v="1718"/>
    <s v="Shane Curry"/>
    <s v="croydon"/>
    <x v="0"/>
    <n v="14941"/>
    <x v="110"/>
    <d v="2021-12-19T00:00:00"/>
    <x v="1"/>
    <x v="7"/>
  </r>
  <r>
    <n v="1719"/>
    <s v="Shane Evans"/>
    <s v="tamaqua"/>
    <x v="0"/>
    <n v="13567"/>
    <x v="339"/>
    <d v="2027-06-14T00:00:00"/>
    <x v="0"/>
    <x v="0"/>
  </r>
  <r>
    <n v="1720"/>
    <s v="Shane Evans"/>
    <s v="tamaqua"/>
    <x v="1"/>
    <n v="13567"/>
    <x v="497"/>
    <d v="2026-11-17T00:00:00"/>
    <x v="0"/>
    <x v="0"/>
  </r>
  <r>
    <n v="1721"/>
    <s v="Shane Madden"/>
    <s v="phoenixville"/>
    <x v="0"/>
    <n v="17690"/>
    <x v="695"/>
    <d v="2024-07-28T00:00:00"/>
    <x v="2"/>
    <x v="4"/>
  </r>
  <r>
    <n v="1722"/>
    <s v="Shane Nieves"/>
    <s v="philadelphia"/>
    <x v="1"/>
    <n v="17964"/>
    <x v="696"/>
    <d v="2024-10-19T00:00:00"/>
    <x v="2"/>
    <x v="6"/>
  </r>
  <r>
    <n v="1723"/>
    <s v="Shaniece Carroll"/>
    <s v="philadelphia"/>
    <x v="0"/>
    <n v="13733"/>
    <x v="139"/>
    <d v="2025-06-25T00:00:00"/>
    <x v="0"/>
    <x v="6"/>
  </r>
  <r>
    <n v="1724"/>
    <s v="Shannon Belton"/>
    <s v="ephrata"/>
    <x v="1"/>
    <n v="13127"/>
    <x v="697"/>
    <d v="2023-04-04T00:00:00"/>
    <x v="1"/>
    <x v="2"/>
  </r>
  <r>
    <n v="1725"/>
    <s v="Shannon Kilner"/>
    <s v="philadelphia"/>
    <x v="1"/>
    <n v="12881"/>
    <x v="698"/>
    <d v="2023-02-22T00:00:00"/>
    <x v="1"/>
    <x v="6"/>
  </r>
  <r>
    <n v="1726"/>
    <s v="Shannon Opdenaker"/>
    <s v="media"/>
    <x v="0"/>
    <n v="21620"/>
    <x v="699"/>
    <d v="2027-02-27T00:00:00"/>
    <x v="0"/>
    <x v="3"/>
  </r>
  <r>
    <n v="1727"/>
    <s v="Sharon Bader"/>
    <s v="downingtown"/>
    <x v="1"/>
    <n v="21821"/>
    <x v="700"/>
    <d v="2027-04-10T00:00:00"/>
    <x v="0"/>
    <x v="4"/>
  </r>
  <r>
    <n v="1728"/>
    <s v="Sharon Daghigh"/>
    <s v="phoenixville"/>
    <x v="0"/>
    <n v="10648"/>
    <x v="36"/>
    <d v="2020-01-18T00:00:00"/>
    <x v="1"/>
    <x v="4"/>
  </r>
  <r>
    <n v="1729"/>
    <s v="Sharon McCool"/>
    <s v="sellersville"/>
    <x v="0"/>
    <n v="8658"/>
    <x v="164"/>
    <d v="2017-10-30T00:00:00"/>
    <x v="1"/>
    <x v="7"/>
  </r>
  <r>
    <n v="1730"/>
    <s v="Sharon Webster"/>
    <s v="philadelphia"/>
    <x v="0"/>
    <n v="8400"/>
    <x v="14"/>
    <d v="2015-04-29T00:00:00"/>
    <x v="1"/>
    <x v="6"/>
  </r>
  <r>
    <n v="1731"/>
    <s v="Sharon White"/>
    <s v="lansdowne"/>
    <x v="0"/>
    <n v="9518"/>
    <x v="507"/>
    <d v="2018-02-11T00:00:00"/>
    <x v="1"/>
    <x v="3"/>
  </r>
  <r>
    <n v="1732"/>
    <s v="Sharonda Eldridge"/>
    <s v="philadelphia"/>
    <x v="0"/>
    <n v="10001"/>
    <x v="48"/>
    <d v="2019-01-18T00:00:00"/>
    <x v="1"/>
    <x v="6"/>
  </r>
  <r>
    <n v="1733"/>
    <s v="Shaun Carbone"/>
    <s v="croydon"/>
    <x v="1"/>
    <n v="16729"/>
    <x v="701"/>
    <d v="2023-08-02T00:00:00"/>
    <x v="1"/>
    <x v="7"/>
  </r>
  <r>
    <n v="1734"/>
    <s v="Shaun McKenna"/>
    <s v="wayne"/>
    <x v="0"/>
    <n v="15518"/>
    <x v="181"/>
    <d v="2022-09-22T00:00:00"/>
    <x v="1"/>
    <x v="3"/>
  </r>
  <r>
    <n v="1735"/>
    <s v="Shawn Grisom"/>
    <s v="pottsville"/>
    <x v="0"/>
    <n v="10476"/>
    <x v="404"/>
    <d v="2019-10-27T00:00:00"/>
    <x v="1"/>
    <x v="0"/>
  </r>
  <r>
    <n v="1736"/>
    <s v="Shawn Lauger"/>
    <s v="warrington"/>
    <x v="0"/>
    <n v="19597"/>
    <x v="321"/>
    <d v="2025-12-19T00:00:00"/>
    <x v="0"/>
    <x v="7"/>
  </r>
  <r>
    <n v="1737"/>
    <s v="Shawn McNichol"/>
    <s v="conestoga"/>
    <x v="0"/>
    <n v="2412"/>
    <x v="702"/>
    <d v="2026-10-05T00:00:00"/>
    <x v="0"/>
    <x v="2"/>
  </r>
  <r>
    <n v="1738"/>
    <s v="Shawn Stankiewicz"/>
    <s v="philadelphia"/>
    <x v="0"/>
    <n v="21062"/>
    <x v="448"/>
    <d v="2026-10-30T00:00:00"/>
    <x v="0"/>
    <x v="6"/>
  </r>
  <r>
    <n v="1739"/>
    <s v="Shawna  Howard"/>
    <s v="mohnton"/>
    <x v="0"/>
    <n v="21883"/>
    <x v="703"/>
    <d v="2027-04-27T00:00:00"/>
    <x v="0"/>
    <x v="1"/>
  </r>
  <r>
    <n v="1740"/>
    <s v="Shayla Henderson"/>
    <s v="philadelphia"/>
    <x v="0"/>
    <n v="20507"/>
    <x v="68"/>
    <d v="2026-06-26T00:00:00"/>
    <x v="0"/>
    <x v="6"/>
  </r>
  <r>
    <n v="1741"/>
    <s v="Shayna Thorpe"/>
    <s v="brookhaven"/>
    <x v="0"/>
    <n v="17123"/>
    <x v="704"/>
    <d v="2026-01-21T00:00:00"/>
    <x v="0"/>
    <x v="3"/>
  </r>
  <r>
    <n v="1742"/>
    <s v="Sheila Hall-Prioleau"/>
    <s v="norristown"/>
    <x v="0"/>
    <n v="10766"/>
    <x v="181"/>
    <d v="2026-09-22T00:00:00"/>
    <x v="0"/>
    <x v="5"/>
  </r>
  <r>
    <n v="1743"/>
    <s v="Shelby Zeller"/>
    <s v="bensalem"/>
    <x v="1"/>
    <n v="18323"/>
    <x v="671"/>
    <d v="2025-02-16T00:00:00"/>
    <x v="2"/>
    <x v="7"/>
  </r>
  <r>
    <n v="1744"/>
    <s v="Shelly Bell"/>
    <s v="philadelphia"/>
    <x v="0"/>
    <n v="14232"/>
    <x v="224"/>
    <d v="2021-11-01T00:00:00"/>
    <x v="1"/>
    <x v="6"/>
  </r>
  <r>
    <n v="1745"/>
    <s v="Sheri Peifly"/>
    <s v="lancaster"/>
    <x v="0"/>
    <n v="10082"/>
    <x v="176"/>
    <d v="2025-08-28T00:00:00"/>
    <x v="0"/>
    <x v="2"/>
  </r>
  <r>
    <n v="1746"/>
    <s v="Sheri Peifly"/>
    <s v="lancaster"/>
    <x v="2"/>
    <n v="10082"/>
    <x v="705"/>
    <d v="2025-07-19T00:00:00"/>
    <x v="0"/>
    <x v="2"/>
  </r>
  <r>
    <n v="1747"/>
    <s v="She-Ria Bethea"/>
    <s v="norristown"/>
    <x v="0"/>
    <n v="8964"/>
    <x v="73"/>
    <d v="2018-07-29T00:00:00"/>
    <x v="1"/>
    <x v="5"/>
  </r>
  <r>
    <n v="1748"/>
    <s v="Sherita Mouzon"/>
    <s v="philadelphia"/>
    <x v="0"/>
    <n v="9342"/>
    <x v="510"/>
    <d v="2017-09-10T00:00:00"/>
    <x v="1"/>
    <x v="6"/>
  </r>
  <r>
    <n v="1749"/>
    <s v="Sherman Griffin"/>
    <s v="philadelphia"/>
    <x v="0"/>
    <n v="17001"/>
    <x v="67"/>
    <d v="2027-02-19T00:00:00"/>
    <x v="0"/>
    <x v="6"/>
  </r>
  <r>
    <n v="1750"/>
    <s v="Sherman Griffin"/>
    <s v="philadelphia"/>
    <x v="1"/>
    <n v="17001"/>
    <x v="706"/>
    <d v="2026-12-26T00:00:00"/>
    <x v="0"/>
    <x v="6"/>
  </r>
  <r>
    <n v="1751"/>
    <s v="Sherri Hutchison"/>
    <s v="bristol"/>
    <x v="0"/>
    <n v="9719"/>
    <x v="109"/>
    <d v="2018-07-20T00:00:00"/>
    <x v="1"/>
    <x v="7"/>
  </r>
  <r>
    <n v="1752"/>
    <s v="Sherry McKennie"/>
    <s v="philadelphia"/>
    <x v="0"/>
    <n v="15519"/>
    <x v="181"/>
    <d v="2022-09-22T00:00:00"/>
    <x v="1"/>
    <x v="6"/>
  </r>
  <r>
    <n v="1753"/>
    <s v="Shirlena Sample"/>
    <s v="reading"/>
    <x v="0"/>
    <n v="10303"/>
    <x v="149"/>
    <d v="2019-06-29T00:00:00"/>
    <x v="1"/>
    <x v="1"/>
  </r>
  <r>
    <n v="1754"/>
    <s v="Shonda Palmer"/>
    <s v="philadelphia"/>
    <x v="0"/>
    <n v="19870"/>
    <x v="46"/>
    <d v="2026-02-14T00:00:00"/>
    <x v="0"/>
    <x v="6"/>
  </r>
  <r>
    <n v="1755"/>
    <s v="Shymeka Wright"/>
    <s v="philadelphia"/>
    <x v="0"/>
    <n v="10015"/>
    <x v="48"/>
    <d v="2019-01-18T00:00:00"/>
    <x v="1"/>
    <x v="6"/>
  </r>
  <r>
    <n v="1756"/>
    <s v="Siddeequah Felder"/>
    <s v="philadelphia"/>
    <x v="0"/>
    <n v="21738"/>
    <x v="707"/>
    <d v="2027-03-17T00:00:00"/>
    <x v="0"/>
    <x v="6"/>
  </r>
  <r>
    <n v="1757"/>
    <s v="Siddeequah Felder"/>
    <s v="philadelphia"/>
    <x v="1"/>
    <n v="21721"/>
    <x v="118"/>
    <d v="2027-03-12T00:00:00"/>
    <x v="0"/>
    <x v="6"/>
  </r>
  <r>
    <n v="1758"/>
    <s v="Sonia Thompson"/>
    <s v="philadelphia"/>
    <x v="0"/>
    <n v="8568"/>
    <x v="71"/>
    <d v="2027-07-30T00:00:00"/>
    <x v="0"/>
    <x v="6"/>
  </r>
  <r>
    <n v="1759"/>
    <s v="Sophia Carabba"/>
    <s v="roslyn"/>
    <x v="1"/>
    <n v="16287"/>
    <x v="708"/>
    <d v="2023-05-29T00:00:00"/>
    <x v="1"/>
    <x v="5"/>
  </r>
  <r>
    <n v="1760"/>
    <s v="Sophia Lombardo"/>
    <s v="lancaster"/>
    <x v="0"/>
    <n v="13013"/>
    <x v="709"/>
    <d v="2023-03-12T00:00:00"/>
    <x v="1"/>
    <x v="2"/>
  </r>
  <r>
    <n v="1761"/>
    <s v="Sophie Watts"/>
    <s v="langhorne"/>
    <x v="0"/>
    <n v="17415"/>
    <x v="710"/>
    <d v="2024-05-04T00:00:00"/>
    <x v="1"/>
    <x v="7"/>
  </r>
  <r>
    <n v="1762"/>
    <s v="Sousan Robinson"/>
    <s v="glenside"/>
    <x v="1"/>
    <n v="14095"/>
    <x v="711"/>
    <d v="2021-07-31T00:00:00"/>
    <x v="1"/>
    <x v="5"/>
  </r>
  <r>
    <n v="1763"/>
    <s v="Soydan Akyol"/>
    <s v="reading"/>
    <x v="0"/>
    <n v="8948"/>
    <x v="712"/>
    <d v="2016-07-09T00:00:00"/>
    <x v="1"/>
    <x v="1"/>
  </r>
  <r>
    <n v="1764"/>
    <s v="Stacey Brown"/>
    <s v="bensalem"/>
    <x v="0"/>
    <n v="21697"/>
    <x v="713"/>
    <d v="2027-03-11T00:00:00"/>
    <x v="0"/>
    <x v="7"/>
  </r>
  <r>
    <n v="1765"/>
    <s v="Stacey Huber"/>
    <s v="philadelphia"/>
    <x v="0"/>
    <n v="10222"/>
    <x v="578"/>
    <d v="2019-06-17T00:00:00"/>
    <x v="1"/>
    <x v="6"/>
  </r>
  <r>
    <n v="1766"/>
    <s v="Stacy Emminger"/>
    <s v="mount joy"/>
    <x v="1"/>
    <n v="11412"/>
    <x v="714"/>
    <d v="2026-05-16T00:00:00"/>
    <x v="0"/>
    <x v="2"/>
  </r>
  <r>
    <n v="1767"/>
    <s v="Stanley Papademetriou"/>
    <s v="reading"/>
    <x v="0"/>
    <n v="8874"/>
    <x v="123"/>
    <d v="2022-05-15T00:00:00"/>
    <x v="1"/>
    <x v="1"/>
  </r>
  <r>
    <n v="1768"/>
    <s v="Star Breinig"/>
    <s v="tamaqua"/>
    <x v="0"/>
    <n v="10176"/>
    <x v="369"/>
    <d v="2019-06-10T00:00:00"/>
    <x v="1"/>
    <x v="0"/>
  </r>
  <r>
    <n v="1769"/>
    <s v="Stasia Webster"/>
    <s v="philadelphia"/>
    <x v="0"/>
    <n v="8456"/>
    <x v="106"/>
    <d v="2015-05-18T00:00:00"/>
    <x v="1"/>
    <x v="6"/>
  </r>
  <r>
    <n v="1770"/>
    <s v="Stefanie Lee"/>
    <s v="philadelphia"/>
    <x v="1"/>
    <n v="16851"/>
    <x v="715"/>
    <d v="2023-09-23T00:00:00"/>
    <x v="1"/>
    <x v="6"/>
  </r>
  <r>
    <n v="1771"/>
    <s v="Stephanie  Blanche"/>
    <s v="drexel hill"/>
    <x v="0"/>
    <n v="15337"/>
    <x v="94"/>
    <d v="2022-07-29T00:00:00"/>
    <x v="1"/>
    <x v="3"/>
  </r>
  <r>
    <n v="1772"/>
    <s v="Stephanie  Butler"/>
    <s v="philadelphia"/>
    <x v="0"/>
    <n v="19764"/>
    <x v="716"/>
    <d v="2026-01-24T00:00:00"/>
    <x v="0"/>
    <x v="6"/>
  </r>
  <r>
    <n v="1773"/>
    <s v="Stephanie  Butler"/>
    <s v="philadelphia"/>
    <x v="1"/>
    <n v="19764"/>
    <x v="717"/>
    <d v="2026-02-06T00:00:00"/>
    <x v="0"/>
    <x v="6"/>
  </r>
  <r>
    <n v="1774"/>
    <s v="Stephanie  Engleman"/>
    <s v="reading"/>
    <x v="0"/>
    <n v="19234"/>
    <x v="426"/>
    <d v="2025-10-03T00:00:00"/>
    <x v="0"/>
    <x v="1"/>
  </r>
  <r>
    <n v="1775"/>
    <s v="Stephanie  Schultz"/>
    <s v="telford"/>
    <x v="0"/>
    <n v="18048"/>
    <x v="718"/>
    <d v="2024-11-17T00:00:00"/>
    <x v="2"/>
    <x v="5"/>
  </r>
  <r>
    <n v="1776"/>
    <s v="Stephanie  Schultz"/>
    <s v="telford"/>
    <x v="1"/>
    <n v="18048"/>
    <x v="719"/>
    <d v="2025-09-28T00:00:00"/>
    <x v="0"/>
    <x v="5"/>
  </r>
  <r>
    <n v="1777"/>
    <s v="Stephanie Beamer"/>
    <s v="lancaster"/>
    <x v="0"/>
    <n v="17322"/>
    <x v="237"/>
    <d v="2024-04-08T00:00:00"/>
    <x v="1"/>
    <x v="2"/>
  </r>
  <r>
    <n v="1778"/>
    <s v="Stephanie DiPietro"/>
    <s v="morgantown"/>
    <x v="0"/>
    <n v="15012"/>
    <x v="122"/>
    <d v="2022-01-10T00:00:00"/>
    <x v="1"/>
    <x v="1"/>
  </r>
  <r>
    <n v="1779"/>
    <s v="Stephanie Fillius"/>
    <s v="philadelphia"/>
    <x v="0"/>
    <n v="14803"/>
    <x v="117"/>
    <d v="2021-11-18T00:00:00"/>
    <x v="1"/>
    <x v="6"/>
  </r>
  <r>
    <n v="1780"/>
    <s v="Stephanie Presbery"/>
    <s v="philadelphia"/>
    <x v="0"/>
    <n v="3768"/>
    <x v="720"/>
    <d v="2019-06-01T00:00:00"/>
    <x v="1"/>
    <x v="6"/>
  </r>
  <r>
    <n v="1781"/>
    <s v="Stephanie Scully"/>
    <s v="langhorne"/>
    <x v="0"/>
    <n v="10655"/>
    <x v="36"/>
    <d v="2022-01-18T00:00:00"/>
    <x v="1"/>
    <x v="7"/>
  </r>
  <r>
    <n v="1782"/>
    <s v="Stephanie Smith"/>
    <s v="sassamansville"/>
    <x v="0"/>
    <n v="8876"/>
    <x v="123"/>
    <d v="2016-05-15T00:00:00"/>
    <x v="1"/>
    <x v="5"/>
  </r>
  <r>
    <n v="1783"/>
    <s v="Stephanie Tavares"/>
    <s v="bensalem"/>
    <x v="0"/>
    <n v="21269"/>
    <x v="721"/>
    <d v="2026-12-16T00:00:00"/>
    <x v="0"/>
    <x v="7"/>
  </r>
  <r>
    <n v="1784"/>
    <s v="Stephen Bono"/>
    <s v="boyertown"/>
    <x v="0"/>
    <n v="17299"/>
    <x v="157"/>
    <d v="2024-04-05T00:00:00"/>
    <x v="1"/>
    <x v="1"/>
  </r>
  <r>
    <n v="1785"/>
    <s v="Stephen Colbert II"/>
    <s v="philadelphia"/>
    <x v="0"/>
    <n v="18205"/>
    <x v="722"/>
    <d v="2027-01-08T00:00:00"/>
    <x v="0"/>
    <x v="6"/>
  </r>
  <r>
    <n v="1786"/>
    <s v="Stephen Gallagher"/>
    <s v="lafayette hill"/>
    <x v="0"/>
    <n v="9979"/>
    <x v="255"/>
    <d v="2019-01-11T00:00:00"/>
    <x v="1"/>
    <x v="5"/>
  </r>
  <r>
    <n v="1787"/>
    <s v="Stephen Jackson"/>
    <s v="philadelphia"/>
    <x v="0"/>
    <n v="15690"/>
    <x v="723"/>
    <d v="2026-12-07T00:00:00"/>
    <x v="0"/>
    <x v="6"/>
  </r>
  <r>
    <n v="1788"/>
    <s v="Stephen Lauch"/>
    <s v="doylestown"/>
    <x v="0"/>
    <n v="13335"/>
    <x v="228"/>
    <d v="2027-05-14T00:00:00"/>
    <x v="0"/>
    <x v="7"/>
  </r>
  <r>
    <n v="1789"/>
    <s v="Stephen Loffreda"/>
    <s v="philadelphia"/>
    <x v="0"/>
    <n v="8688"/>
    <x v="96"/>
    <d v="2015-11-25T00:00:00"/>
    <x v="1"/>
    <x v="6"/>
  </r>
  <r>
    <n v="1790"/>
    <s v="Stephen McGill"/>
    <s v="philadelphia"/>
    <x v="0"/>
    <n v="8973"/>
    <x v="73"/>
    <d v="2020-07-29T00:00:00"/>
    <x v="1"/>
    <x v="6"/>
  </r>
  <r>
    <n v="1791"/>
    <s v="Stephen Osborne, Jr."/>
    <s v="perkasie"/>
    <x v="0"/>
    <n v="8634"/>
    <x v="323"/>
    <d v="2017-09-13T00:00:00"/>
    <x v="1"/>
    <x v="7"/>
  </r>
  <r>
    <n v="1792"/>
    <s v="Stephen Silvestri"/>
    <s v="nottingham"/>
    <x v="0"/>
    <n v="13344"/>
    <x v="228"/>
    <d v="2025-05-14T00:00:00"/>
    <x v="2"/>
    <x v="4"/>
  </r>
  <r>
    <n v="1793"/>
    <s v="Stephen Smith"/>
    <s v="bernville"/>
    <x v="0"/>
    <n v="10113"/>
    <x v="63"/>
    <d v="2019-04-21T00:00:00"/>
    <x v="1"/>
    <x v="1"/>
  </r>
  <r>
    <n v="1794"/>
    <s v="Stephen Smith"/>
    <s v="philadelphia"/>
    <x v="0"/>
    <n v="11351"/>
    <x v="135"/>
    <d v="2026-05-07T00:00:00"/>
    <x v="0"/>
    <x v="6"/>
  </r>
  <r>
    <n v="1795"/>
    <s v="Stephen Smith"/>
    <s v="philadelphia"/>
    <x v="1"/>
    <n v="11351"/>
    <x v="724"/>
    <d v="2026-05-07T00:00:00"/>
    <x v="0"/>
    <x v="6"/>
  </r>
  <r>
    <n v="1796"/>
    <s v="Steve Elliott"/>
    <s v="birdsboro"/>
    <x v="0"/>
    <n v="20350"/>
    <x v="725"/>
    <d v="2026-05-29T00:00:00"/>
    <x v="0"/>
    <x v="1"/>
  </r>
  <r>
    <n v="1797"/>
    <s v="Steven Devlin"/>
    <s v="bryn mawr"/>
    <x v="0"/>
    <n v="8449"/>
    <x v="106"/>
    <d v="2021-05-18T00:00:00"/>
    <x v="1"/>
    <x v="3"/>
  </r>
  <r>
    <n v="1798"/>
    <s v="Steven Guido"/>
    <s v="villanova"/>
    <x v="0"/>
    <n v="14690"/>
    <x v="28"/>
    <d v="2025-09-10T00:00:00"/>
    <x v="0"/>
    <x v="3"/>
  </r>
  <r>
    <n v="1799"/>
    <s v="Steven Kerrigan"/>
    <s v="doylestown"/>
    <x v="0"/>
    <n v="15515"/>
    <x v="181"/>
    <d v="2022-09-22T00:00:00"/>
    <x v="1"/>
    <x v="7"/>
  </r>
  <r>
    <n v="1800"/>
    <s v="Steven Killelea"/>
    <s v="phoenixville"/>
    <x v="1"/>
    <n v="15804"/>
    <x v="554"/>
    <d v="2023-01-01T00:00:00"/>
    <x v="1"/>
    <x v="4"/>
  </r>
  <r>
    <n v="1801"/>
    <s v="Steven Steel"/>
    <s v="ephrata"/>
    <x v="0"/>
    <n v="18853"/>
    <x v="726"/>
    <d v="2025-07-07T00:00:00"/>
    <x v="0"/>
    <x v="2"/>
  </r>
  <r>
    <n v="1802"/>
    <s v="Susan  Conti-Corrigan"/>
    <s v="philadelphia"/>
    <x v="0"/>
    <n v="11838"/>
    <x v="19"/>
    <d v="2022-07-03T00:00:00"/>
    <x v="1"/>
    <x v="6"/>
  </r>
  <r>
    <n v="1803"/>
    <s v="Susan Arnold"/>
    <s v="philadelphia"/>
    <x v="0"/>
    <n v="14799"/>
    <x v="117"/>
    <d v="2025-11-18T00:00:00"/>
    <x v="0"/>
    <x v="6"/>
  </r>
  <r>
    <n v="1804"/>
    <s v="Susan Crathern"/>
    <s v="oreland"/>
    <x v="1"/>
    <n v="21973"/>
    <x v="727"/>
    <d v="2027-05-20T00:00:00"/>
    <x v="0"/>
    <x v="5"/>
  </r>
  <r>
    <n v="1805"/>
    <s v="Susan Daley"/>
    <s v="essington"/>
    <x v="0"/>
    <n v="10020"/>
    <x v="134"/>
    <d v="2023-01-31T00:00:00"/>
    <x v="1"/>
    <x v="3"/>
  </r>
  <r>
    <n v="1806"/>
    <s v="Susan Hamlin-Smith"/>
    <s v="philadelphia"/>
    <x v="0"/>
    <n v="10375"/>
    <x v="9"/>
    <d v="2023-09-08T00:00:00"/>
    <x v="1"/>
    <x v="6"/>
  </r>
  <r>
    <n v="1807"/>
    <s v="Susan Kaarby"/>
    <s v="blue bell"/>
    <x v="1"/>
    <n v="15683"/>
    <x v="728"/>
    <d v="2026-12-04T00:00:00"/>
    <x v="0"/>
    <x v="5"/>
  </r>
  <r>
    <n v="1808"/>
    <s v="Susan Kaelin"/>
    <s v="croydon"/>
    <x v="0"/>
    <n v="11709"/>
    <x v="104"/>
    <d v="2020-06-21T00:00:00"/>
    <x v="1"/>
    <x v="7"/>
  </r>
  <r>
    <n v="1809"/>
    <s v="Susan Kline"/>
    <s v="lansdale"/>
    <x v="2"/>
    <n v="8060"/>
    <x v="205"/>
    <d v="2026-10-15T00:00:00"/>
    <x v="0"/>
    <x v="5"/>
  </r>
  <r>
    <n v="1810"/>
    <s v="Susan Manney"/>
    <s v="blue bell"/>
    <x v="0"/>
    <n v="10589"/>
    <x v="88"/>
    <d v="2023-12-12T00:00:00"/>
    <x v="1"/>
    <x v="5"/>
  </r>
  <r>
    <n v="1811"/>
    <s v="Susan Neiss"/>
    <s v="warminster"/>
    <x v="0"/>
    <n v="10263"/>
    <x v="79"/>
    <d v="2019-06-22T00:00:00"/>
    <x v="1"/>
    <x v="7"/>
  </r>
  <r>
    <n v="1812"/>
    <s v="Susan Shoemaker"/>
    <s v="bensalem"/>
    <x v="0"/>
    <n v="8160"/>
    <x v="170"/>
    <d v="2014-07-21T00:00:00"/>
    <x v="1"/>
    <x v="7"/>
  </r>
  <r>
    <n v="1813"/>
    <s v="Suzanne  Givens"/>
    <s v="philadelphia"/>
    <x v="0"/>
    <n v="17198"/>
    <x v="58"/>
    <d v="2026-02-17T00:00:00"/>
    <x v="0"/>
    <x v="6"/>
  </r>
  <r>
    <n v="1814"/>
    <s v="Suzanne Accor"/>
    <s v="morrisville"/>
    <x v="0"/>
    <n v="19867"/>
    <x v="46"/>
    <d v="2026-02-14T00:00:00"/>
    <x v="0"/>
    <x v="7"/>
  </r>
  <r>
    <n v="1815"/>
    <s v="Suzanne Listrani"/>
    <s v="mohnton"/>
    <x v="0"/>
    <n v="9189"/>
    <x v="60"/>
    <d v="2021-05-20T00:00:00"/>
    <x v="1"/>
    <x v="1"/>
  </r>
  <r>
    <n v="1816"/>
    <s v="Sybil Hillian"/>
    <s v="philadelphia"/>
    <x v="0"/>
    <n v="17064"/>
    <x v="729"/>
    <d v="2023-12-20T00:00:00"/>
    <x v="1"/>
    <x v="6"/>
  </r>
  <r>
    <n v="1817"/>
    <s v="Taisha Polston"/>
    <s v="philadelphia"/>
    <x v="0"/>
    <n v="14420"/>
    <x v="84"/>
    <d v="2021-08-20T00:00:00"/>
    <x v="1"/>
    <x v="6"/>
  </r>
  <r>
    <n v="1818"/>
    <s v="Tajuana Destin"/>
    <s v="wyomissing"/>
    <x v="1"/>
    <n v="19384"/>
    <x v="438"/>
    <d v="2025-11-14T00:00:00"/>
    <x v="0"/>
    <x v="1"/>
  </r>
  <r>
    <n v="1819"/>
    <s v="Tamara Brown"/>
    <s v="philadelphia"/>
    <x v="0"/>
    <n v="8551"/>
    <x v="71"/>
    <d v="2015-07-30T00:00:00"/>
    <x v="1"/>
    <x v="6"/>
  </r>
  <r>
    <n v="1820"/>
    <s v="Tami Moylan"/>
    <s v="norristown"/>
    <x v="1"/>
    <n v="12675"/>
    <x v="730"/>
    <d v="2027-01-08T00:00:00"/>
    <x v="0"/>
    <x v="5"/>
  </r>
  <r>
    <n v="1821"/>
    <s v="Tammie Matthews"/>
    <s v="philadelphia"/>
    <x v="0"/>
    <n v="14016"/>
    <x v="19"/>
    <d v="2021-07-24T00:00:00"/>
    <x v="1"/>
    <x v="6"/>
  </r>
  <r>
    <n v="1822"/>
    <s v="Tania Patterson"/>
    <s v="norristown"/>
    <x v="0"/>
    <n v="7493"/>
    <x v="359"/>
    <d v="2012-03-12T00:00:00"/>
    <x v="1"/>
    <x v="5"/>
  </r>
  <r>
    <n v="1823"/>
    <s v="Tanisha Palmer"/>
    <s v="philadelphia"/>
    <x v="0"/>
    <n v="16229"/>
    <x v="105"/>
    <d v="2027-06-25T00:00:00"/>
    <x v="0"/>
    <x v="6"/>
  </r>
  <r>
    <n v="1824"/>
    <s v="Tanisha Palmer"/>
    <s v="philadelphia"/>
    <x v="1"/>
    <n v="16229"/>
    <x v="185"/>
    <d v="2027-05-10T00:00:00"/>
    <x v="0"/>
    <x v="6"/>
  </r>
  <r>
    <n v="1825"/>
    <s v="Taniva Wiley"/>
    <s v="reading"/>
    <x v="0"/>
    <n v="9437"/>
    <x v="31"/>
    <d v="2019-12-03T00:00:00"/>
    <x v="1"/>
    <x v="1"/>
  </r>
  <r>
    <n v="1826"/>
    <s v="Tanya Goodman"/>
    <s v="wernersville"/>
    <x v="0"/>
    <n v="16430"/>
    <x v="101"/>
    <d v="2025-06-16T00:00:00"/>
    <x v="2"/>
    <x v="1"/>
  </r>
  <r>
    <n v="1827"/>
    <s v="Tanya Leake"/>
    <s v="philadelphia"/>
    <x v="0"/>
    <n v="10933"/>
    <x v="84"/>
    <d v="2021-08-20T00:00:00"/>
    <x v="1"/>
    <x v="6"/>
  </r>
  <r>
    <n v="1828"/>
    <s v="Tara Calderbank"/>
    <s v="perkasie"/>
    <x v="0"/>
    <n v="9174"/>
    <x v="129"/>
    <d v="2027-05-08T00:00:00"/>
    <x v="0"/>
    <x v="7"/>
  </r>
  <r>
    <n v="1829"/>
    <s v="Tara Calderbank"/>
    <s v="perkasie"/>
    <x v="1"/>
    <n v="9174"/>
    <x v="731"/>
    <d v="2027-05-08T00:00:00"/>
    <x v="0"/>
    <x v="7"/>
  </r>
  <r>
    <n v="1830"/>
    <s v="Tara Calderbank"/>
    <s v="perkasie"/>
    <x v="2"/>
    <n v="9174"/>
    <x v="732"/>
    <d v="2027-05-08T00:00:00"/>
    <x v="0"/>
    <x v="7"/>
  </r>
  <r>
    <n v="1831"/>
    <s v="Tara Harshaw"/>
    <s v="philadelphia"/>
    <x v="0"/>
    <n v="22095"/>
    <x v="1"/>
    <d v="2027-06-04T00:00:00"/>
    <x v="0"/>
    <x v="6"/>
  </r>
  <r>
    <n v="1832"/>
    <s v="Tara Lugo"/>
    <s v="croydon"/>
    <x v="0"/>
    <n v="15776"/>
    <x v="221"/>
    <d v="2022-12-21T00:00:00"/>
    <x v="1"/>
    <x v="7"/>
  </r>
  <r>
    <n v="1833"/>
    <s v="Tasha Garman"/>
    <s v="bristol"/>
    <x v="0"/>
    <n v="16599"/>
    <x v="365"/>
    <d v="2023-06-30T00:00:00"/>
    <x v="1"/>
    <x v="7"/>
  </r>
  <r>
    <n v="1834"/>
    <s v="Taylor Burnhauser"/>
    <s v="philadelphia"/>
    <x v="0"/>
    <n v="17153"/>
    <x v="733"/>
    <d v="2024-02-07T00:00:00"/>
    <x v="1"/>
    <x v="6"/>
  </r>
  <r>
    <n v="1835"/>
    <s v="Taylor Chambers"/>
    <s v="langhorne"/>
    <x v="0"/>
    <n v="21286"/>
    <x v="520"/>
    <d v="2026-12-19T00:00:00"/>
    <x v="0"/>
    <x v="7"/>
  </r>
  <r>
    <n v="1836"/>
    <s v="Taymiyyah Saboor"/>
    <s v="philadelphia"/>
    <x v="0"/>
    <n v="22104"/>
    <x v="1"/>
    <d v="2027-06-04T00:00:00"/>
    <x v="0"/>
    <x v="6"/>
  </r>
  <r>
    <n v="1837"/>
    <s v="Tee DuBose"/>
    <s v="philadelphia"/>
    <x v="0"/>
    <n v="19241"/>
    <x v="132"/>
    <d v="2026-05-23T00:00:00"/>
    <x v="0"/>
    <x v="6"/>
  </r>
  <r>
    <n v="1838"/>
    <s v="Teion Milbourne"/>
    <s v="downingtown"/>
    <x v="0"/>
    <n v="10653"/>
    <x v="36"/>
    <d v="2020-01-18T00:00:00"/>
    <x v="1"/>
    <x v="4"/>
  </r>
  <r>
    <n v="1839"/>
    <s v="Temple Knight"/>
    <s v="philadelphia"/>
    <x v="0"/>
    <n v="13625"/>
    <x v="19"/>
    <d v="2021-07-24T00:00:00"/>
    <x v="1"/>
    <x v="6"/>
  </r>
  <r>
    <n v="1840"/>
    <s v="Teralynn Turner"/>
    <s v="philadelphia"/>
    <x v="0"/>
    <n v="11353"/>
    <x v="135"/>
    <d v="2020-05-07T00:00:00"/>
    <x v="1"/>
    <x v="6"/>
  </r>
  <r>
    <n v="1841"/>
    <s v="Tereasa  Mickens"/>
    <s v="reading"/>
    <x v="0"/>
    <n v="21357"/>
    <x v="734"/>
    <d v="2027-01-08T00:00:00"/>
    <x v="0"/>
    <x v="1"/>
  </r>
  <r>
    <n v="1842"/>
    <s v="Terri Sorrell"/>
    <s v="philadelphia"/>
    <x v="0"/>
    <n v="11688"/>
    <x v="2"/>
    <d v="2026-06-18T00:00:00"/>
    <x v="0"/>
    <x v="6"/>
  </r>
  <r>
    <n v="1843"/>
    <s v="Terri Sorrell"/>
    <s v="philadelphia"/>
    <x v="1"/>
    <n v="11688"/>
    <x v="735"/>
    <d v="2026-06-18T00:00:00"/>
    <x v="0"/>
    <x v="6"/>
  </r>
  <r>
    <n v="1844"/>
    <s v="Terry  McFadden"/>
    <s v="leesport"/>
    <x v="0"/>
    <n v="20838"/>
    <x v="736"/>
    <d v="2026-09-17T00:00:00"/>
    <x v="0"/>
    <x v="1"/>
  </r>
  <r>
    <n v="1845"/>
    <s v="Terry Brownlee"/>
    <s v="mount joy"/>
    <x v="0"/>
    <n v="13700"/>
    <x v="27"/>
    <d v="2021-06-24T00:00:00"/>
    <x v="1"/>
    <x v="2"/>
  </r>
  <r>
    <n v="1846"/>
    <s v="Terry Deubler"/>
    <s v="coaldale"/>
    <x v="0"/>
    <n v="10472"/>
    <x v="404"/>
    <d v="2021-10-27T00:00:00"/>
    <x v="1"/>
    <x v="0"/>
  </r>
  <r>
    <n v="1847"/>
    <s v="Terry Deubler"/>
    <s v="coaldale"/>
    <x v="1"/>
    <n v="10472"/>
    <x v="737"/>
    <d v="2021-10-27T00:00:00"/>
    <x v="1"/>
    <x v="0"/>
  </r>
  <r>
    <n v="1848"/>
    <s v="Terry Powell"/>
    <s v="philadelphia"/>
    <x v="0"/>
    <n v="11891"/>
    <x v="738"/>
    <d v="2020-07-16T00:00:00"/>
    <x v="1"/>
    <x v="6"/>
  </r>
  <r>
    <n v="1849"/>
    <s v="Thea Miller"/>
    <s v="pottstown"/>
    <x v="1"/>
    <n v="14930"/>
    <x v="739"/>
    <d v="2021-12-18T00:00:00"/>
    <x v="1"/>
    <x v="4"/>
  </r>
  <r>
    <n v="1850"/>
    <s v="Thelma Yancey"/>
    <s v="philadelphia"/>
    <x v="0"/>
    <n v="8567"/>
    <x v="71"/>
    <d v="2015-07-30T00:00:00"/>
    <x v="1"/>
    <x v="6"/>
  </r>
  <r>
    <n v="1851"/>
    <s v="Theresa Bloom"/>
    <s v="philadelphia"/>
    <x v="1"/>
    <n v="12656"/>
    <x v="740"/>
    <d v="2021-01-04T00:00:00"/>
    <x v="1"/>
    <x v="6"/>
  </r>
  <r>
    <n v="1852"/>
    <s v="Theresa DePlante"/>
    <s v="philadelphia"/>
    <x v="0"/>
    <n v="8942"/>
    <x v="80"/>
    <d v="2016-06-27T00:00:00"/>
    <x v="1"/>
    <x v="6"/>
  </r>
  <r>
    <n v="1853"/>
    <s v="Theresa Womack"/>
    <s v="philadelphia"/>
    <x v="0"/>
    <n v="8402"/>
    <x v="14"/>
    <d v="2015-04-29T00:00:00"/>
    <x v="1"/>
    <x v="6"/>
  </r>
  <r>
    <n v="1854"/>
    <s v="Thomas  Glinka III"/>
    <s v="bensalem"/>
    <x v="0"/>
    <n v="19674"/>
    <x v="741"/>
    <d v="2026-01-02T00:00:00"/>
    <x v="0"/>
    <x v="7"/>
  </r>
  <r>
    <n v="1855"/>
    <s v="Thomas Beaufort, Jr."/>
    <s v="philadelphia"/>
    <x v="0"/>
    <n v="8198"/>
    <x v="217"/>
    <d v="2016-09-07T00:00:00"/>
    <x v="1"/>
    <x v="6"/>
  </r>
  <r>
    <n v="1856"/>
    <s v="Thomas Flannery"/>
    <s v="chester"/>
    <x v="0"/>
    <n v="17059"/>
    <x v="742"/>
    <d v="2025-12-18T00:00:00"/>
    <x v="0"/>
    <x v="3"/>
  </r>
  <r>
    <n v="1857"/>
    <s v="Thomas Furey"/>
    <s v="bristol"/>
    <x v="0"/>
    <n v="18269"/>
    <x v="743"/>
    <d v="2025-01-31T00:00:00"/>
    <x v="2"/>
    <x v="7"/>
  </r>
  <r>
    <n v="1858"/>
    <s v="Thomas Hibbs"/>
    <s v="southampton"/>
    <x v="0"/>
    <n v="11993"/>
    <x v="10"/>
    <d v="2022-08-01T00:00:00"/>
    <x v="1"/>
    <x v="7"/>
  </r>
  <r>
    <n v="1859"/>
    <s v="Thomas Ingram"/>
    <s v="schwenksville"/>
    <x v="0"/>
    <n v="15078"/>
    <x v="91"/>
    <d v="2022-01-27T00:00:00"/>
    <x v="1"/>
    <x v="5"/>
  </r>
  <r>
    <n v="1860"/>
    <s v="Thomas Lowman"/>
    <s v="exton"/>
    <x v="0"/>
    <n v="10029"/>
    <x v="134"/>
    <d v="2019-01-31T00:00:00"/>
    <x v="1"/>
    <x v="4"/>
  </r>
  <r>
    <n v="1861"/>
    <s v="Thomas McKiernan"/>
    <s v="philadelphia"/>
    <x v="0"/>
    <n v="8974"/>
    <x v="73"/>
    <d v="2016-07-29T00:00:00"/>
    <x v="1"/>
    <x v="6"/>
  </r>
  <r>
    <n v="1862"/>
    <s v="Thomas Nightlinger"/>
    <s v="bensalem"/>
    <x v="0"/>
    <n v="16135"/>
    <x v="735"/>
    <d v="2023-03-30T00:00:00"/>
    <x v="1"/>
    <x v="7"/>
  </r>
  <r>
    <n v="1863"/>
    <s v="Thomas Qualters"/>
    <s v="philadelphia"/>
    <x v="0"/>
    <n v="14421"/>
    <x v="84"/>
    <d v="2021-08-20T00:00:00"/>
    <x v="1"/>
    <x v="6"/>
  </r>
  <r>
    <n v="1864"/>
    <s v="Thomas Schwering"/>
    <s v="chalfont"/>
    <x v="0"/>
    <n v="10268"/>
    <x v="79"/>
    <d v="2027-06-22T00:00:00"/>
    <x v="0"/>
    <x v="7"/>
  </r>
  <r>
    <n v="1865"/>
    <s v="Thomas Sheeran"/>
    <s v="philadelphia"/>
    <x v="0"/>
    <n v="17670"/>
    <x v="137"/>
    <d v="2026-07-23T00:00:00"/>
    <x v="0"/>
    <x v="6"/>
  </r>
  <r>
    <n v="1866"/>
    <s v="Thomas Smith"/>
    <s v="lansdale"/>
    <x v="0"/>
    <n v="16533"/>
    <x v="105"/>
    <d v="2023-06-25T00:00:00"/>
    <x v="1"/>
    <x v="5"/>
  </r>
  <r>
    <n v="1867"/>
    <s v="Thomas Turner"/>
    <s v="wyncote"/>
    <x v="0"/>
    <n v="18044"/>
    <x v="718"/>
    <d v="2024-11-17T00:00:00"/>
    <x v="2"/>
    <x v="5"/>
  </r>
  <r>
    <n v="1868"/>
    <s v="Tia Bratton"/>
    <s v="feasterville trevose"/>
    <x v="0"/>
    <n v="14649"/>
    <x v="449"/>
    <d v="2021-09-06T00:00:00"/>
    <x v="1"/>
    <x v="7"/>
  </r>
  <r>
    <n v="1869"/>
    <s v="Tiffani Jones-Montgomery"/>
    <s v="mohnton"/>
    <x v="0"/>
    <n v="8101"/>
    <x v="149"/>
    <d v="2021-06-29T00:00:00"/>
    <x v="1"/>
    <x v="1"/>
  </r>
  <r>
    <n v="1870"/>
    <s v="Tiffany David"/>
    <s v="philadelphia"/>
    <x v="0"/>
    <n v="9051"/>
    <x v="558"/>
    <d v="2026-10-24T00:00:00"/>
    <x v="0"/>
    <x v="6"/>
  </r>
  <r>
    <n v="1871"/>
    <s v="Tiffany Merkel"/>
    <s v="dublin"/>
    <x v="0"/>
    <n v="18949"/>
    <x v="744"/>
    <d v="2025-07-31T00:00:00"/>
    <x v="0"/>
    <x v="7"/>
  </r>
  <r>
    <n v="1872"/>
    <s v="Timalynn Egan"/>
    <s v="lancaster"/>
    <x v="0"/>
    <n v="13705"/>
    <x v="27"/>
    <d v="2021-06-24T00:00:00"/>
    <x v="1"/>
    <x v="2"/>
  </r>
  <r>
    <n v="1873"/>
    <s v="Timothy Bitting"/>
    <s v="rehrersburg"/>
    <x v="0"/>
    <n v="14238"/>
    <x v="195"/>
    <d v="2021-08-09T00:00:00"/>
    <x v="1"/>
    <x v="1"/>
  </r>
  <r>
    <n v="1874"/>
    <s v="Timothy Gageby"/>
    <s v="lititz"/>
    <x v="0"/>
    <n v="9655"/>
    <x v="194"/>
    <d v="2018-06-16T00:00:00"/>
    <x v="1"/>
    <x v="2"/>
  </r>
  <r>
    <n v="1875"/>
    <s v="Timothy Muir"/>
    <s v="wyomissing"/>
    <x v="0"/>
    <n v="8292"/>
    <x v="745"/>
    <d v="2025-01-11T00:00:00"/>
    <x v="2"/>
    <x v="1"/>
  </r>
  <r>
    <n v="1876"/>
    <s v="Timothy Vakiener"/>
    <s v="pennsburg"/>
    <x v="0"/>
    <n v="18310"/>
    <x v="371"/>
    <d v="2025-02-14T00:00:00"/>
    <x v="2"/>
    <x v="5"/>
  </r>
  <r>
    <n v="1877"/>
    <s v="Timothy Verbich"/>
    <s v="fairless hills"/>
    <x v="0"/>
    <n v="9452"/>
    <x v="116"/>
    <d v="2023-01-25T00:00:00"/>
    <x v="1"/>
    <x v="7"/>
  </r>
  <r>
    <n v="1878"/>
    <s v="Tina Connor"/>
    <s v="philadelphia"/>
    <x v="0"/>
    <n v="11166"/>
    <x v="208"/>
    <d v="2026-04-25T00:00:00"/>
    <x v="0"/>
    <x v="6"/>
  </r>
  <r>
    <n v="1879"/>
    <s v="Tina Connor"/>
    <s v="philadelphia"/>
    <x v="1"/>
    <n v="11166"/>
    <x v="746"/>
    <d v="2026-04-25T00:00:00"/>
    <x v="0"/>
    <x v="6"/>
  </r>
  <r>
    <n v="1880"/>
    <s v="Tina Goerlach"/>
    <s v="secane"/>
    <x v="0"/>
    <n v="9346"/>
    <x v="251"/>
    <d v="2017-09-11T00:00:00"/>
    <x v="1"/>
    <x v="3"/>
  </r>
  <r>
    <n v="1881"/>
    <s v="Tina Haynes"/>
    <s v="reading"/>
    <x v="0"/>
    <n v="9184"/>
    <x v="60"/>
    <d v="2017-05-20T00:00:00"/>
    <x v="1"/>
    <x v="1"/>
  </r>
  <r>
    <n v="1882"/>
    <s v="Todd Shade"/>
    <s v="philadelphia"/>
    <x v="0"/>
    <n v="8691"/>
    <x v="96"/>
    <d v="2015-11-25T00:00:00"/>
    <x v="1"/>
    <x v="6"/>
  </r>
  <r>
    <n v="1883"/>
    <s v="Tommy Timmins"/>
    <s v="bethel"/>
    <x v="0"/>
    <n v="18545"/>
    <x v="747"/>
    <d v="2025-04-26T00:00:00"/>
    <x v="4"/>
    <x v="1"/>
  </r>
  <r>
    <n v="1884"/>
    <s v="Toni Gogoj"/>
    <s v="philadelphia"/>
    <x v="0"/>
    <n v="16226"/>
    <x v="748"/>
    <d v="2025-05-10T00:00:00"/>
    <x v="2"/>
    <x v="6"/>
  </r>
  <r>
    <n v="1885"/>
    <s v="Toni Gogoj"/>
    <s v="philadelphia"/>
    <x v="1"/>
    <n v="16226"/>
    <x v="185"/>
    <d v="2025-05-10T00:00:00"/>
    <x v="2"/>
    <x v="6"/>
  </r>
  <r>
    <n v="1886"/>
    <s v="Tonia Gaskins"/>
    <s v="philadelphia"/>
    <x v="0"/>
    <n v="9169"/>
    <x v="129"/>
    <d v="2019-05-08T00:00:00"/>
    <x v="1"/>
    <x v="6"/>
  </r>
  <r>
    <n v="1887"/>
    <s v="Tonia Green"/>
    <s v="pottstown"/>
    <x v="0"/>
    <n v="10136"/>
    <x v="211"/>
    <d v="2019-05-30T00:00:00"/>
    <x v="1"/>
    <x v="4"/>
  </r>
  <r>
    <n v="1888"/>
    <s v="Tori Roth"/>
    <s v="branchdale"/>
    <x v="0"/>
    <n v="10866"/>
    <x v="339"/>
    <d v="2026-03-21T00:00:00"/>
    <x v="0"/>
    <x v="0"/>
  </r>
  <r>
    <n v="1889"/>
    <s v="Torri High"/>
    <s v="pottstown"/>
    <x v="0"/>
    <n v="20017"/>
    <x v="749"/>
    <d v="2026-03-15T00:00:00"/>
    <x v="0"/>
    <x v="4"/>
  </r>
  <r>
    <n v="1890"/>
    <s v="Tracey Shaw"/>
    <s v="lancaster"/>
    <x v="0"/>
    <n v="8356"/>
    <x v="750"/>
    <d v="2015-03-21T00:00:00"/>
    <x v="1"/>
    <x v="2"/>
  </r>
  <r>
    <n v="1891"/>
    <s v="Traci Warner"/>
    <s v="pottstown"/>
    <x v="0"/>
    <n v="21779"/>
    <x v="569"/>
    <d v="2027-03-27T00:00:00"/>
    <x v="0"/>
    <x v="4"/>
  </r>
  <r>
    <n v="1892"/>
    <s v="Tracie Henry"/>
    <s v="willow grove"/>
    <x v="0"/>
    <n v="10255"/>
    <x v="79"/>
    <d v="2021-06-22T00:00:00"/>
    <x v="1"/>
    <x v="5"/>
  </r>
  <r>
    <n v="1893"/>
    <s v="Tracy Kline-Stanley"/>
    <s v="bristol"/>
    <x v="0"/>
    <n v="17883"/>
    <x v="587"/>
    <d v="2026-10-02T00:00:00"/>
    <x v="0"/>
    <x v="7"/>
  </r>
  <r>
    <n v="1894"/>
    <s v="Tracy Ransom"/>
    <s v="sellersville"/>
    <x v="0"/>
    <n v="19960"/>
    <x v="751"/>
    <d v="2026-03-02T00:00:00"/>
    <x v="0"/>
    <x v="7"/>
  </r>
  <r>
    <n v="1895"/>
    <s v="Tracy Smith"/>
    <s v="reading"/>
    <x v="0"/>
    <n v="8929"/>
    <x v="289"/>
    <d v="2016-06-26T00:00:00"/>
    <x v="1"/>
    <x v="1"/>
  </r>
  <r>
    <n v="1896"/>
    <s v="Tracy Vaughn"/>
    <s v="west chester"/>
    <x v="0"/>
    <n v="19017"/>
    <x v="231"/>
    <d v="2025-08-15T00:00:00"/>
    <x v="0"/>
    <x v="4"/>
  </r>
  <r>
    <n v="1897"/>
    <s v="Travis Grimes"/>
    <s v="philadelphia"/>
    <x v="0"/>
    <n v="14755"/>
    <x v="224"/>
    <d v="2021-11-01T00:00:00"/>
    <x v="1"/>
    <x v="6"/>
  </r>
  <r>
    <n v="1898"/>
    <s v="Trevor Davis"/>
    <s v="furlong"/>
    <x v="0"/>
    <n v="18279"/>
    <x v="42"/>
    <d v="2025-02-04T00:00:00"/>
    <x v="2"/>
    <x v="7"/>
  </r>
  <r>
    <n v="1899"/>
    <s v="Trisha Stover"/>
    <s v="millersville"/>
    <x v="0"/>
    <n v="9195"/>
    <x v="60"/>
    <d v="2019-05-20T00:00:00"/>
    <x v="1"/>
    <x v="2"/>
  </r>
  <r>
    <n v="1900"/>
    <s v="Tristan Schnoke"/>
    <s v="ashland"/>
    <x v="1"/>
    <n v="16059"/>
    <x v="752"/>
    <d v="2025-11-23T00:00:00"/>
    <x v="0"/>
    <x v="0"/>
  </r>
  <r>
    <n v="1901"/>
    <s v="Troy Edwards Mouzon"/>
    <s v="philadelphia"/>
    <x v="0"/>
    <n v="14008"/>
    <x v="19"/>
    <d v="2021-07-24T00:00:00"/>
    <x v="1"/>
    <x v="6"/>
  </r>
  <r>
    <n v="1902"/>
    <s v="Tyhearia Carroll"/>
    <s v="philadelphia"/>
    <x v="0"/>
    <n v="11340"/>
    <x v="135"/>
    <d v="2026-05-07T00:00:00"/>
    <x v="0"/>
    <x v="6"/>
  </r>
  <r>
    <n v="1903"/>
    <s v="Tyler Lee"/>
    <s v="lititz"/>
    <x v="0"/>
    <n v="12731"/>
    <x v="6"/>
    <d v="2021-01-14T00:00:00"/>
    <x v="1"/>
    <x v="2"/>
  </r>
  <r>
    <n v="1904"/>
    <s v="Tyler Parisi"/>
    <s v="norristown"/>
    <x v="0"/>
    <n v="20178"/>
    <x v="753"/>
    <d v="2026-04-24T00:00:00"/>
    <x v="0"/>
    <x v="5"/>
  </r>
  <r>
    <n v="1905"/>
    <s v="Tyrone Peake"/>
    <s v="philadelphia"/>
    <x v="0"/>
    <n v="8562"/>
    <x v="71"/>
    <d v="2019-07-30T00:00:00"/>
    <x v="1"/>
    <x v="6"/>
  </r>
  <r>
    <n v="1906"/>
    <s v="Tyrone Sherard"/>
    <s v="philadelphia"/>
    <x v="0"/>
    <n v="11713"/>
    <x v="104"/>
    <d v="2024-06-21T00:00:00"/>
    <x v="2"/>
    <x v="6"/>
  </r>
  <r>
    <n v="1907"/>
    <s v="Valerie Chandler"/>
    <s v="shillington"/>
    <x v="0"/>
    <n v="8862"/>
    <x v="123"/>
    <d v="2020-05-15T00:00:00"/>
    <x v="1"/>
    <x v="1"/>
  </r>
  <r>
    <n v="1908"/>
    <s v="Valerie Rhorer"/>
    <s v="norristown"/>
    <x v="0"/>
    <n v="7495"/>
    <x v="359"/>
    <d v="2012-03-12T00:00:00"/>
    <x v="1"/>
    <x v="5"/>
  </r>
  <r>
    <n v="1909"/>
    <s v="Valerie Todd-Listman"/>
    <s v="philadelphia"/>
    <x v="0"/>
    <n v="8781"/>
    <x v="165"/>
    <d v="2016-03-12T00:00:00"/>
    <x v="1"/>
    <x v="6"/>
  </r>
  <r>
    <n v="1910"/>
    <s v="Van Stiefel"/>
    <s v="avondale"/>
    <x v="0"/>
    <n v="21479"/>
    <x v="754"/>
    <d v="2027-02-07T00:00:00"/>
    <x v="0"/>
    <x v="4"/>
  </r>
  <r>
    <n v="1911"/>
    <s v="Vanessa Fuller"/>
    <s v="philadelphia"/>
    <x v="0"/>
    <n v="16223"/>
    <x v="755"/>
    <d v="2023-05-07T00:00:00"/>
    <x v="1"/>
    <x v="6"/>
  </r>
  <r>
    <n v="1912"/>
    <s v="Vera Willis"/>
    <s v="philadelphia"/>
    <x v="0"/>
    <n v="11355"/>
    <x v="135"/>
    <d v="2020-05-07T00:00:00"/>
    <x v="1"/>
    <x v="6"/>
  </r>
  <r>
    <n v="1913"/>
    <s v="Vern Moore"/>
    <s v="philadelphia"/>
    <x v="0"/>
    <n v="8515"/>
    <x v="350"/>
    <d v="2015-07-09T00:00:00"/>
    <x v="1"/>
    <x v="6"/>
  </r>
  <r>
    <n v="1914"/>
    <s v="Vernell Jones"/>
    <s v="philadelphia"/>
    <x v="0"/>
    <n v="12035"/>
    <x v="13"/>
    <d v="2026-08-15T00:00:00"/>
    <x v="0"/>
    <x v="6"/>
  </r>
  <r>
    <n v="1915"/>
    <s v="Veronica Kaiser"/>
    <s v="philadelphia"/>
    <x v="0"/>
    <n v="10924"/>
    <x v="756"/>
    <d v="2026-03-28T00:00:00"/>
    <x v="0"/>
    <x v="6"/>
  </r>
  <r>
    <n v="1916"/>
    <s v="Veronica McBride"/>
    <s v="new hope"/>
    <x v="1"/>
    <n v="13666"/>
    <x v="757"/>
    <d v="2021-06-21T00:00:00"/>
    <x v="1"/>
    <x v="7"/>
  </r>
  <r>
    <n v="1917"/>
    <s v="Victor Scott"/>
    <s v="philadelphia"/>
    <x v="0"/>
    <n v="14759"/>
    <x v="224"/>
    <d v="2021-11-01T00:00:00"/>
    <x v="1"/>
    <x v="6"/>
  </r>
  <r>
    <n v="1918"/>
    <s v="Victoria Fultze"/>
    <s v="levittown"/>
    <x v="0"/>
    <n v="8510"/>
    <x v="350"/>
    <d v="2019-07-09T00:00:00"/>
    <x v="1"/>
    <x v="7"/>
  </r>
  <r>
    <n v="1919"/>
    <s v="Victoria Furcht"/>
    <s v="warminster"/>
    <x v="0"/>
    <n v="15953"/>
    <x v="758"/>
    <d v="2023-02-13T00:00:00"/>
    <x v="1"/>
    <x v="7"/>
  </r>
  <r>
    <n v="1920"/>
    <s v="Victoria Lopardo"/>
    <s v="fleetwood"/>
    <x v="0"/>
    <n v="18770"/>
    <x v="25"/>
    <d v="2025-06-21T00:00:00"/>
    <x v="0"/>
    <x v="1"/>
  </r>
  <r>
    <n v="1921"/>
    <s v="Victoria Owens"/>
    <s v="norristown"/>
    <x v="0"/>
    <n v="9172"/>
    <x v="129"/>
    <d v="2017-05-08T00:00:00"/>
    <x v="1"/>
    <x v="5"/>
  </r>
  <r>
    <n v="1922"/>
    <s v="Victoria Papa"/>
    <s v="glenside"/>
    <x v="0"/>
    <n v="20694"/>
    <x v="13"/>
    <d v="2026-08-15T00:00:00"/>
    <x v="0"/>
    <x v="5"/>
  </r>
  <r>
    <n v="1923"/>
    <s v="Victoria Perez"/>
    <s v="philadelphia"/>
    <x v="0"/>
    <n v="14758"/>
    <x v="224"/>
    <d v="2021-11-01T00:00:00"/>
    <x v="1"/>
    <x v="6"/>
  </r>
  <r>
    <n v="1924"/>
    <s v="Victoria Spencer"/>
    <s v="willow grove"/>
    <x v="0"/>
    <n v="9544"/>
    <x v="61"/>
    <d v="2022-03-11T00:00:00"/>
    <x v="1"/>
    <x v="5"/>
  </r>
  <r>
    <n v="1925"/>
    <s v="Victoria Tarbutton"/>
    <s v="pottstown"/>
    <x v="0"/>
    <n v="21093"/>
    <x v="175"/>
    <d v="2026-11-07T00:00:00"/>
    <x v="0"/>
    <x v="4"/>
  </r>
  <r>
    <n v="1926"/>
    <s v="Vienna McGonigal"/>
    <s v="philadelphia"/>
    <x v="0"/>
    <n v="21575"/>
    <x v="67"/>
    <d v="2027-02-19T00:00:00"/>
    <x v="0"/>
    <x v="6"/>
  </r>
  <r>
    <n v="1927"/>
    <s v="Vincent  LeCompte"/>
    <s v="philadelphia"/>
    <x v="0"/>
    <n v="21000"/>
    <x v="205"/>
    <d v="2026-10-15T00:00:00"/>
    <x v="0"/>
    <x v="6"/>
  </r>
  <r>
    <n v="1928"/>
    <s v="Vincent Johnson"/>
    <s v="philadelphia"/>
    <x v="0"/>
    <n v="8941"/>
    <x v="80"/>
    <d v="2020-06-27T00:00:00"/>
    <x v="1"/>
    <x v="6"/>
  </r>
  <r>
    <n v="1929"/>
    <s v="Vincent Mitchell"/>
    <s v="schuylkill haven"/>
    <x v="0"/>
    <n v="9247"/>
    <x v="308"/>
    <d v="2017-06-25T00:00:00"/>
    <x v="1"/>
    <x v="0"/>
  </r>
  <r>
    <n v="1930"/>
    <s v="Virginia Bressler"/>
    <s v="saint clair"/>
    <x v="0"/>
    <n v="19011"/>
    <x v="231"/>
    <d v="2025-08-15T00:00:00"/>
    <x v="0"/>
    <x v="0"/>
  </r>
  <r>
    <n v="1931"/>
    <s v="Virginia Ent"/>
    <s v="lancaster"/>
    <x v="0"/>
    <n v="20141"/>
    <x v="336"/>
    <d v="2026-04-17T00:00:00"/>
    <x v="0"/>
    <x v="2"/>
  </r>
  <r>
    <n v="1932"/>
    <s v="Virginia Vitella"/>
    <s v="philadelphia"/>
    <x v="0"/>
    <n v="12005"/>
    <x v="10"/>
    <d v="2022-08-01T00:00:00"/>
    <x v="1"/>
    <x v="6"/>
  </r>
  <r>
    <n v="1933"/>
    <s v="Vivian Debro"/>
    <s v="philadelphia"/>
    <x v="1"/>
    <n v="16225"/>
    <x v="185"/>
    <d v="2023-05-10T00:00:00"/>
    <x v="1"/>
    <x v="6"/>
  </r>
  <r>
    <n v="1934"/>
    <s v="Wade Glenn"/>
    <s v="oxford"/>
    <x v="0"/>
    <n v="17231"/>
    <x v="759"/>
    <d v="2024-03-11T00:00:00"/>
    <x v="1"/>
    <x v="4"/>
  </r>
  <r>
    <n v="1935"/>
    <s v="Walter Wright"/>
    <s v="horsham"/>
    <x v="0"/>
    <n v="8502"/>
    <x v="41"/>
    <d v="2023-06-25T00:00:00"/>
    <x v="1"/>
    <x v="5"/>
  </r>
  <r>
    <n v="1936"/>
    <s v="Wanda Hudson"/>
    <s v="philadelphia"/>
    <x v="0"/>
    <n v="19869"/>
    <x v="46"/>
    <d v="2026-02-14T00:00:00"/>
    <x v="0"/>
    <x v="6"/>
  </r>
  <r>
    <n v="1937"/>
    <s v="Wanda Moore"/>
    <s v="levittown"/>
    <x v="0"/>
    <n v="10261"/>
    <x v="79"/>
    <d v="2019-06-22T00:00:00"/>
    <x v="1"/>
    <x v="7"/>
  </r>
  <r>
    <n v="1938"/>
    <s v="Warren Bernstein"/>
    <s v="philadelphia"/>
    <x v="0"/>
    <n v="9537"/>
    <x v="61"/>
    <d v="2018-03-11T00:00:00"/>
    <x v="1"/>
    <x v="6"/>
  </r>
  <r>
    <n v="1939"/>
    <s v="Wayne Garrett"/>
    <s v="philadelphia"/>
    <x v="0"/>
    <n v="19868"/>
    <x v="46"/>
    <d v="2026-02-14T00:00:00"/>
    <x v="0"/>
    <x v="6"/>
  </r>
  <r>
    <n v="1940"/>
    <s v="Wendy Hart"/>
    <s v="wyomissing"/>
    <x v="0"/>
    <n v="20506"/>
    <x v="68"/>
    <d v="2026-06-26T00:00:00"/>
    <x v="0"/>
    <x v="1"/>
  </r>
  <r>
    <n v="1941"/>
    <s v="Wilfredo Laboy"/>
    <s v="philadelphia"/>
    <x v="0"/>
    <n v="10650"/>
    <x v="36"/>
    <d v="2020-01-18T00:00:00"/>
    <x v="1"/>
    <x v="6"/>
  </r>
  <r>
    <n v="1942"/>
    <s v="Wilfredo Rodriguez"/>
    <s v="philadelphia"/>
    <x v="0"/>
    <n v="8202"/>
    <x v="217"/>
    <d v="2014-09-07T00:00:00"/>
    <x v="1"/>
    <x v="6"/>
  </r>
  <r>
    <n v="1943"/>
    <s v="William Blake"/>
    <s v="philadelphia"/>
    <x v="0"/>
    <n v="8945"/>
    <x v="80"/>
    <d v="2022-06-27T00:00:00"/>
    <x v="1"/>
    <x v="6"/>
  </r>
  <r>
    <n v="1944"/>
    <s v="William Burrell"/>
    <s v="philadelphia"/>
    <x v="0"/>
    <n v="11038"/>
    <x v="156"/>
    <d v="2020-04-13T00:00:00"/>
    <x v="1"/>
    <x v="6"/>
  </r>
  <r>
    <n v="1945"/>
    <s v="William Church"/>
    <s v="philadelphia"/>
    <x v="0"/>
    <n v="8469"/>
    <x v="106"/>
    <d v="2015-05-18T00:00:00"/>
    <x v="1"/>
    <x v="6"/>
  </r>
  <r>
    <n v="1946"/>
    <s v="William Collins"/>
    <s v="royersford"/>
    <x v="0"/>
    <n v="9442"/>
    <x v="150"/>
    <d v="2025-12-08T00:00:00"/>
    <x v="0"/>
    <x v="5"/>
  </r>
  <r>
    <n v="1947"/>
    <s v="William Gardner, Jr."/>
    <s v="lansdowne"/>
    <x v="0"/>
    <n v="8654"/>
    <x v="164"/>
    <d v="2019-10-30T00:00:00"/>
    <x v="1"/>
    <x v="3"/>
  </r>
  <r>
    <n v="1948"/>
    <s v="William Harding"/>
    <s v="philadelphia"/>
    <x v="0"/>
    <n v="8287"/>
    <x v="760"/>
    <d v="2014-12-20T00:00:00"/>
    <x v="1"/>
    <x v="6"/>
  </r>
  <r>
    <n v="1949"/>
    <s v="William Hibbitts"/>
    <s v="yardley"/>
    <x v="0"/>
    <n v="11992"/>
    <x v="10"/>
    <d v="2022-08-01T00:00:00"/>
    <x v="1"/>
    <x v="7"/>
  </r>
  <r>
    <n v="1950"/>
    <s v="William Johnson"/>
    <s v="philadelphia"/>
    <x v="0"/>
    <n v="17871"/>
    <x v="513"/>
    <d v="2026-09-29T00:00:00"/>
    <x v="0"/>
    <x v="6"/>
  </r>
  <r>
    <n v="1951"/>
    <s v="William Kinkle, III"/>
    <s v="willow grove"/>
    <x v="0"/>
    <n v="14303"/>
    <x v="457"/>
    <d v="2021-08-13T00:00:00"/>
    <x v="1"/>
    <x v="5"/>
  </r>
  <r>
    <n v="1952"/>
    <s v="William Marquis"/>
    <s v="willow grove"/>
    <x v="0"/>
    <n v="13336"/>
    <x v="228"/>
    <d v="2025-05-14T00:00:00"/>
    <x v="2"/>
    <x v="5"/>
  </r>
  <r>
    <n v="1953"/>
    <s v="William McFadden"/>
    <s v="doylestown"/>
    <x v="0"/>
    <n v="8708"/>
    <x v="216"/>
    <d v="2015-12-12T00:00:00"/>
    <x v="1"/>
    <x v="7"/>
  </r>
  <r>
    <n v="1954"/>
    <s v="William McGarry"/>
    <s v="sellersville"/>
    <x v="0"/>
    <n v="10032"/>
    <x v="134"/>
    <d v="2019-01-31T00:00:00"/>
    <x v="1"/>
    <x v="7"/>
  </r>
  <r>
    <n v="1955"/>
    <s v="William Roberts"/>
    <s v="blue bell"/>
    <x v="0"/>
    <n v="15889"/>
    <x v="761"/>
    <d v="2027-01-17T00:00:00"/>
    <x v="0"/>
    <x v="5"/>
  </r>
  <r>
    <n v="1956"/>
    <s v="William Stegura"/>
    <s v="southampton"/>
    <x v="0"/>
    <n v="17148"/>
    <x v="762"/>
    <d v="2026-02-03T00:00:00"/>
    <x v="0"/>
    <x v="7"/>
  </r>
  <r>
    <n v="1957"/>
    <s v="William Stegura"/>
    <s v="southampton"/>
    <x v="1"/>
    <n v="17148"/>
    <x v="691"/>
    <d v="2026-02-14T00:00:00"/>
    <x v="0"/>
    <x v="7"/>
  </r>
  <r>
    <n v="1958"/>
    <s v="William West"/>
    <s v="philadelphia"/>
    <x v="0"/>
    <n v="8401"/>
    <x v="14"/>
    <d v="2019-04-29T00:00:00"/>
    <x v="1"/>
    <x v="6"/>
  </r>
  <r>
    <n v="1959"/>
    <s v="William Williams"/>
    <s v="philadelphia"/>
    <x v="0"/>
    <n v="11913"/>
    <x v="763"/>
    <d v="2024-07-10T00:00:00"/>
    <x v="2"/>
    <x v="6"/>
  </r>
  <r>
    <n v="1960"/>
    <s v="Willie Bullock"/>
    <s v="philadelphia"/>
    <x v="0"/>
    <n v="19141"/>
    <x v="764"/>
    <d v="2025-09-11T00:00:00"/>
    <x v="0"/>
    <x v="6"/>
  </r>
  <r>
    <n v="1961"/>
    <s v="Xashyl Morales"/>
    <s v="philadelphia"/>
    <x v="0"/>
    <n v="11617"/>
    <x v="765"/>
    <d v="2027-02-05T00:00:00"/>
    <x v="0"/>
    <x v="6"/>
  </r>
  <r>
    <n v="1962"/>
    <s v="Yannick Harris"/>
    <s v="ephrata"/>
    <x v="0"/>
    <n v="19273"/>
    <x v="766"/>
    <d v="2025-10-08T00:00:00"/>
    <x v="0"/>
    <x v="2"/>
  </r>
  <r>
    <n v="1963"/>
    <s v="Yashi Maynard"/>
    <s v="philadelphia"/>
    <x v="0"/>
    <n v="9543"/>
    <x v="61"/>
    <d v="2018-03-11T00:00:00"/>
    <x v="1"/>
    <x v="6"/>
  </r>
  <r>
    <n v="1964"/>
    <s v="Yolanda Evans"/>
    <s v="reading"/>
    <x v="0"/>
    <n v="19879"/>
    <x v="68"/>
    <d v="2026-06-26T00:00:00"/>
    <x v="0"/>
    <x v="1"/>
  </r>
  <r>
    <n v="1965"/>
    <s v="Yulanda Myers"/>
    <s v="exton"/>
    <x v="0"/>
    <n v="18299"/>
    <x v="767"/>
    <d v="2027-02-20T00:00:00"/>
    <x v="0"/>
    <x v="4"/>
  </r>
  <r>
    <n v="1966"/>
    <s v="Yulanda Myers"/>
    <s v="exton"/>
    <x v="1"/>
    <n v="18299"/>
    <x v="371"/>
    <d v="2027-02-14T00:00:00"/>
    <x v="0"/>
    <x v="4"/>
  </r>
  <r>
    <n v="1967"/>
    <s v="Yvette Cypress"/>
    <s v="philadelphia"/>
    <x v="0"/>
    <n v="8462"/>
    <x v="106"/>
    <d v="2027-05-18T00:00:00"/>
    <x v="0"/>
    <x v="6"/>
  </r>
  <r>
    <n v="1968"/>
    <s v="Yvette Kamimura-Jones"/>
    <s v="philadelphia"/>
    <x v="0"/>
    <n v="16962"/>
    <x v="390"/>
    <d v="2027-02-20T00:00:00"/>
    <x v="0"/>
    <x v="6"/>
  </r>
  <r>
    <n v="1969"/>
    <s v="Yvette Kamimura-Jones"/>
    <s v="philadelphia"/>
    <x v="1"/>
    <n v="16962"/>
    <x v="268"/>
    <d v="2027-03-25T00:00:00"/>
    <x v="0"/>
    <x v="6"/>
  </r>
  <r>
    <n v="1970"/>
    <s v="Yvonne Flick"/>
    <s v="philadelphia"/>
    <x v="0"/>
    <n v="19212"/>
    <x v="768"/>
    <d v="2025-09-27T00:00:00"/>
    <x v="0"/>
    <x v="6"/>
  </r>
  <r>
    <n v="1971"/>
    <s v="Yvonne Orender"/>
    <s v="reading"/>
    <x v="0"/>
    <n v="12837"/>
    <x v="30"/>
    <d v="2027-02-08T00:00:00"/>
    <x v="0"/>
    <x v="1"/>
  </r>
  <r>
    <n v="1972"/>
    <s v="Yvonne Stroman"/>
    <s v="reading"/>
    <x v="0"/>
    <n v="9436"/>
    <x v="31"/>
    <d v="2025-12-03T00:00:00"/>
    <x v="0"/>
    <x v="1"/>
  </r>
  <r>
    <n v="1973"/>
    <s v="Zachary Cross"/>
    <s v="reading"/>
    <x v="0"/>
    <n v="17887"/>
    <x v="262"/>
    <d v="2026-10-03T00:00:00"/>
    <x v="0"/>
    <x v="1"/>
  </r>
  <r>
    <n v="1974"/>
    <s v="Zachary Feaster"/>
    <s v="trooper"/>
    <x v="0"/>
    <n v="19466"/>
    <x v="769"/>
    <d v="2025-11-28T00:00:00"/>
    <x v="0"/>
    <x v="5"/>
  </r>
  <r>
    <n v="1975"/>
    <s v="Zachary Signora"/>
    <s v="west chester"/>
    <x v="0"/>
    <n v="18743"/>
    <x v="770"/>
    <d v="2027-06-18T00:00:00"/>
    <x v="0"/>
    <x v="4"/>
  </r>
  <r>
    <n v="1976"/>
    <s v="Zandra Saunders"/>
    <s v="minersville"/>
    <x v="0"/>
    <n v="10227"/>
    <x v="771"/>
    <d v="2019-06-27T00:00:00"/>
    <x v="1"/>
    <x v="0"/>
  </r>
  <r>
    <n v="1977"/>
    <s v="Zina Patton"/>
    <s v="philadelphia"/>
    <x v="0"/>
    <n v="8397"/>
    <x v="14"/>
    <d v="2015-04-29T00:00:00"/>
    <x v="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678107-E13C-4188-8BD5-B25DA6112A5B}" name="PivotTable19" cacheId="3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O29" firstHeaderRow="1" firstDataRow="2" firstDataCol="1"/>
  <pivotFields count="12">
    <pivotField dataField="1" showAll="0"/>
    <pivotField showAll="0"/>
    <pivotField showAll="0"/>
    <pivotField showAll="0">
      <items count="4">
        <item x="1"/>
        <item x="0"/>
        <item x="2"/>
        <item t="default"/>
      </items>
    </pivotField>
    <pivotField showAll="0"/>
    <pivotField axis="axisRow" numFmtId="14" showAll="0">
      <items count="773">
        <item x="383"/>
        <item x="192"/>
        <item x="120"/>
        <item x="178"/>
        <item x="481"/>
        <item x="113"/>
        <item x="622"/>
        <item x="483"/>
        <item x="359"/>
        <item x="162"/>
        <item x="482"/>
        <item x="76"/>
        <item x="631"/>
        <item x="264"/>
        <item x="427"/>
        <item x="639"/>
        <item x="354"/>
        <item x="250"/>
        <item x="379"/>
        <item x="142"/>
        <item x="374"/>
        <item x="33"/>
        <item x="170"/>
        <item x="217"/>
        <item x="89"/>
        <item x="760"/>
        <item x="745"/>
        <item x="81"/>
        <item x="287"/>
        <item x="750"/>
        <item x="326"/>
        <item x="14"/>
        <item x="444"/>
        <item x="106"/>
        <item x="355"/>
        <item x="41"/>
        <item x="350"/>
        <item x="71"/>
        <item x="329"/>
        <item x="454"/>
        <item x="657"/>
        <item x="323"/>
        <item x="297"/>
        <item x="453"/>
        <item x="164"/>
        <item x="96"/>
        <item x="216"/>
        <item x="252"/>
        <item x="410"/>
        <item x="613"/>
        <item x="165"/>
        <item x="99"/>
        <item x="644"/>
        <item x="123"/>
        <item x="213"/>
        <item x="344"/>
        <item x="289"/>
        <item x="80"/>
        <item x="712"/>
        <item x="73"/>
        <item x="253"/>
        <item x="171"/>
        <item x="291"/>
        <item x="558"/>
        <item x="214"/>
        <item x="505"/>
        <item x="5"/>
        <item x="129"/>
        <item x="60"/>
        <item x="702"/>
        <item x="456"/>
        <item x="301"/>
        <item x="308"/>
        <item x="367"/>
        <item x="510"/>
        <item x="251"/>
        <item x="455"/>
        <item x="40"/>
        <item x="270"/>
        <item x="31"/>
        <item x="150"/>
        <item x="507"/>
        <item x="61"/>
        <item x="193"/>
        <item x="361"/>
        <item x="670"/>
        <item x="15"/>
        <item x="153"/>
        <item x="194"/>
        <item x="24"/>
        <item x="220"/>
        <item x="109"/>
        <item x="595"/>
        <item x="690"/>
        <item x="274"/>
        <item x="280"/>
        <item x="246"/>
        <item x="402"/>
        <item x="50"/>
        <item x="398"/>
        <item x="310"/>
        <item x="676"/>
        <item x="653"/>
        <item x="255"/>
        <item x="48"/>
        <item x="134"/>
        <item x="21"/>
        <item x="63"/>
        <item x="211"/>
        <item x="720"/>
        <item x="278"/>
        <item x="369"/>
        <item x="77"/>
        <item x="578"/>
        <item x="79"/>
        <item x="401"/>
        <item x="771"/>
        <item x="149"/>
        <item x="176"/>
        <item x="9"/>
        <item x="686"/>
        <item x="404"/>
        <item x="93"/>
        <item x="88"/>
        <item x="443"/>
        <item x="36"/>
        <item x="502"/>
        <item x="177"/>
        <item x="284"/>
        <item x="126"/>
        <item x="17"/>
        <item x="466"/>
        <item x="756"/>
        <item x="197"/>
        <item x="156"/>
        <item x="564"/>
        <item x="450"/>
        <item x="135"/>
        <item x="714"/>
        <item x="389"/>
        <item x="500"/>
        <item x="305"/>
        <item x="627"/>
        <item x="340"/>
        <item x="2"/>
        <item x="391"/>
        <item x="104"/>
        <item x="72"/>
        <item x="667"/>
        <item x="763"/>
        <item x="738"/>
        <item x="10"/>
        <item x="158"/>
        <item x="281"/>
        <item x="580"/>
        <item x="609"/>
        <item x="95"/>
        <item x="678"/>
        <item x="277"/>
        <item x="373"/>
        <item x="74"/>
        <item x="562"/>
        <item x="254"/>
        <item x="368"/>
        <item x="611"/>
        <item x="469"/>
        <item x="49"/>
        <item x="740"/>
        <item x="125"/>
        <item x="730"/>
        <item x="127"/>
        <item x="6"/>
        <item x="37"/>
        <item x="116"/>
        <item x="247"/>
        <item x="30"/>
        <item x="567"/>
        <item x="298"/>
        <item x="680"/>
        <item x="698"/>
        <item x="75"/>
        <item x="191"/>
        <item x="709"/>
        <item x="148"/>
        <item x="313"/>
        <item x="377"/>
        <item x="650"/>
        <item x="697"/>
        <item x="318"/>
        <item x="724"/>
        <item x="579"/>
        <item x="78"/>
        <item x="415"/>
        <item x="553"/>
        <item x="228"/>
        <item x="598"/>
        <item x="160"/>
        <item x="521"/>
        <item x="496"/>
        <item x="532"/>
        <item x="530"/>
        <item x="207"/>
        <item x="339"/>
        <item x="737"/>
        <item x="599"/>
        <item x="757"/>
        <item x="27"/>
        <item x="139"/>
        <item x="190"/>
        <item x="19"/>
        <item x="711"/>
        <item x="664"/>
        <item x="195"/>
        <item x="457"/>
        <item x="84"/>
        <item x="29"/>
        <item x="244"/>
        <item x="449"/>
        <item x="28"/>
        <item x="684"/>
        <item x="20"/>
        <item x="224"/>
        <item x="236"/>
        <item x="117"/>
        <item x="226"/>
        <item x="288"/>
        <item x="739"/>
        <item x="110"/>
        <item x="491"/>
        <item x="85"/>
        <item x="122"/>
        <item x="362"/>
        <item x="91"/>
        <item x="121"/>
        <item x="208"/>
        <item x="32"/>
        <item x="348"/>
        <item x="306"/>
        <item x="51"/>
        <item x="731"/>
        <item x="338"/>
        <item x="386"/>
        <item x="94"/>
        <item x="514"/>
        <item x="11"/>
        <item x="476"/>
        <item x="184"/>
        <item x="421"/>
        <item x="606"/>
        <item x="626"/>
        <item x="181"/>
        <item x="257"/>
        <item x="499"/>
        <item x="424"/>
        <item x="497"/>
        <item x="234"/>
        <item x="728"/>
        <item x="52"/>
        <item x="555"/>
        <item x="221"/>
        <item x="625"/>
        <item x="629"/>
        <item x="312"/>
        <item x="522"/>
        <item x="554"/>
        <item x="559"/>
        <item x="586"/>
        <item x="92"/>
        <item x="458"/>
        <item x="328"/>
        <item x="311"/>
        <item x="761"/>
        <item x="630"/>
        <item x="174"/>
        <item x="102"/>
        <item x="429"/>
        <item x="666"/>
        <item x="683"/>
        <item x="758"/>
        <item x="620"/>
        <item x="581"/>
        <item x="128"/>
        <item x="7"/>
        <item x="225"/>
        <item x="661"/>
        <item x="103"/>
        <item x="515"/>
        <item x="430"/>
        <item x="470"/>
        <item x="286"/>
        <item x="688"/>
        <item x="57"/>
        <item x="279"/>
        <item x="735"/>
        <item x="199"/>
        <item x="746"/>
        <item x="572"/>
        <item x="591"/>
        <item x="439"/>
        <item x="3"/>
        <item x="241"/>
        <item x="304"/>
        <item x="621"/>
        <item x="660"/>
        <item x="161"/>
        <item x="755"/>
        <item x="185"/>
        <item x="107"/>
        <item x="589"/>
        <item x="723"/>
        <item x="708"/>
        <item x="376"/>
        <item x="610"/>
        <item x="394"/>
        <item x="632"/>
        <item x="393"/>
        <item x="414"/>
        <item x="101"/>
        <item x="531"/>
        <item x="275"/>
        <item x="732"/>
        <item x="202"/>
        <item x="105"/>
        <item x="249"/>
        <item x="62"/>
        <item x="365"/>
        <item x="479"/>
        <item x="477"/>
        <item x="70"/>
        <item x="209"/>
        <item x="387"/>
        <item x="701"/>
        <item x="382"/>
        <item x="628"/>
        <item x="679"/>
        <item x="69"/>
        <item x="273"/>
        <item x="715"/>
        <item x="12"/>
        <item x="212"/>
        <item x="654"/>
        <item x="437"/>
        <item x="360"/>
        <item x="294"/>
        <item x="56"/>
        <item x="239"/>
        <item x="748"/>
        <item x="442"/>
        <item x="111"/>
        <item x="608"/>
        <item x="585"/>
        <item x="528"/>
        <item x="259"/>
        <item x="635"/>
        <item x="478"/>
        <item x="23"/>
        <item x="557"/>
        <item x="400"/>
        <item x="372"/>
        <item x="55"/>
        <item x="742"/>
        <item x="729"/>
        <item x="399"/>
        <item x="248"/>
        <item x="465"/>
        <item x="576"/>
        <item x="265"/>
        <item x="433"/>
        <item x="464"/>
        <item x="509"/>
        <item x="574"/>
        <item x="407"/>
        <item x="704"/>
        <item x="182"/>
        <item x="136"/>
        <item x="38"/>
        <item x="762"/>
        <item x="675"/>
        <item x="733"/>
        <item x="529"/>
        <item x="163"/>
        <item x="691"/>
        <item x="112"/>
        <item x="58"/>
        <item x="100"/>
        <item x="759"/>
        <item x="47"/>
        <item x="293"/>
        <item x="618"/>
        <item x="617"/>
        <item x="325"/>
        <item x="157"/>
        <item x="674"/>
        <item x="237"/>
        <item x="337"/>
        <item x="87"/>
        <item x="542"/>
        <item x="673"/>
        <item x="544"/>
        <item x="392"/>
        <item x="602"/>
        <item x="245"/>
        <item x="607"/>
        <item x="645"/>
        <item x="179"/>
        <item x="710"/>
        <item x="86"/>
        <item x="418"/>
        <item x="485"/>
        <item x="203"/>
        <item x="432"/>
        <item x="459"/>
        <item x="493"/>
        <item x="266"/>
        <item x="4"/>
        <item x="395"/>
        <item x="577"/>
        <item x="651"/>
        <item x="511"/>
        <item x="681"/>
        <item x="235"/>
        <item x="324"/>
        <item x="428"/>
        <item x="138"/>
        <item x="519"/>
        <item x="550"/>
        <item x="592"/>
        <item x="242"/>
        <item x="551"/>
        <item x="137"/>
        <item x="147"/>
        <item x="474"/>
        <item x="695"/>
        <item x="658"/>
        <item x="501"/>
        <item x="145"/>
        <item x="545"/>
        <item x="82"/>
        <item x="292"/>
        <item x="604"/>
        <item x="282"/>
        <item x="692"/>
        <item x="233"/>
        <item x="536"/>
        <item x="331"/>
        <item x="18"/>
        <item x="537"/>
        <item x="513"/>
        <item x="587"/>
        <item x="262"/>
        <item x="380"/>
        <item x="146"/>
        <item x="405"/>
        <item x="154"/>
        <item x="425"/>
        <item x="232"/>
        <item x="417"/>
        <item x="696"/>
        <item x="588"/>
        <item x="582"/>
        <item x="640"/>
        <item x="347"/>
        <item x="685"/>
        <item x="541"/>
        <item x="258"/>
        <item x="144"/>
        <item x="718"/>
        <item x="498"/>
        <item x="682"/>
        <item x="364"/>
        <item x="198"/>
        <item x="614"/>
        <item x="647"/>
        <item x="648"/>
        <item x="346"/>
        <item x="243"/>
        <item x="416"/>
        <item x="471"/>
        <item x="334"/>
        <item x="381"/>
        <item x="722"/>
        <item x="307"/>
        <item x="655"/>
        <item x="573"/>
        <item x="597"/>
        <item x="303"/>
        <item x="743"/>
        <item x="43"/>
        <item x="42"/>
        <item x="240"/>
        <item x="403"/>
        <item x="642"/>
        <item x="352"/>
        <item x="371"/>
        <item x="672"/>
        <item x="671"/>
        <item x="366"/>
        <item x="767"/>
        <item x="440"/>
        <item x="115"/>
        <item x="375"/>
        <item x="295"/>
        <item x="687"/>
        <item x="26"/>
        <item x="409"/>
        <item x="302"/>
        <item x="65"/>
        <item x="652"/>
        <item x="114"/>
        <item x="330"/>
        <item x="570"/>
        <item x="263"/>
        <item x="143"/>
        <item x="124"/>
        <item x="747"/>
        <item x="413"/>
        <item x="172"/>
        <item x="180"/>
        <item x="299"/>
        <item x="441"/>
        <item x="204"/>
        <item x="467"/>
        <item x="272"/>
        <item x="549"/>
        <item x="271"/>
        <item x="322"/>
        <item x="689"/>
        <item x="643"/>
        <item x="436"/>
        <item x="435"/>
        <item x="269"/>
        <item x="97"/>
        <item x="770"/>
        <item x="25"/>
        <item x="342"/>
        <item x="227"/>
        <item x="8"/>
        <item x="726"/>
        <item x="446"/>
        <item x="619"/>
        <item x="705"/>
        <item x="487"/>
        <item x="314"/>
        <item x="526"/>
        <item x="468"/>
        <item x="256"/>
        <item x="744"/>
        <item x="486"/>
        <item x="231"/>
        <item x="669"/>
        <item x="668"/>
        <item x="0"/>
        <item x="223"/>
        <item x="186"/>
        <item x="290"/>
        <item x="534"/>
        <item x="764"/>
        <item x="656"/>
        <item x="358"/>
        <item x="434"/>
        <item x="768"/>
        <item x="719"/>
        <item x="633"/>
        <item x="426"/>
        <item x="766"/>
        <item x="230"/>
        <item x="612"/>
        <item x="45"/>
        <item x="44"/>
        <item x="419"/>
        <item x="218"/>
        <item x="388"/>
        <item x="438"/>
        <item x="566"/>
        <item x="752"/>
        <item x="351"/>
        <item x="769"/>
        <item x="637"/>
        <item x="206"/>
        <item x="504"/>
        <item x="315"/>
        <item x="356"/>
        <item x="385"/>
        <item x="321"/>
        <item x="517"/>
        <item x="420"/>
        <item x="741"/>
        <item x="518"/>
        <item x="431"/>
        <item x="594"/>
        <item x="490"/>
        <item x="603"/>
        <item x="571"/>
        <item x="616"/>
        <item x="593"/>
        <item x="716"/>
        <item x="539"/>
        <item x="463"/>
        <item x="316"/>
        <item x="717"/>
        <item x="615"/>
        <item x="46"/>
        <item x="309"/>
        <item x="543"/>
        <item x="90"/>
        <item x="751"/>
        <item x="548"/>
        <item x="370"/>
        <item x="495"/>
        <item x="749"/>
        <item x="412"/>
        <item x="411"/>
        <item x="210"/>
        <item x="538"/>
        <item x="568"/>
        <item x="623"/>
        <item x="35"/>
        <item x="461"/>
        <item x="523"/>
        <item x="336"/>
        <item x="473"/>
        <item x="229"/>
        <item x="753"/>
        <item x="565"/>
        <item x="196"/>
        <item x="605"/>
        <item x="34"/>
        <item x="201"/>
        <item x="169"/>
        <item x="130"/>
        <item x="132"/>
        <item x="296"/>
        <item x="152"/>
        <item x="725"/>
        <item x="492"/>
        <item x="506"/>
        <item x="66"/>
        <item x="396"/>
        <item x="59"/>
        <item x="151"/>
        <item x="345"/>
        <item x="423"/>
        <item x="39"/>
        <item x="484"/>
        <item x="68"/>
        <item x="547"/>
        <item x="353"/>
        <item x="546"/>
        <item x="283"/>
        <item x="659"/>
        <item x="524"/>
        <item x="168"/>
        <item x="363"/>
        <item x="663"/>
        <item x="83"/>
        <item x="183"/>
        <item x="636"/>
        <item x="167"/>
        <item x="13"/>
        <item x="397"/>
        <item x="22"/>
        <item x="200"/>
        <item x="16"/>
        <item x="276"/>
        <item x="462"/>
        <item x="736"/>
        <item x="108"/>
        <item x="646"/>
        <item x="131"/>
        <item x="445"/>
        <item x="488"/>
        <item x="624"/>
        <item x="133"/>
        <item x="475"/>
        <item x="173"/>
        <item x="166"/>
        <item x="677"/>
        <item x="452"/>
        <item x="205"/>
        <item x="141"/>
        <item x="319"/>
        <item x="489"/>
        <item x="300"/>
        <item x="189"/>
        <item x="159"/>
        <item x="188"/>
        <item x="448"/>
        <item x="119"/>
        <item x="584"/>
        <item x="552"/>
        <item x="140"/>
        <item x="267"/>
        <item x="175"/>
        <item x="649"/>
        <item x="54"/>
        <item x="583"/>
        <item x="516"/>
        <item x="563"/>
        <item x="341"/>
        <item x="596"/>
        <item x="601"/>
        <item x="590"/>
        <item x="333"/>
        <item x="406"/>
        <item x="693"/>
        <item x="155"/>
        <item x="721"/>
        <item x="317"/>
        <item x="520"/>
        <item x="600"/>
        <item x="64"/>
        <item x="706"/>
        <item x="447"/>
        <item x="222"/>
        <item x="734"/>
        <item x="560"/>
        <item x="561"/>
        <item x="327"/>
        <item x="494"/>
        <item x="662"/>
        <item x="260"/>
        <item x="641"/>
        <item x="638"/>
        <item x="508"/>
        <item x="665"/>
        <item x="285"/>
        <item x="765"/>
        <item x="754"/>
        <item x="332"/>
        <item x="451"/>
        <item x="335"/>
        <item x="67"/>
        <item x="390"/>
        <item x="503"/>
        <item x="699"/>
        <item x="261"/>
        <item x="384"/>
        <item x="694"/>
        <item x="343"/>
        <item x="713"/>
        <item x="118"/>
        <item x="707"/>
        <item x="268"/>
        <item x="556"/>
        <item x="569"/>
        <item x="527"/>
        <item x="700"/>
        <item x="460"/>
        <item x="535"/>
        <item x="540"/>
        <item x="575"/>
        <item x="533"/>
        <item x="320"/>
        <item x="703"/>
        <item x="187"/>
        <item x="525"/>
        <item x="422"/>
        <item x="98"/>
        <item x="349"/>
        <item x="727"/>
        <item x="634"/>
        <item x="53"/>
        <item x="378"/>
        <item x="480"/>
        <item x="512"/>
        <item x="219"/>
        <item x="1"/>
        <item x="357"/>
        <item x="408"/>
        <item x="215"/>
        <item x="472"/>
        <item x="238"/>
        <item t="default"/>
      </items>
    </pivotField>
    <pivotField numFmtId="14" showAll="0"/>
    <pivotField axis="axisCol" showAll="0">
      <items count="6">
        <item x="0"/>
        <item x="3"/>
        <item x="1"/>
        <item x="4"/>
        <item x="2"/>
        <item t="default"/>
      </items>
    </pivotField>
    <pivotField showAll="0">
      <items count="9">
        <item x="1"/>
        <item h="1" x="7"/>
        <item h="1" x="4"/>
        <item h="1" x="3"/>
        <item h="1" x="2"/>
        <item h="1" x="5"/>
        <item h="1" x="6"/>
        <item h="1" x="0"/>
        <item t="default"/>
      </items>
    </pivotField>
    <pivotField axis="axisRow" showAll="0">
      <items count="15">
        <item sd="0" x="0"/>
        <item sd="0" x="1"/>
        <item sd="0" x="2"/>
        <item sd="0" x="3"/>
        <item sd="0" x="4"/>
        <item sd="0" x="5"/>
        <item sd="0" x="6"/>
        <item sd="0" x="7"/>
        <item sd="0" x="8"/>
        <item sd="0" x="9"/>
        <item sd="0" x="10"/>
        <item x="11"/>
        <item sd="0" x="12"/>
        <item sd="0" x="13"/>
        <item t="default"/>
      </items>
    </pivotField>
    <pivotField axis="axisRow" showAll="0">
      <items count="7">
        <item sd="0" x="0"/>
        <item x="1"/>
        <item x="2"/>
        <item sd="0" x="3"/>
        <item x="4"/>
        <item sd="0" x="5"/>
        <item t="default"/>
      </items>
    </pivotField>
    <pivotField axis="axisRow" showAll="0">
      <items count="20">
        <item sd="0" x="0"/>
        <item sd="0" x="1"/>
        <item sd="0" x="2"/>
        <item sd="0" x="3"/>
        <item sd="0" x="4"/>
        <item sd="0" x="5"/>
        <item sd="0" x="6"/>
        <item sd="0" x="7"/>
        <item sd="0" x="8"/>
        <item sd="0" x="9"/>
        <item sd="0" x="10"/>
        <item sd="0" x="11"/>
        <item sd="0" x="12"/>
        <item sd="0" x="13"/>
        <item sd="0" x="14"/>
        <item sd="0" x="15"/>
        <item sd="0" x="16"/>
        <item x="17"/>
        <item sd="0" x="18"/>
        <item t="default"/>
      </items>
    </pivotField>
  </pivotFields>
  <rowFields count="4">
    <field x="11"/>
    <field x="10"/>
    <field x="9"/>
    <field x="5"/>
  </rowFields>
  <rowItems count="25">
    <i>
      <x v="1"/>
    </i>
    <i>
      <x v="2"/>
    </i>
    <i>
      <x v="3"/>
    </i>
    <i>
      <x v="4"/>
    </i>
    <i>
      <x v="5"/>
    </i>
    <i>
      <x v="6"/>
    </i>
    <i>
      <x v="7"/>
    </i>
    <i>
      <x v="8"/>
    </i>
    <i>
      <x v="9"/>
    </i>
    <i>
      <x v="10"/>
    </i>
    <i>
      <x v="11"/>
    </i>
    <i>
      <x v="12"/>
    </i>
    <i>
      <x v="13"/>
    </i>
    <i>
      <x v="14"/>
    </i>
    <i>
      <x v="15"/>
    </i>
    <i>
      <x v="16"/>
    </i>
    <i>
      <x v="17"/>
    </i>
    <i r="1">
      <x v="1"/>
    </i>
    <i r="2">
      <x v="1"/>
    </i>
    <i r="2">
      <x v="2"/>
    </i>
    <i r="2">
      <x v="3"/>
    </i>
    <i r="1">
      <x v="2"/>
    </i>
    <i r="2">
      <x v="4"/>
    </i>
    <i r="2">
      <x v="6"/>
    </i>
    <i t="grand">
      <x/>
    </i>
  </rowItems>
  <colFields count="1">
    <field x="7"/>
  </colFields>
  <colItems count="6">
    <i>
      <x/>
    </i>
    <i>
      <x v="1"/>
    </i>
    <i>
      <x v="2"/>
    </i>
    <i>
      <x v="3"/>
    </i>
    <i>
      <x v="4"/>
    </i>
    <i t="grand">
      <x/>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5C1EE0-B6F8-461B-A57E-A458DAEF10E1}" name="PivotTable18" cacheId="3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G36" firstHeaderRow="1" firstDataRow="2" firstDataCol="1"/>
  <pivotFields count="12">
    <pivotField dataField="1" showAll="0"/>
    <pivotField showAll="0"/>
    <pivotField showAll="0"/>
    <pivotField axis="axisRow" showAll="0">
      <items count="4">
        <item x="1"/>
        <item x="0"/>
        <item x="2"/>
        <item t="default"/>
      </items>
    </pivotField>
    <pivotField showAll="0"/>
    <pivotField numFmtId="14" showAll="0">
      <items count="773">
        <item x="383"/>
        <item x="192"/>
        <item x="120"/>
        <item x="178"/>
        <item x="481"/>
        <item x="113"/>
        <item x="622"/>
        <item x="483"/>
        <item x="359"/>
        <item x="162"/>
        <item x="482"/>
        <item x="76"/>
        <item x="631"/>
        <item x="264"/>
        <item x="427"/>
        <item x="639"/>
        <item x="354"/>
        <item x="250"/>
        <item x="379"/>
        <item x="142"/>
        <item x="374"/>
        <item x="33"/>
        <item x="170"/>
        <item x="217"/>
        <item x="89"/>
        <item x="760"/>
        <item x="745"/>
        <item x="81"/>
        <item x="287"/>
        <item x="750"/>
        <item x="326"/>
        <item x="14"/>
        <item x="444"/>
        <item x="106"/>
        <item x="355"/>
        <item x="41"/>
        <item x="350"/>
        <item x="71"/>
        <item x="329"/>
        <item x="454"/>
        <item x="657"/>
        <item x="323"/>
        <item x="297"/>
        <item x="453"/>
        <item x="164"/>
        <item x="96"/>
        <item x="216"/>
        <item x="252"/>
        <item x="410"/>
        <item x="613"/>
        <item x="165"/>
        <item x="99"/>
        <item x="644"/>
        <item x="123"/>
        <item x="213"/>
        <item x="344"/>
        <item x="289"/>
        <item x="80"/>
        <item x="712"/>
        <item x="73"/>
        <item x="253"/>
        <item x="171"/>
        <item x="291"/>
        <item x="558"/>
        <item x="214"/>
        <item x="505"/>
        <item x="5"/>
        <item x="129"/>
        <item x="60"/>
        <item x="702"/>
        <item x="456"/>
        <item x="301"/>
        <item x="308"/>
        <item x="367"/>
        <item x="510"/>
        <item x="251"/>
        <item x="455"/>
        <item x="40"/>
        <item x="270"/>
        <item x="31"/>
        <item x="150"/>
        <item x="507"/>
        <item x="61"/>
        <item x="193"/>
        <item x="361"/>
        <item x="670"/>
        <item x="15"/>
        <item x="153"/>
        <item x="194"/>
        <item x="24"/>
        <item x="220"/>
        <item x="109"/>
        <item x="595"/>
        <item x="690"/>
        <item x="274"/>
        <item x="280"/>
        <item x="246"/>
        <item x="402"/>
        <item x="50"/>
        <item x="398"/>
        <item x="310"/>
        <item x="676"/>
        <item x="653"/>
        <item x="255"/>
        <item x="48"/>
        <item x="134"/>
        <item x="21"/>
        <item x="63"/>
        <item x="211"/>
        <item x="720"/>
        <item x="278"/>
        <item x="369"/>
        <item x="77"/>
        <item x="578"/>
        <item x="79"/>
        <item x="401"/>
        <item x="771"/>
        <item x="149"/>
        <item x="176"/>
        <item x="9"/>
        <item x="686"/>
        <item x="404"/>
        <item x="93"/>
        <item x="88"/>
        <item x="443"/>
        <item x="36"/>
        <item x="502"/>
        <item x="177"/>
        <item x="284"/>
        <item x="126"/>
        <item x="17"/>
        <item x="466"/>
        <item x="756"/>
        <item x="197"/>
        <item x="156"/>
        <item x="564"/>
        <item x="450"/>
        <item x="135"/>
        <item x="714"/>
        <item x="389"/>
        <item x="500"/>
        <item x="305"/>
        <item x="627"/>
        <item x="340"/>
        <item x="2"/>
        <item x="391"/>
        <item x="104"/>
        <item x="72"/>
        <item x="667"/>
        <item x="763"/>
        <item x="738"/>
        <item x="10"/>
        <item x="158"/>
        <item x="281"/>
        <item x="580"/>
        <item x="609"/>
        <item x="95"/>
        <item x="678"/>
        <item x="277"/>
        <item x="373"/>
        <item x="74"/>
        <item x="562"/>
        <item x="254"/>
        <item x="368"/>
        <item x="611"/>
        <item x="469"/>
        <item x="49"/>
        <item x="740"/>
        <item x="125"/>
        <item x="730"/>
        <item x="127"/>
        <item x="6"/>
        <item x="37"/>
        <item x="116"/>
        <item x="247"/>
        <item x="30"/>
        <item x="567"/>
        <item x="298"/>
        <item x="680"/>
        <item x="698"/>
        <item x="75"/>
        <item x="191"/>
        <item x="709"/>
        <item x="148"/>
        <item x="313"/>
        <item x="377"/>
        <item x="650"/>
        <item x="697"/>
        <item x="318"/>
        <item x="724"/>
        <item x="579"/>
        <item x="78"/>
        <item x="415"/>
        <item x="553"/>
        <item x="228"/>
        <item x="598"/>
        <item x="160"/>
        <item x="521"/>
        <item x="496"/>
        <item x="532"/>
        <item x="530"/>
        <item x="207"/>
        <item x="339"/>
        <item x="737"/>
        <item x="599"/>
        <item x="757"/>
        <item x="27"/>
        <item x="139"/>
        <item x="190"/>
        <item x="19"/>
        <item x="711"/>
        <item x="664"/>
        <item x="195"/>
        <item x="457"/>
        <item x="84"/>
        <item x="29"/>
        <item x="244"/>
        <item x="449"/>
        <item x="28"/>
        <item x="684"/>
        <item x="20"/>
        <item x="224"/>
        <item x="236"/>
        <item x="117"/>
        <item x="226"/>
        <item x="288"/>
        <item x="739"/>
        <item x="110"/>
        <item x="491"/>
        <item x="85"/>
        <item x="122"/>
        <item x="362"/>
        <item x="91"/>
        <item x="121"/>
        <item x="208"/>
        <item x="32"/>
        <item x="348"/>
        <item x="306"/>
        <item x="51"/>
        <item x="731"/>
        <item x="338"/>
        <item x="386"/>
        <item x="94"/>
        <item x="514"/>
        <item x="11"/>
        <item x="476"/>
        <item x="184"/>
        <item x="421"/>
        <item x="606"/>
        <item x="626"/>
        <item x="181"/>
        <item x="257"/>
        <item x="499"/>
        <item x="424"/>
        <item x="497"/>
        <item x="234"/>
        <item x="728"/>
        <item x="52"/>
        <item x="555"/>
        <item x="221"/>
        <item x="625"/>
        <item x="629"/>
        <item x="312"/>
        <item x="522"/>
        <item x="554"/>
        <item x="559"/>
        <item x="586"/>
        <item x="92"/>
        <item x="458"/>
        <item x="328"/>
        <item x="311"/>
        <item x="761"/>
        <item x="630"/>
        <item x="174"/>
        <item x="102"/>
        <item x="429"/>
        <item x="666"/>
        <item x="683"/>
        <item x="758"/>
        <item x="620"/>
        <item x="581"/>
        <item x="128"/>
        <item x="7"/>
        <item x="225"/>
        <item x="661"/>
        <item x="103"/>
        <item x="515"/>
        <item x="430"/>
        <item x="470"/>
        <item x="286"/>
        <item x="688"/>
        <item x="57"/>
        <item x="279"/>
        <item x="735"/>
        <item x="199"/>
        <item x="746"/>
        <item x="572"/>
        <item x="591"/>
        <item x="439"/>
        <item x="3"/>
        <item x="241"/>
        <item x="304"/>
        <item x="621"/>
        <item x="660"/>
        <item x="161"/>
        <item x="755"/>
        <item x="185"/>
        <item x="107"/>
        <item x="589"/>
        <item x="723"/>
        <item x="708"/>
        <item x="376"/>
        <item x="610"/>
        <item x="394"/>
        <item x="632"/>
        <item x="393"/>
        <item x="414"/>
        <item x="101"/>
        <item x="531"/>
        <item x="275"/>
        <item x="732"/>
        <item x="202"/>
        <item x="105"/>
        <item x="249"/>
        <item x="62"/>
        <item x="365"/>
        <item x="479"/>
        <item x="477"/>
        <item x="70"/>
        <item x="209"/>
        <item x="387"/>
        <item x="701"/>
        <item x="382"/>
        <item x="628"/>
        <item x="679"/>
        <item x="69"/>
        <item x="273"/>
        <item x="715"/>
        <item x="12"/>
        <item x="212"/>
        <item x="654"/>
        <item x="437"/>
        <item x="360"/>
        <item x="294"/>
        <item x="56"/>
        <item x="239"/>
        <item x="748"/>
        <item x="442"/>
        <item x="111"/>
        <item x="608"/>
        <item x="585"/>
        <item x="528"/>
        <item x="259"/>
        <item x="635"/>
        <item x="478"/>
        <item x="23"/>
        <item x="557"/>
        <item x="400"/>
        <item x="372"/>
        <item x="55"/>
        <item x="742"/>
        <item x="729"/>
        <item x="399"/>
        <item x="248"/>
        <item x="465"/>
        <item x="576"/>
        <item x="265"/>
        <item x="433"/>
        <item x="464"/>
        <item x="509"/>
        <item x="574"/>
        <item x="407"/>
        <item x="704"/>
        <item x="182"/>
        <item x="136"/>
        <item x="38"/>
        <item x="762"/>
        <item x="675"/>
        <item x="733"/>
        <item x="529"/>
        <item x="163"/>
        <item x="691"/>
        <item x="112"/>
        <item x="58"/>
        <item x="100"/>
        <item x="759"/>
        <item x="47"/>
        <item x="293"/>
        <item x="618"/>
        <item x="617"/>
        <item x="325"/>
        <item x="157"/>
        <item x="674"/>
        <item x="237"/>
        <item x="337"/>
        <item x="87"/>
        <item x="542"/>
        <item x="673"/>
        <item x="544"/>
        <item x="392"/>
        <item x="602"/>
        <item x="245"/>
        <item x="607"/>
        <item x="645"/>
        <item x="179"/>
        <item x="710"/>
        <item x="86"/>
        <item x="418"/>
        <item x="485"/>
        <item x="203"/>
        <item x="432"/>
        <item x="459"/>
        <item x="493"/>
        <item x="266"/>
        <item x="4"/>
        <item x="395"/>
        <item x="577"/>
        <item x="651"/>
        <item x="511"/>
        <item x="681"/>
        <item x="235"/>
        <item x="324"/>
        <item x="428"/>
        <item x="138"/>
        <item x="519"/>
        <item x="550"/>
        <item x="592"/>
        <item x="242"/>
        <item x="551"/>
        <item x="137"/>
        <item x="147"/>
        <item x="474"/>
        <item x="695"/>
        <item x="658"/>
        <item x="501"/>
        <item x="145"/>
        <item x="545"/>
        <item x="82"/>
        <item x="292"/>
        <item x="604"/>
        <item x="282"/>
        <item x="692"/>
        <item x="233"/>
        <item x="536"/>
        <item x="331"/>
        <item x="18"/>
        <item x="537"/>
        <item x="513"/>
        <item x="587"/>
        <item x="262"/>
        <item x="380"/>
        <item x="146"/>
        <item x="405"/>
        <item x="154"/>
        <item x="425"/>
        <item x="232"/>
        <item x="417"/>
        <item x="696"/>
        <item x="588"/>
        <item x="582"/>
        <item x="640"/>
        <item x="347"/>
        <item x="685"/>
        <item x="541"/>
        <item x="258"/>
        <item x="144"/>
        <item x="718"/>
        <item x="498"/>
        <item x="682"/>
        <item x="364"/>
        <item x="198"/>
        <item x="614"/>
        <item x="647"/>
        <item x="648"/>
        <item x="346"/>
        <item x="243"/>
        <item x="416"/>
        <item x="471"/>
        <item x="334"/>
        <item x="381"/>
        <item x="722"/>
        <item x="307"/>
        <item x="655"/>
        <item x="573"/>
        <item x="597"/>
        <item x="303"/>
        <item x="743"/>
        <item x="43"/>
        <item x="42"/>
        <item x="240"/>
        <item x="403"/>
        <item x="642"/>
        <item x="352"/>
        <item x="371"/>
        <item x="672"/>
        <item x="671"/>
        <item x="366"/>
        <item x="767"/>
        <item x="440"/>
        <item x="115"/>
        <item x="375"/>
        <item x="295"/>
        <item x="687"/>
        <item x="26"/>
        <item x="409"/>
        <item x="302"/>
        <item x="65"/>
        <item x="652"/>
        <item x="114"/>
        <item x="330"/>
        <item x="570"/>
        <item x="263"/>
        <item x="143"/>
        <item x="124"/>
        <item x="747"/>
        <item x="413"/>
        <item x="172"/>
        <item x="180"/>
        <item x="299"/>
        <item x="441"/>
        <item x="204"/>
        <item x="467"/>
        <item x="272"/>
        <item x="549"/>
        <item x="271"/>
        <item x="322"/>
        <item x="689"/>
        <item x="643"/>
        <item x="436"/>
        <item x="435"/>
        <item x="269"/>
        <item x="97"/>
        <item x="770"/>
        <item x="25"/>
        <item x="342"/>
        <item x="227"/>
        <item x="8"/>
        <item x="726"/>
        <item x="446"/>
        <item x="619"/>
        <item x="705"/>
        <item x="487"/>
        <item x="314"/>
        <item x="526"/>
        <item x="468"/>
        <item x="256"/>
        <item x="744"/>
        <item x="486"/>
        <item x="231"/>
        <item x="669"/>
        <item x="668"/>
        <item x="0"/>
        <item x="223"/>
        <item x="186"/>
        <item x="290"/>
        <item x="534"/>
        <item x="764"/>
        <item x="656"/>
        <item x="358"/>
        <item x="434"/>
        <item x="768"/>
        <item x="719"/>
        <item x="633"/>
        <item x="426"/>
        <item x="766"/>
        <item x="230"/>
        <item x="612"/>
        <item x="45"/>
        <item x="44"/>
        <item x="419"/>
        <item x="218"/>
        <item x="388"/>
        <item x="438"/>
        <item x="566"/>
        <item x="752"/>
        <item x="351"/>
        <item x="769"/>
        <item x="637"/>
        <item x="206"/>
        <item x="504"/>
        <item x="315"/>
        <item x="356"/>
        <item x="385"/>
        <item x="321"/>
        <item x="517"/>
        <item x="420"/>
        <item x="741"/>
        <item x="518"/>
        <item x="431"/>
        <item x="594"/>
        <item x="490"/>
        <item x="603"/>
        <item x="571"/>
        <item x="616"/>
        <item x="593"/>
        <item x="716"/>
        <item x="539"/>
        <item x="463"/>
        <item x="316"/>
        <item x="717"/>
        <item x="615"/>
        <item x="46"/>
        <item x="309"/>
        <item x="543"/>
        <item x="90"/>
        <item x="751"/>
        <item x="548"/>
        <item x="370"/>
        <item x="495"/>
        <item x="749"/>
        <item x="412"/>
        <item x="411"/>
        <item x="210"/>
        <item x="538"/>
        <item x="568"/>
        <item x="623"/>
        <item x="35"/>
        <item x="461"/>
        <item x="523"/>
        <item x="336"/>
        <item x="473"/>
        <item x="229"/>
        <item x="753"/>
        <item x="565"/>
        <item x="196"/>
        <item x="605"/>
        <item x="34"/>
        <item x="201"/>
        <item x="169"/>
        <item x="130"/>
        <item x="132"/>
        <item x="296"/>
        <item x="152"/>
        <item x="725"/>
        <item x="492"/>
        <item x="506"/>
        <item x="66"/>
        <item x="396"/>
        <item x="59"/>
        <item x="151"/>
        <item x="345"/>
        <item x="423"/>
        <item x="39"/>
        <item x="484"/>
        <item x="68"/>
        <item x="547"/>
        <item x="353"/>
        <item x="546"/>
        <item x="283"/>
        <item x="659"/>
        <item x="524"/>
        <item x="168"/>
        <item x="363"/>
        <item x="663"/>
        <item x="83"/>
        <item x="183"/>
        <item x="636"/>
        <item x="167"/>
        <item x="13"/>
        <item x="397"/>
        <item x="22"/>
        <item x="200"/>
        <item x="16"/>
        <item x="276"/>
        <item x="462"/>
        <item x="736"/>
        <item x="108"/>
        <item x="646"/>
        <item x="131"/>
        <item x="445"/>
        <item x="488"/>
        <item x="624"/>
        <item x="133"/>
        <item x="475"/>
        <item x="173"/>
        <item x="166"/>
        <item x="677"/>
        <item x="452"/>
        <item x="205"/>
        <item x="141"/>
        <item x="319"/>
        <item x="489"/>
        <item x="300"/>
        <item x="189"/>
        <item x="159"/>
        <item x="188"/>
        <item x="448"/>
        <item x="119"/>
        <item x="584"/>
        <item x="552"/>
        <item x="140"/>
        <item x="267"/>
        <item x="175"/>
        <item x="649"/>
        <item x="54"/>
        <item x="583"/>
        <item x="516"/>
        <item x="563"/>
        <item x="341"/>
        <item x="596"/>
        <item x="601"/>
        <item x="590"/>
        <item x="333"/>
        <item x="406"/>
        <item x="693"/>
        <item x="155"/>
        <item x="721"/>
        <item x="317"/>
        <item x="520"/>
        <item x="600"/>
        <item x="64"/>
        <item x="706"/>
        <item x="447"/>
        <item x="222"/>
        <item x="734"/>
        <item x="560"/>
        <item x="561"/>
        <item x="327"/>
        <item x="494"/>
        <item x="662"/>
        <item x="260"/>
        <item x="641"/>
        <item x="638"/>
        <item x="508"/>
        <item x="665"/>
        <item x="285"/>
        <item x="765"/>
        <item x="754"/>
        <item x="332"/>
        <item x="451"/>
        <item x="335"/>
        <item x="67"/>
        <item x="390"/>
        <item x="503"/>
        <item x="699"/>
        <item x="261"/>
        <item x="384"/>
        <item x="694"/>
        <item x="343"/>
        <item x="713"/>
        <item x="118"/>
        <item x="707"/>
        <item x="268"/>
        <item x="556"/>
        <item x="569"/>
        <item x="527"/>
        <item x="700"/>
        <item x="460"/>
        <item x="535"/>
        <item x="540"/>
        <item x="575"/>
        <item x="533"/>
        <item x="320"/>
        <item x="703"/>
        <item x="187"/>
        <item x="525"/>
        <item x="422"/>
        <item x="98"/>
        <item x="349"/>
        <item x="727"/>
        <item x="634"/>
        <item x="53"/>
        <item x="378"/>
        <item x="480"/>
        <item x="512"/>
        <item x="219"/>
        <item x="1"/>
        <item x="357"/>
        <item x="408"/>
        <item x="215"/>
        <item x="472"/>
        <item x="238"/>
        <item t="default"/>
      </items>
    </pivotField>
    <pivotField numFmtId="14" showAll="0"/>
    <pivotField axis="axisCol" showAll="0">
      <items count="6">
        <item x="0"/>
        <item x="3"/>
        <item x="1"/>
        <item x="4"/>
        <item x="2"/>
        <item t="default"/>
      </items>
    </pivotField>
    <pivotField axis="axisRow" showAll="0">
      <items count="9">
        <item x="1"/>
        <item x="7"/>
        <item x="4"/>
        <item x="3"/>
        <item x="2"/>
        <item x="5"/>
        <item x="6"/>
        <item x="0"/>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0">
        <item x="0"/>
        <item x="1"/>
        <item x="2"/>
        <item x="3"/>
        <item x="4"/>
        <item x="5"/>
        <item x="6"/>
        <item x="7"/>
        <item x="8"/>
        <item x="9"/>
        <item x="10"/>
        <item x="11"/>
        <item x="12"/>
        <item x="13"/>
        <item x="14"/>
        <item x="15"/>
        <item x="16"/>
        <item x="17"/>
        <item x="18"/>
        <item t="default"/>
      </items>
    </pivotField>
  </pivotFields>
  <rowFields count="2">
    <field x="8"/>
    <field x="3"/>
  </rowFields>
  <rowItems count="32">
    <i>
      <x/>
    </i>
    <i r="1">
      <x/>
    </i>
    <i r="1">
      <x v="1"/>
    </i>
    <i r="1">
      <x v="2"/>
    </i>
    <i>
      <x v="1"/>
    </i>
    <i r="1">
      <x/>
    </i>
    <i r="1">
      <x v="1"/>
    </i>
    <i r="1">
      <x v="2"/>
    </i>
    <i>
      <x v="2"/>
    </i>
    <i r="1">
      <x/>
    </i>
    <i r="1">
      <x v="1"/>
    </i>
    <i r="1">
      <x v="2"/>
    </i>
    <i>
      <x v="3"/>
    </i>
    <i r="1">
      <x/>
    </i>
    <i r="1">
      <x v="1"/>
    </i>
    <i r="1">
      <x v="2"/>
    </i>
    <i>
      <x v="4"/>
    </i>
    <i r="1">
      <x/>
    </i>
    <i r="1">
      <x v="1"/>
    </i>
    <i r="1">
      <x v="2"/>
    </i>
    <i>
      <x v="5"/>
    </i>
    <i r="1">
      <x/>
    </i>
    <i r="1">
      <x v="1"/>
    </i>
    <i r="1">
      <x v="2"/>
    </i>
    <i>
      <x v="6"/>
    </i>
    <i r="1">
      <x/>
    </i>
    <i r="1">
      <x v="1"/>
    </i>
    <i r="1">
      <x v="2"/>
    </i>
    <i>
      <x v="7"/>
    </i>
    <i r="1">
      <x/>
    </i>
    <i r="1">
      <x v="1"/>
    </i>
    <i t="grand">
      <x/>
    </i>
  </rowItems>
  <colFields count="1">
    <field x="7"/>
  </colFields>
  <colItems count="6">
    <i>
      <x/>
    </i>
    <i>
      <x v="1"/>
    </i>
    <i>
      <x v="2"/>
    </i>
    <i>
      <x v="3"/>
    </i>
    <i>
      <x v="4"/>
    </i>
    <i t="grand">
      <x/>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340F5CE6-2764-4EB8-9E58-A4B2A024F1DF}" sourceName="COUNTY">
  <pivotTables>
    <pivotTable tabId="7" name="PivotTable19"/>
  </pivotTables>
  <data>
    <tabular pivotCacheId="295577242">
      <items count="8">
        <i x="1" s="1"/>
        <i x="7"/>
        <i x="4"/>
        <i x="3"/>
        <i x="2"/>
        <i x="5"/>
        <i x="6"/>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1" xr10:uid="{37734C9C-C834-43F7-8BFD-2CFF9F18BD75}" sourceName="COUNTY">
  <extLst>
    <x:ext xmlns:x15="http://schemas.microsoft.com/office/spreadsheetml/2010/11/main" uri="{2F2917AC-EB37-4324-AD4E-5DD8C200BD13}">
      <x15:tableSlicerCache tableId="1" column="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7A1BFF0E-B022-4FA1-A81C-67CDFEB61A06}" sourceName="STATUS">
  <extLst>
    <x:ext xmlns:x15="http://schemas.microsoft.com/office/spreadsheetml/2010/11/main" uri="{2F2917AC-EB37-4324-AD4E-5DD8C200BD13}">
      <x15:tableSlicerCache tableId="1"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EDENTIAL" xr10:uid="{1D876BE9-8062-4AA8-BA3E-165D4F6AC276}" sourceName="CREDENTIAL">
  <extLst>
    <x:ext xmlns:x15="http://schemas.microsoft.com/office/spreadsheetml/2010/11/main" uri="{2F2917AC-EB37-4324-AD4E-5DD8C200BD13}">
      <x15:tableSlicerCache tableId="1"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YEAR" xr10:uid="{083525CF-FE71-4123-80D6-FDDEDC87E812}" sourceName="MONTH">
  <extLst>
    <x:ext xmlns:x15="http://schemas.microsoft.com/office/spreadsheetml/2010/11/main" uri="{2F2917AC-EB37-4324-AD4E-5DD8C200BD13}">
      <x15:tableSlicerCache tableId="1" column="1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Y" xr10:uid="{B19701BF-9FDF-4707-B72B-799850E01EAB}" cache="Slicer_COUNTY" caption="COUNTY" style="SlicerStyleLight1" rowHeight="257588"/>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Y 2" xr10:uid="{FD294288-9AA6-425B-A7E6-31793953546A}" cache="Slicer_COUNTY1" caption="COUNTY" columnCount="8" showCaption="0" rowHeight="257588"/>
  <slicer name="STATUS" xr10:uid="{4095EF40-A2ED-4CB4-8908-82623AF5443A}" cache="Slicer_STATUS" caption="STATUS" columnCount="5" showCaption="0" rowHeight="257588"/>
  <slicer name="CREDENTIAL" xr10:uid="{9BE97B8C-EEE2-4F9F-A68C-18A402C3E679}" cache="Slicer_CREDENTIAL" caption="CREDENTIAL" columnCount="3" showCaption="0" rowHeight="257588"/>
  <slicer name="MONTHYEAR" xr10:uid="{B41720B9-388C-4B12-AA15-583E6A36CF31}" cache="Slicer_MONTHYEAR" caption="MONTH" rowHeight="257588"/>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4B859EB-4FCB-43FE-9726-157A026EFA51}" name="region4" displayName="region4" ref="D43:E46" totalsRowShown="0" headerRowDxfId="4" dataDxfId="5" tableBorderDxfId="8">
  <autoFilter ref="D43:E46" xr:uid="{44B859EB-4FCB-43FE-9726-157A026EFA51}"/>
  <tableColumns count="2">
    <tableColumn id="1" xr3:uid="{8A0C5939-F7C5-4ADD-8F6C-06A0EF847E03}" name="REGION 4" dataDxfId="7"/>
    <tableColumn id="2" xr3:uid="{00196895-DA59-4859-94CF-72A99A41E15A}" name="Totals" dataDxfId="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9A9F66-0F3C-40CB-A67F-6AD589059FB3}" name="certifications" displayName="certifications" ref="B13:L1990" totalsRowShown="0" headerRowDxfId="22" dataDxfId="21" tableBorderDxfId="20">
  <autoFilter ref="B13:L1990" xr:uid="{B929ADF7-48B4-4619-907F-BB83CAB6465D}"/>
  <tableColumns count="11">
    <tableColumn id="9" xr3:uid="{5E7F1D06-19F6-49A5-9F71-25349764A037}" name="ID" dataDxfId="9"/>
    <tableColumn id="1" xr3:uid="{3F56F04B-2E07-40CA-8877-C260148344C8}" name="NAME" dataDxfId="19"/>
    <tableColumn id="2" xr3:uid="{95302C47-34EB-49BE-9F82-55A2959332FD}" name="CITY" dataDxfId="18"/>
    <tableColumn id="3" xr3:uid="{171E8ADF-33C7-4D3D-9042-146F17325B05}" name="CREDENTIAL" dataDxfId="17"/>
    <tableColumn id="4" xr3:uid="{988F8E18-EDFF-45C4-8C17-FEDE43D0350F}" name="NUMBER" dataDxfId="16"/>
    <tableColumn id="5" xr3:uid="{7BCB8EC3-58C4-4F75-B3F0-C762A344844D}" name="ISSUE DATE" dataDxfId="15"/>
    <tableColumn id="6" xr3:uid="{AED786E4-E902-4762-AB64-B6E935CC9BC7}" name="EXP DATE" dataDxfId="14"/>
    <tableColumn id="7" xr3:uid="{E931E955-B147-4980-8F6D-A009F2BF7D6E}" name="STATUS" dataDxfId="13"/>
    <tableColumn id="8" xr3:uid="{D90EB1AB-0F0E-4492-8579-981C0D954D14}" name="COUNTY" dataDxfId="12"/>
    <tableColumn id="10" xr3:uid="{95D9F415-334E-432E-960B-0FA5C21EE73A}" name="MONTH" dataDxfId="3">
      <calculatedColumnFormula>IF(certifications[[#This Row],[ISSUE DATE]]="", "", TEXT(certifications[[#This Row],[ISSUE DATE]], "MMM"))</calculatedColumnFormula>
    </tableColumn>
    <tableColumn id="11" xr3:uid="{A97DB42F-5795-46A7-9C8B-BB522467130C}" name="YEAR" dataDxfId="2">
      <calculatedColumnFormula>IF(certifications[[#This Row],[ISSUE DATE]]="", "", TEXT(certifications[[#This Row],[ISSUE DATE]], "YYYY"))</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12AC2-D437-4358-B525-2998FAF0627A}">
  <dimension ref="B1:H40"/>
  <sheetViews>
    <sheetView zoomScale="98" workbookViewId="0">
      <selection activeCell="L14" sqref="L14"/>
    </sheetView>
  </sheetViews>
  <sheetFormatPr defaultRowHeight="15.05" x14ac:dyDescent="0.3"/>
  <cols>
    <col min="1" max="1" width="5.33203125" bestFit="1" customWidth="1"/>
    <col min="2" max="2" width="3" bestFit="1" customWidth="1"/>
    <col min="3" max="3" width="5" bestFit="1" customWidth="1"/>
    <col min="4" max="4" width="5.5546875" bestFit="1" customWidth="1"/>
    <col min="5" max="5" width="10.5546875" bestFit="1" customWidth="1"/>
  </cols>
  <sheetData>
    <row r="1" spans="2:8" s="15" customFormat="1" x14ac:dyDescent="0.3"/>
    <row r="2" spans="2:8" s="15" customFormat="1" ht="30.7" x14ac:dyDescent="0.55000000000000004">
      <c r="B2" s="16" t="s">
        <v>2020</v>
      </c>
    </row>
    <row r="3" spans="2:8" s="15" customFormat="1" ht="18.2" x14ac:dyDescent="0.35">
      <c r="B3" s="17" t="s">
        <v>2021</v>
      </c>
    </row>
    <row r="4" spans="2:8" s="15" customFormat="1" x14ac:dyDescent="0.3"/>
    <row r="5" spans="2:8" s="15" customFormat="1" x14ac:dyDescent="0.3"/>
    <row r="6" spans="2:8" s="15" customFormat="1" x14ac:dyDescent="0.3">
      <c r="B6" s="18"/>
      <c r="C6" s="18"/>
      <c r="D6" s="18"/>
      <c r="F6" s="18"/>
      <c r="G6" s="18"/>
      <c r="H6" s="18"/>
    </row>
    <row r="7" spans="2:8" s="15" customFormat="1" x14ac:dyDescent="0.3">
      <c r="B7" s="18"/>
      <c r="C7" s="18"/>
      <c r="D7" s="18"/>
      <c r="F7" s="18"/>
      <c r="G7" s="18"/>
      <c r="H7" s="18"/>
    </row>
    <row r="8" spans="2:8" s="15" customFormat="1" x14ac:dyDescent="0.3">
      <c r="B8" s="18"/>
      <c r="C8" s="18"/>
      <c r="D8" s="18"/>
      <c r="F8" s="18"/>
      <c r="G8" s="18"/>
      <c r="H8" s="18"/>
    </row>
    <row r="9" spans="2:8" s="19" customFormat="1" x14ac:dyDescent="0.3">
      <c r="B9" s="18"/>
      <c r="C9" s="18"/>
      <c r="D9" s="18"/>
      <c r="F9" s="18"/>
      <c r="G9" s="18"/>
      <c r="H9" s="18"/>
    </row>
    <row r="10" spans="2:8" s="19" customFormat="1" x14ac:dyDescent="0.3">
      <c r="B10" s="18"/>
      <c r="C10" s="18"/>
      <c r="D10" s="18"/>
      <c r="F10" s="18"/>
      <c r="G10" s="18"/>
      <c r="H10" s="18"/>
    </row>
    <row r="11" spans="2:8" s="19" customFormat="1" x14ac:dyDescent="0.3">
      <c r="B11" s="18"/>
      <c r="C11" s="18"/>
      <c r="D11" s="18"/>
      <c r="F11" s="18"/>
      <c r="G11" s="18"/>
      <c r="H11" s="18"/>
    </row>
    <row r="12" spans="2:8" s="19" customFormat="1" x14ac:dyDescent="0.3"/>
    <row r="13" spans="2:8" s="19" customFormat="1" x14ac:dyDescent="0.3"/>
    <row r="14" spans="2:8" s="19" customFormat="1" x14ac:dyDescent="0.3"/>
    <row r="15" spans="2:8" s="19" customFormat="1" x14ac:dyDescent="0.3"/>
    <row r="16" spans="2:8" s="19" customFormat="1" x14ac:dyDescent="0.3"/>
    <row r="17" s="19" customFormat="1" x14ac:dyDescent="0.3"/>
    <row r="18" s="19" customFormat="1" x14ac:dyDescent="0.3"/>
    <row r="19" s="19" customFormat="1" x14ac:dyDescent="0.3"/>
    <row r="20" s="19" customFormat="1" x14ac:dyDescent="0.3"/>
    <row r="21" s="19" customFormat="1" x14ac:dyDescent="0.3"/>
    <row r="22" s="19" customFormat="1" x14ac:dyDescent="0.3"/>
    <row r="23" s="19" customFormat="1" x14ac:dyDescent="0.3"/>
    <row r="24" s="19" customFormat="1" x14ac:dyDescent="0.3"/>
    <row r="25" s="19" customFormat="1" x14ac:dyDescent="0.3"/>
    <row r="26" s="19" customFormat="1" x14ac:dyDescent="0.3"/>
    <row r="27" s="19" customFormat="1" x14ac:dyDescent="0.3"/>
    <row r="28" s="19" customFormat="1" x14ac:dyDescent="0.3"/>
    <row r="29" s="19" customFormat="1" x14ac:dyDescent="0.3"/>
    <row r="30" s="19" customFormat="1" x14ac:dyDescent="0.3"/>
    <row r="31" s="19" customFormat="1" x14ac:dyDescent="0.3"/>
    <row r="32" s="19" customFormat="1" x14ac:dyDescent="0.3"/>
    <row r="33" s="19" customFormat="1" x14ac:dyDescent="0.3"/>
    <row r="34" s="19" customFormat="1" x14ac:dyDescent="0.3"/>
    <row r="35" s="19" customFormat="1" x14ac:dyDescent="0.3"/>
    <row r="36" s="19" customFormat="1" x14ac:dyDescent="0.3"/>
    <row r="37" s="19" customFormat="1" x14ac:dyDescent="0.3"/>
    <row r="38" s="19" customFormat="1" x14ac:dyDescent="0.3"/>
    <row r="39" s="19" customFormat="1" x14ac:dyDescent="0.3"/>
    <row r="40" s="19" customFormat="1"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C1677-5371-49CB-8123-052EF982BADB}">
  <dimension ref="A3:O53"/>
  <sheetViews>
    <sheetView topLeftCell="A26" workbookViewId="0">
      <selection activeCell="I35" sqref="I35"/>
    </sheetView>
  </sheetViews>
  <sheetFormatPr defaultRowHeight="15.05" x14ac:dyDescent="0.3"/>
  <cols>
    <col min="1" max="1" width="13.21875" bestFit="1" customWidth="1"/>
    <col min="2" max="2" width="15.44140625" bestFit="1" customWidth="1"/>
    <col min="3" max="3" width="14" bestFit="1" customWidth="1"/>
    <col min="4" max="4" width="20" customWidth="1"/>
    <col min="5" max="5" width="20.109375" customWidth="1"/>
    <col min="6" max="6" width="7" bestFit="1" customWidth="1"/>
    <col min="7" max="7" width="10.5546875" bestFit="1" customWidth="1"/>
    <col min="8" max="8" width="14" bestFit="1" customWidth="1"/>
    <col min="9" max="9" width="12.33203125" bestFit="1" customWidth="1"/>
    <col min="10" max="10" width="15.44140625" bestFit="1" customWidth="1"/>
    <col min="11" max="11" width="14" bestFit="1" customWidth="1"/>
    <col min="12" max="12" width="7.33203125" bestFit="1" customWidth="1"/>
    <col min="13" max="13" width="7.6640625" bestFit="1" customWidth="1"/>
    <col min="14" max="14" width="7" bestFit="1" customWidth="1"/>
    <col min="15" max="16" width="10.5546875" bestFit="1" customWidth="1"/>
  </cols>
  <sheetData>
    <row r="3" spans="1:15" x14ac:dyDescent="0.3">
      <c r="A3" s="9" t="s">
        <v>2024</v>
      </c>
      <c r="B3" s="9" t="s">
        <v>2022</v>
      </c>
      <c r="I3" s="9" t="s">
        <v>2024</v>
      </c>
      <c r="J3" s="9" t="s">
        <v>2022</v>
      </c>
    </row>
    <row r="4" spans="1:15" x14ac:dyDescent="0.3">
      <c r="A4" s="9" t="s">
        <v>2018</v>
      </c>
      <c r="B4" t="s">
        <v>10</v>
      </c>
      <c r="C4" t="s">
        <v>321</v>
      </c>
      <c r="D4" t="s">
        <v>16</v>
      </c>
      <c r="E4" t="s">
        <v>1371</v>
      </c>
      <c r="F4" t="s">
        <v>82</v>
      </c>
      <c r="G4" t="s">
        <v>2019</v>
      </c>
      <c r="I4" s="9" t="s">
        <v>2018</v>
      </c>
      <c r="J4" t="s">
        <v>10</v>
      </c>
      <c r="K4" t="s">
        <v>321</v>
      </c>
      <c r="L4" t="s">
        <v>16</v>
      </c>
      <c r="M4" t="s">
        <v>1371</v>
      </c>
      <c r="N4" t="s">
        <v>82</v>
      </c>
      <c r="O4" t="s">
        <v>2019</v>
      </c>
    </row>
    <row r="5" spans="1:15" x14ac:dyDescent="0.3">
      <c r="A5" s="10" t="s">
        <v>14</v>
      </c>
      <c r="B5" s="21">
        <v>116</v>
      </c>
      <c r="C5" s="21">
        <v>2</v>
      </c>
      <c r="D5" s="21">
        <v>152</v>
      </c>
      <c r="E5" s="21">
        <v>1</v>
      </c>
      <c r="F5" s="21">
        <v>12</v>
      </c>
      <c r="G5" s="21">
        <v>283</v>
      </c>
      <c r="I5" s="10" t="s">
        <v>2025</v>
      </c>
      <c r="J5" s="21"/>
      <c r="K5" s="21"/>
      <c r="L5" s="21">
        <v>1</v>
      </c>
      <c r="M5" s="21"/>
      <c r="N5" s="21"/>
      <c r="O5" s="21">
        <v>1</v>
      </c>
    </row>
    <row r="6" spans="1:15" x14ac:dyDescent="0.3">
      <c r="A6" s="20" t="s">
        <v>26</v>
      </c>
      <c r="B6" s="21">
        <v>18</v>
      </c>
      <c r="C6" s="21"/>
      <c r="D6" s="21">
        <v>4</v>
      </c>
      <c r="E6" s="21"/>
      <c r="F6" s="21">
        <v>1</v>
      </c>
      <c r="G6" s="21">
        <v>23</v>
      </c>
      <c r="I6" s="10" t="s">
        <v>2026</v>
      </c>
      <c r="J6" s="21"/>
      <c r="K6" s="21"/>
      <c r="L6" s="21">
        <v>3</v>
      </c>
      <c r="M6" s="21"/>
      <c r="N6" s="21"/>
      <c r="O6" s="21">
        <v>3</v>
      </c>
    </row>
    <row r="7" spans="1:15" x14ac:dyDescent="0.3">
      <c r="A7" s="20" t="s">
        <v>9</v>
      </c>
      <c r="B7" s="21">
        <v>94</v>
      </c>
      <c r="C7" s="21">
        <v>2</v>
      </c>
      <c r="D7" s="21">
        <v>148</v>
      </c>
      <c r="E7" s="21">
        <v>1</v>
      </c>
      <c r="F7" s="21">
        <v>11</v>
      </c>
      <c r="G7" s="21">
        <v>256</v>
      </c>
      <c r="I7" s="10" t="s">
        <v>2027</v>
      </c>
      <c r="J7" s="21"/>
      <c r="K7" s="21"/>
      <c r="L7" s="21">
        <v>2</v>
      </c>
      <c r="M7" s="21"/>
      <c r="N7" s="21">
        <v>1</v>
      </c>
      <c r="O7" s="21">
        <v>3</v>
      </c>
    </row>
    <row r="8" spans="1:15" x14ac:dyDescent="0.3">
      <c r="A8" s="20" t="s">
        <v>27</v>
      </c>
      <c r="B8" s="21">
        <v>4</v>
      </c>
      <c r="C8" s="21"/>
      <c r="D8" s="21"/>
      <c r="E8" s="21"/>
      <c r="F8" s="21"/>
      <c r="G8" s="21">
        <v>4</v>
      </c>
      <c r="I8" s="10" t="s">
        <v>2028</v>
      </c>
      <c r="J8" s="21">
        <v>2</v>
      </c>
      <c r="K8" s="21"/>
      <c r="L8" s="21">
        <v>2</v>
      </c>
      <c r="M8" s="21"/>
      <c r="N8" s="21"/>
      <c r="O8" s="21">
        <v>4</v>
      </c>
    </row>
    <row r="9" spans="1:15" x14ac:dyDescent="0.3">
      <c r="A9" s="10" t="s">
        <v>38</v>
      </c>
      <c r="B9" s="21">
        <v>127</v>
      </c>
      <c r="C9" s="21">
        <v>1</v>
      </c>
      <c r="D9" s="21">
        <v>207</v>
      </c>
      <c r="E9" s="21"/>
      <c r="F9" s="21">
        <v>19</v>
      </c>
      <c r="G9" s="21">
        <v>354</v>
      </c>
      <c r="I9" s="10" t="s">
        <v>2029</v>
      </c>
      <c r="J9" s="21">
        <v>3</v>
      </c>
      <c r="K9" s="21"/>
      <c r="L9" s="21">
        <v>7</v>
      </c>
      <c r="M9" s="21"/>
      <c r="N9" s="21">
        <v>1</v>
      </c>
      <c r="O9" s="21">
        <v>11</v>
      </c>
    </row>
    <row r="10" spans="1:15" x14ac:dyDescent="0.3">
      <c r="A10" s="20" t="s">
        <v>26</v>
      </c>
      <c r="B10" s="21">
        <v>30</v>
      </c>
      <c r="C10" s="21"/>
      <c r="D10" s="21">
        <v>19</v>
      </c>
      <c r="E10" s="21"/>
      <c r="F10" s="21">
        <v>4</v>
      </c>
      <c r="G10" s="21">
        <v>53</v>
      </c>
      <c r="I10" s="10" t="s">
        <v>2030</v>
      </c>
      <c r="J10" s="21">
        <v>4</v>
      </c>
      <c r="K10" s="21"/>
      <c r="L10" s="21">
        <v>19</v>
      </c>
      <c r="M10" s="21"/>
      <c r="N10" s="21"/>
      <c r="O10" s="21">
        <v>23</v>
      </c>
    </row>
    <row r="11" spans="1:15" x14ac:dyDescent="0.3">
      <c r="A11" s="20" t="s">
        <v>9</v>
      </c>
      <c r="B11" s="21">
        <v>93</v>
      </c>
      <c r="C11" s="21">
        <v>1</v>
      </c>
      <c r="D11" s="21">
        <v>187</v>
      </c>
      <c r="E11" s="21"/>
      <c r="F11" s="21">
        <v>15</v>
      </c>
      <c r="G11" s="21">
        <v>296</v>
      </c>
      <c r="I11" s="10" t="s">
        <v>2031</v>
      </c>
      <c r="J11" s="21">
        <v>4</v>
      </c>
      <c r="K11" s="21">
        <v>1</v>
      </c>
      <c r="L11" s="21">
        <v>18</v>
      </c>
      <c r="M11" s="21"/>
      <c r="N11" s="21"/>
      <c r="O11" s="21">
        <v>23</v>
      </c>
    </row>
    <row r="12" spans="1:15" x14ac:dyDescent="0.3">
      <c r="A12" s="20" t="s">
        <v>27</v>
      </c>
      <c r="B12" s="21">
        <v>4</v>
      </c>
      <c r="C12" s="21"/>
      <c r="D12" s="21">
        <v>1</v>
      </c>
      <c r="E12" s="21"/>
      <c r="F12" s="21"/>
      <c r="G12" s="21">
        <v>5</v>
      </c>
      <c r="I12" s="10" t="s">
        <v>2032</v>
      </c>
      <c r="J12" s="21">
        <v>1</v>
      </c>
      <c r="K12" s="21"/>
      <c r="L12" s="21">
        <v>17</v>
      </c>
      <c r="M12" s="21"/>
      <c r="N12" s="21"/>
      <c r="O12" s="21">
        <v>18</v>
      </c>
    </row>
    <row r="13" spans="1:15" x14ac:dyDescent="0.3">
      <c r="A13" s="10" t="s">
        <v>25</v>
      </c>
      <c r="B13" s="21">
        <v>93</v>
      </c>
      <c r="C13" s="21">
        <v>1</v>
      </c>
      <c r="D13" s="21">
        <v>52</v>
      </c>
      <c r="E13" s="21"/>
      <c r="F13" s="21">
        <v>8</v>
      </c>
      <c r="G13" s="21">
        <v>154</v>
      </c>
      <c r="I13" s="10" t="s">
        <v>2033</v>
      </c>
      <c r="J13" s="21">
        <v>6</v>
      </c>
      <c r="K13" s="21"/>
      <c r="L13" s="21">
        <v>16</v>
      </c>
      <c r="M13" s="21"/>
      <c r="N13" s="21"/>
      <c r="O13" s="21">
        <v>22</v>
      </c>
    </row>
    <row r="14" spans="1:15" x14ac:dyDescent="0.3">
      <c r="A14" s="20" t="s">
        <v>26</v>
      </c>
      <c r="B14" s="21">
        <v>27</v>
      </c>
      <c r="C14" s="21"/>
      <c r="D14" s="21">
        <v>8</v>
      </c>
      <c r="E14" s="21"/>
      <c r="F14" s="21">
        <v>1</v>
      </c>
      <c r="G14" s="21">
        <v>36</v>
      </c>
      <c r="I14" s="10" t="s">
        <v>2034</v>
      </c>
      <c r="J14" s="21">
        <v>6</v>
      </c>
      <c r="K14" s="21"/>
      <c r="L14" s="21">
        <v>18</v>
      </c>
      <c r="M14" s="21"/>
      <c r="N14" s="21">
        <v>2</v>
      </c>
      <c r="O14" s="21">
        <v>26</v>
      </c>
    </row>
    <row r="15" spans="1:15" x14ac:dyDescent="0.3">
      <c r="A15" s="20" t="s">
        <v>9</v>
      </c>
      <c r="B15" s="21">
        <v>62</v>
      </c>
      <c r="C15" s="21">
        <v>1</v>
      </c>
      <c r="D15" s="21">
        <v>44</v>
      </c>
      <c r="E15" s="21"/>
      <c r="F15" s="21">
        <v>7</v>
      </c>
      <c r="G15" s="21">
        <v>114</v>
      </c>
      <c r="I15" s="10" t="s">
        <v>2035</v>
      </c>
      <c r="J15" s="21">
        <v>7</v>
      </c>
      <c r="K15" s="21"/>
      <c r="L15" s="21">
        <v>22</v>
      </c>
      <c r="M15" s="21"/>
      <c r="N15" s="21">
        <v>2</v>
      </c>
      <c r="O15" s="21">
        <v>31</v>
      </c>
    </row>
    <row r="16" spans="1:15" x14ac:dyDescent="0.3">
      <c r="A16" s="20" t="s">
        <v>27</v>
      </c>
      <c r="B16" s="21">
        <v>4</v>
      </c>
      <c r="C16" s="21"/>
      <c r="D16" s="21"/>
      <c r="E16" s="21"/>
      <c r="F16" s="21"/>
      <c r="G16" s="21">
        <v>4</v>
      </c>
      <c r="I16" s="10" t="s">
        <v>2036</v>
      </c>
      <c r="J16" s="21">
        <v>5</v>
      </c>
      <c r="K16" s="21"/>
      <c r="L16" s="21">
        <v>19</v>
      </c>
      <c r="M16" s="21"/>
      <c r="N16" s="21">
        <v>1</v>
      </c>
      <c r="O16" s="21">
        <v>25</v>
      </c>
    </row>
    <row r="17" spans="1:15" x14ac:dyDescent="0.3">
      <c r="A17" s="10" t="s">
        <v>22</v>
      </c>
      <c r="B17" s="21">
        <v>65</v>
      </c>
      <c r="C17" s="21"/>
      <c r="D17" s="21">
        <v>63</v>
      </c>
      <c r="E17" s="21">
        <v>1</v>
      </c>
      <c r="F17" s="21">
        <v>15</v>
      </c>
      <c r="G17" s="21">
        <v>144</v>
      </c>
      <c r="I17" s="10" t="s">
        <v>2037</v>
      </c>
      <c r="J17" s="21">
        <v>10</v>
      </c>
      <c r="K17" s="21"/>
      <c r="L17" s="21">
        <v>4</v>
      </c>
      <c r="M17" s="21"/>
      <c r="N17" s="21">
        <v>1</v>
      </c>
      <c r="O17" s="21">
        <v>15</v>
      </c>
    </row>
    <row r="18" spans="1:15" x14ac:dyDescent="0.3">
      <c r="A18" s="20" t="s">
        <v>26</v>
      </c>
      <c r="B18" s="21">
        <v>14</v>
      </c>
      <c r="C18" s="21"/>
      <c r="D18" s="21">
        <v>3</v>
      </c>
      <c r="E18" s="21"/>
      <c r="F18" s="21">
        <v>2</v>
      </c>
      <c r="G18" s="21">
        <v>19</v>
      </c>
      <c r="I18" s="10" t="s">
        <v>2038</v>
      </c>
      <c r="J18" s="21">
        <v>15</v>
      </c>
      <c r="K18" s="21"/>
      <c r="L18" s="21">
        <v>4</v>
      </c>
      <c r="M18" s="21"/>
      <c r="N18" s="21">
        <v>3</v>
      </c>
      <c r="O18" s="21">
        <v>22</v>
      </c>
    </row>
    <row r="19" spans="1:15" x14ac:dyDescent="0.3">
      <c r="A19" s="20" t="s">
        <v>9</v>
      </c>
      <c r="B19" s="21">
        <v>50</v>
      </c>
      <c r="C19" s="21"/>
      <c r="D19" s="21">
        <v>60</v>
      </c>
      <c r="E19" s="21">
        <v>1</v>
      </c>
      <c r="F19" s="21">
        <v>13</v>
      </c>
      <c r="G19" s="21">
        <v>124</v>
      </c>
      <c r="I19" s="10" t="s">
        <v>2039</v>
      </c>
      <c r="J19" s="21">
        <v>11</v>
      </c>
      <c r="K19" s="21"/>
      <c r="L19" s="21"/>
      <c r="M19" s="21">
        <v>1</v>
      </c>
      <c r="N19" s="21">
        <v>1</v>
      </c>
      <c r="O19" s="21">
        <v>13</v>
      </c>
    </row>
    <row r="20" spans="1:15" x14ac:dyDescent="0.3">
      <c r="A20" s="20" t="s">
        <v>27</v>
      </c>
      <c r="B20" s="21">
        <v>1</v>
      </c>
      <c r="C20" s="21"/>
      <c r="D20" s="21"/>
      <c r="E20" s="21"/>
      <c r="F20" s="21"/>
      <c r="G20" s="21">
        <v>1</v>
      </c>
      <c r="I20" s="10" t="s">
        <v>2040</v>
      </c>
      <c r="J20" s="21">
        <v>27</v>
      </c>
      <c r="K20" s="21">
        <v>1</v>
      </c>
      <c r="L20" s="21"/>
      <c r="M20" s="21"/>
      <c r="N20" s="21"/>
      <c r="O20" s="21">
        <v>28</v>
      </c>
    </row>
    <row r="21" spans="1:15" x14ac:dyDescent="0.3">
      <c r="A21" s="10" t="s">
        <v>19</v>
      </c>
      <c r="B21" s="21">
        <v>70</v>
      </c>
      <c r="C21" s="21">
        <v>4</v>
      </c>
      <c r="D21" s="21">
        <v>97</v>
      </c>
      <c r="E21" s="21"/>
      <c r="F21" s="21">
        <v>9</v>
      </c>
      <c r="G21" s="21">
        <v>180</v>
      </c>
      <c r="I21" s="10" t="s">
        <v>2041</v>
      </c>
      <c r="J21" s="21">
        <v>15</v>
      </c>
      <c r="K21" s="21"/>
      <c r="L21" s="21"/>
      <c r="M21" s="21"/>
      <c r="N21" s="21"/>
      <c r="O21" s="21">
        <v>15</v>
      </c>
    </row>
    <row r="22" spans="1:15" x14ac:dyDescent="0.3">
      <c r="A22" s="20" t="s">
        <v>26</v>
      </c>
      <c r="B22" s="21">
        <v>13</v>
      </c>
      <c r="C22" s="21"/>
      <c r="D22" s="21">
        <v>13</v>
      </c>
      <c r="E22" s="21"/>
      <c r="F22" s="21"/>
      <c r="G22" s="21">
        <v>26</v>
      </c>
      <c r="I22" s="20" t="s">
        <v>2043</v>
      </c>
      <c r="J22" s="21">
        <v>9</v>
      </c>
      <c r="K22" s="21"/>
      <c r="L22" s="21"/>
      <c r="M22" s="21"/>
      <c r="N22" s="21"/>
      <c r="O22" s="21">
        <v>9</v>
      </c>
    </row>
    <row r="23" spans="1:15" x14ac:dyDescent="0.3">
      <c r="A23" s="20" t="s">
        <v>9</v>
      </c>
      <c r="B23" s="21">
        <v>55</v>
      </c>
      <c r="C23" s="21">
        <v>4</v>
      </c>
      <c r="D23" s="21">
        <v>84</v>
      </c>
      <c r="E23" s="21"/>
      <c r="F23" s="21">
        <v>9</v>
      </c>
      <c r="G23" s="21">
        <v>152</v>
      </c>
      <c r="I23" s="22" t="s">
        <v>2046</v>
      </c>
      <c r="J23" s="21">
        <v>3</v>
      </c>
      <c r="K23" s="21"/>
      <c r="L23" s="21"/>
      <c r="M23" s="21"/>
      <c r="N23" s="21"/>
      <c r="O23" s="21">
        <v>3</v>
      </c>
    </row>
    <row r="24" spans="1:15" x14ac:dyDescent="0.3">
      <c r="A24" s="20" t="s">
        <v>27</v>
      </c>
      <c r="B24" s="21">
        <v>2</v>
      </c>
      <c r="C24" s="21"/>
      <c r="D24" s="21"/>
      <c r="E24" s="21"/>
      <c r="F24" s="21"/>
      <c r="G24" s="21">
        <v>2</v>
      </c>
      <c r="I24" s="22" t="s">
        <v>2047</v>
      </c>
      <c r="J24" s="21">
        <v>4</v>
      </c>
      <c r="K24" s="21"/>
      <c r="L24" s="21"/>
      <c r="M24" s="21"/>
      <c r="N24" s="21"/>
      <c r="O24" s="21">
        <v>4</v>
      </c>
    </row>
    <row r="25" spans="1:15" x14ac:dyDescent="0.3">
      <c r="A25" s="10" t="s">
        <v>30</v>
      </c>
      <c r="B25" s="21">
        <v>93</v>
      </c>
      <c r="C25" s="21">
        <v>3</v>
      </c>
      <c r="D25" s="21">
        <v>94</v>
      </c>
      <c r="E25" s="21"/>
      <c r="F25" s="21">
        <v>16</v>
      </c>
      <c r="G25" s="21">
        <v>206</v>
      </c>
      <c r="I25" s="22" t="s">
        <v>2048</v>
      </c>
      <c r="J25" s="21">
        <v>2</v>
      </c>
      <c r="K25" s="21"/>
      <c r="L25" s="21"/>
      <c r="M25" s="21"/>
      <c r="N25" s="21"/>
      <c r="O25" s="21">
        <v>2</v>
      </c>
    </row>
    <row r="26" spans="1:15" x14ac:dyDescent="0.3">
      <c r="A26" s="20" t="s">
        <v>26</v>
      </c>
      <c r="B26" s="21">
        <v>26</v>
      </c>
      <c r="C26" s="21"/>
      <c r="D26" s="21">
        <v>11</v>
      </c>
      <c r="E26" s="21"/>
      <c r="F26" s="21">
        <v>4</v>
      </c>
      <c r="G26" s="21">
        <v>41</v>
      </c>
      <c r="I26" s="20" t="s">
        <v>2042</v>
      </c>
      <c r="J26" s="21">
        <v>6</v>
      </c>
      <c r="K26" s="21"/>
      <c r="L26" s="21"/>
      <c r="M26" s="21"/>
      <c r="N26" s="21"/>
      <c r="O26" s="21">
        <v>6</v>
      </c>
    </row>
    <row r="27" spans="1:15" x14ac:dyDescent="0.3">
      <c r="A27" s="20" t="s">
        <v>9</v>
      </c>
      <c r="B27" s="21">
        <v>65</v>
      </c>
      <c r="C27" s="21">
        <v>3</v>
      </c>
      <c r="D27" s="21">
        <v>83</v>
      </c>
      <c r="E27" s="21"/>
      <c r="F27" s="21">
        <v>12</v>
      </c>
      <c r="G27" s="21">
        <v>163</v>
      </c>
      <c r="I27" s="22" t="s">
        <v>2044</v>
      </c>
      <c r="J27" s="21">
        <v>3</v>
      </c>
      <c r="K27" s="21"/>
      <c r="L27" s="21"/>
      <c r="M27" s="21"/>
      <c r="N27" s="21"/>
      <c r="O27" s="21">
        <v>3</v>
      </c>
    </row>
    <row r="28" spans="1:15" x14ac:dyDescent="0.3">
      <c r="A28" s="20" t="s">
        <v>27</v>
      </c>
      <c r="B28" s="21">
        <v>2</v>
      </c>
      <c r="C28" s="21"/>
      <c r="D28" s="21"/>
      <c r="E28" s="21"/>
      <c r="F28" s="21"/>
      <c r="G28" s="21">
        <v>2</v>
      </c>
      <c r="I28" s="22" t="s">
        <v>2045</v>
      </c>
      <c r="J28" s="21">
        <v>3</v>
      </c>
      <c r="K28" s="21"/>
      <c r="L28" s="21"/>
      <c r="M28" s="21"/>
      <c r="N28" s="21"/>
      <c r="O28" s="21">
        <v>3</v>
      </c>
    </row>
    <row r="29" spans="1:15" x14ac:dyDescent="0.3">
      <c r="A29" s="10" t="s">
        <v>33</v>
      </c>
      <c r="B29" s="21">
        <v>273</v>
      </c>
      <c r="C29" s="21">
        <v>1</v>
      </c>
      <c r="D29" s="21">
        <v>271</v>
      </c>
      <c r="E29" s="21">
        <v>1</v>
      </c>
      <c r="F29" s="21">
        <v>40</v>
      </c>
      <c r="G29" s="21">
        <v>586</v>
      </c>
      <c r="I29" s="10" t="s">
        <v>2019</v>
      </c>
      <c r="J29" s="21">
        <v>116</v>
      </c>
      <c r="K29" s="21">
        <v>2</v>
      </c>
      <c r="L29" s="21">
        <v>152</v>
      </c>
      <c r="M29" s="21">
        <v>1</v>
      </c>
      <c r="N29" s="21">
        <v>12</v>
      </c>
      <c r="O29" s="21">
        <v>283</v>
      </c>
    </row>
    <row r="30" spans="1:15" x14ac:dyDescent="0.3">
      <c r="A30" s="20" t="s">
        <v>26</v>
      </c>
      <c r="B30" s="21">
        <v>50</v>
      </c>
      <c r="C30" s="21"/>
      <c r="D30" s="21">
        <v>11</v>
      </c>
      <c r="E30" s="21"/>
      <c r="F30" s="21">
        <v>10</v>
      </c>
      <c r="G30" s="21">
        <v>71</v>
      </c>
    </row>
    <row r="31" spans="1:15" x14ac:dyDescent="0.3">
      <c r="A31" s="20" t="s">
        <v>9</v>
      </c>
      <c r="B31" s="21">
        <v>216</v>
      </c>
      <c r="C31" s="21">
        <v>1</v>
      </c>
      <c r="D31" s="21">
        <v>260</v>
      </c>
      <c r="E31" s="21">
        <v>1</v>
      </c>
      <c r="F31" s="21">
        <v>30</v>
      </c>
      <c r="G31" s="21">
        <v>508</v>
      </c>
    </row>
    <row r="32" spans="1:15" x14ac:dyDescent="0.3">
      <c r="A32" s="20" t="s">
        <v>27</v>
      </c>
      <c r="B32" s="21">
        <v>7</v>
      </c>
      <c r="C32" s="21"/>
      <c r="D32" s="21"/>
      <c r="E32" s="21"/>
      <c r="F32" s="21"/>
      <c r="G32" s="21">
        <v>7</v>
      </c>
    </row>
    <row r="33" spans="1:7" x14ac:dyDescent="0.3">
      <c r="A33" s="10" t="s">
        <v>11</v>
      </c>
      <c r="B33" s="21">
        <v>32</v>
      </c>
      <c r="C33" s="21">
        <v>1</v>
      </c>
      <c r="D33" s="21">
        <v>31</v>
      </c>
      <c r="E33" s="21">
        <v>2</v>
      </c>
      <c r="F33" s="21">
        <v>4</v>
      </c>
      <c r="G33" s="21">
        <v>70</v>
      </c>
    </row>
    <row r="34" spans="1:7" x14ac:dyDescent="0.3">
      <c r="A34" s="20" t="s">
        <v>26</v>
      </c>
      <c r="B34" s="21">
        <v>7</v>
      </c>
      <c r="C34" s="21"/>
      <c r="D34" s="21">
        <v>5</v>
      </c>
      <c r="E34" s="21">
        <v>1</v>
      </c>
      <c r="F34" s="21">
        <v>1</v>
      </c>
      <c r="G34" s="21">
        <v>14</v>
      </c>
    </row>
    <row r="35" spans="1:7" x14ac:dyDescent="0.3">
      <c r="A35" s="20" t="s">
        <v>9</v>
      </c>
      <c r="B35" s="21">
        <v>25</v>
      </c>
      <c r="C35" s="21">
        <v>1</v>
      </c>
      <c r="D35" s="21">
        <v>26</v>
      </c>
      <c r="E35" s="21">
        <v>1</v>
      </c>
      <c r="F35" s="21">
        <v>3</v>
      </c>
      <c r="G35" s="21">
        <v>56</v>
      </c>
    </row>
    <row r="36" spans="1:7" x14ac:dyDescent="0.3">
      <c r="A36" s="10" t="s">
        <v>2019</v>
      </c>
      <c r="B36" s="21">
        <v>869</v>
      </c>
      <c r="C36" s="21">
        <v>13</v>
      </c>
      <c r="D36" s="21">
        <v>967</v>
      </c>
      <c r="E36" s="21">
        <v>5</v>
      </c>
      <c r="F36" s="21">
        <v>123</v>
      </c>
      <c r="G36" s="21">
        <v>1977</v>
      </c>
    </row>
    <row r="42" spans="1:7" ht="15.65" thickBot="1" x14ac:dyDescent="0.35"/>
    <row r="43" spans="1:7" x14ac:dyDescent="0.3">
      <c r="A43" s="11" t="s">
        <v>2015</v>
      </c>
      <c r="B43" s="12"/>
      <c r="D43" s="33" t="s">
        <v>2016</v>
      </c>
      <c r="E43" s="33" t="s">
        <v>2049</v>
      </c>
    </row>
    <row r="44" spans="1:7" x14ac:dyDescent="0.3">
      <c r="A44" s="13" t="s">
        <v>2017</v>
      </c>
      <c r="B44" s="14"/>
      <c r="D44" s="24" t="s">
        <v>9</v>
      </c>
      <c r="E44" s="24">
        <f>COUNTIFS(certifications[CREDENTIAL],"CRS",certifications[COUNTY],"Berks")
+COUNTIFS(certifications[CREDENTIAL],"CRS",certifications[COUNTY],"Bucks")
+COUNTIFS(certifications[CREDENTIAL],"CRS",certifications[COUNTY],"Chester")
+COUNTIFS(certifications[CREDENTIAL],"CRS",certifications[COUNTY],"Delaware")
+COUNTIFS(certifications[CREDENTIAL],"CRS",certifications[COUNTY],"Lancaster")
+COUNTIFS(certifications[CREDENTIAL],"CRS",certifications[COUNTY],"Montgomery")
+COUNTIFS(certifications[CREDENTIAL],"CRS",certifications[COUNTY],"Schuylkill")</f>
        <v>1161</v>
      </c>
    </row>
    <row r="45" spans="1:7" x14ac:dyDescent="0.3">
      <c r="A45" s="5" t="s">
        <v>9</v>
      </c>
      <c r="B45" s="6">
        <f>COUNTIFS(certifications[CREDENTIAL],"CRS",certifications[COUNTY],"Philadelphia")</f>
        <v>508</v>
      </c>
      <c r="D45" s="24" t="s">
        <v>26</v>
      </c>
      <c r="E45" s="24">
        <f>COUNTIFS(certifications[CREDENTIAL],"CFRS",certifications[COUNTY],"Berks")
+COUNTIFS(certifications[CREDENTIAL],"CRS",certifications[COUNTY],"Bucks")
+COUNTIFS(certifications[CREDENTIAL],"CRS",certifications[COUNTY],"Chester")
+COUNTIFS(certifications[CREDENTIAL],"CRS",certifications[COUNTY],"Delaware")
+COUNTIFS(certifications[CREDENTIAL],"CRS",certifications[COUNTY],"Lancaster")
+COUNTIFS(certifications[CREDENTIAL],"CRS",certifications[COUNTY],"Montgomery")
+COUNTIFS(certifications[CREDENTIAL],"CRS",certifications[COUNTY],"Schuylkill")</f>
        <v>928</v>
      </c>
    </row>
    <row r="46" spans="1:7" x14ac:dyDescent="0.3">
      <c r="A46" s="5" t="s">
        <v>26</v>
      </c>
      <c r="B46" s="6">
        <f>COUNTIFS(certifications[CREDENTIAL],"CFRS",certifications[COUNTY],"Philadelphia")</f>
        <v>71</v>
      </c>
      <c r="D46" s="24" t="s">
        <v>27</v>
      </c>
      <c r="E46" s="24">
        <f>COUNTIFS(certifications[CREDENTIAL],"CRSS",certifications[COUNTY],"Berks")
+COUNTIFS(certifications[CREDENTIAL],"CRS",certifications[COUNTY],"Bucks")
+COUNTIFS(certifications[CREDENTIAL],"CRS",certifications[COUNTY],"Chester")
+COUNTIFS(certifications[CREDENTIAL],"CRS",certifications[COUNTY],"Delaware")
+COUNTIFS(certifications[CREDENTIAL],"CRS",certifications[COUNTY],"Lancaster")
+COUNTIFS(certifications[CREDENTIAL],"CRS",certifications[COUNTY],"Montgomery")
+COUNTIFS(certifications[CREDENTIAL],"CRS",certifications[COUNTY],"Schuylkill")</f>
        <v>909</v>
      </c>
    </row>
    <row r="47" spans="1:7" ht="15.65" thickBot="1" x14ac:dyDescent="0.35">
      <c r="A47" s="7" t="s">
        <v>27</v>
      </c>
      <c r="B47" s="8">
        <f>COUNTIFS(certifications[CREDENTIAL],"CRSS",certifications[COUNTY],"Philadelphia")</f>
        <v>7</v>
      </c>
      <c r="D47" s="2"/>
    </row>
    <row r="48" spans="1:7" ht="15.65" thickBot="1" x14ac:dyDescent="0.35">
      <c r="A48" s="2"/>
      <c r="B48" s="2"/>
      <c r="C48" s="2"/>
      <c r="D48" s="2"/>
    </row>
    <row r="49" spans="1:3" x14ac:dyDescent="0.3">
      <c r="A49" s="11" t="s">
        <v>2016</v>
      </c>
      <c r="B49" s="12"/>
      <c r="C49" s="2"/>
    </row>
    <row r="50" spans="1:3" x14ac:dyDescent="0.3">
      <c r="A50" s="13" t="s">
        <v>2017</v>
      </c>
      <c r="B50" s="14"/>
    </row>
    <row r="51" spans="1:3" x14ac:dyDescent="0.3">
      <c r="A51" s="5" t="s">
        <v>9</v>
      </c>
      <c r="B51" s="6">
        <f>COUNTIFS(certifications[CREDENTIAL],"CRS",certifications[COUNTY],"Berks")
+COUNTIFS(certifications[CREDENTIAL],"CRS",certifications[COUNTY],"Bucks")
+COUNTIFS(certifications[CREDENTIAL],"CRS",certifications[COUNTY],"Chester")
+COUNTIFS(certifications[CREDENTIAL],"CRS",certifications[COUNTY],"Delaware")
+COUNTIFS(certifications[CREDENTIAL],"CRS",certifications[COUNTY],"Lancaster")
+COUNTIFS(certifications[CREDENTIAL],"CRS",certifications[COUNTY],"Montgomery")
+COUNTIFS(certifications[CREDENTIAL],"CRS",certifications[COUNTY],"Schuylkill")</f>
        <v>1161</v>
      </c>
    </row>
    <row r="52" spans="1:3" x14ac:dyDescent="0.3">
      <c r="A52" s="5" t="s">
        <v>26</v>
      </c>
      <c r="B52" s="6">
        <f>COUNTIFS(certifications[CREDENTIAL],"CFRS",certifications[COUNTY],"Berks")
+COUNTIFS(certifications[CREDENTIAL],"CRS",certifications[COUNTY],"Bucks")
+COUNTIFS(certifications[CREDENTIAL],"CRS",certifications[COUNTY],"Chester")
+COUNTIFS(certifications[CREDENTIAL],"CRS",certifications[COUNTY],"Delaware")
+COUNTIFS(certifications[CREDENTIAL],"CRS",certifications[COUNTY],"Lancaster")
+COUNTIFS(certifications[CREDENTIAL],"CRS",certifications[COUNTY],"Montgomery")
+COUNTIFS(certifications[CREDENTIAL],"CRS",certifications[COUNTY],"Schuylkill")</f>
        <v>928</v>
      </c>
    </row>
    <row r="53" spans="1:3" ht="15.65" thickBot="1" x14ac:dyDescent="0.35">
      <c r="A53" s="7" t="s">
        <v>27</v>
      </c>
      <c r="B53" s="8">
        <f>COUNTIFS(certifications[CREDENTIAL],"CRSS",certifications[COUNTY],"Berks")
+COUNTIFS(certifications[CREDENTIAL],"CRS",certifications[COUNTY],"Bucks")
+COUNTIFS(certifications[CREDENTIAL],"CRS",certifications[COUNTY],"Chester")
+COUNTIFS(certifications[CREDENTIAL],"CRS",certifications[COUNTY],"Delaware")
+COUNTIFS(certifications[CREDENTIAL],"CRS",certifications[COUNTY],"Lancaster")
+COUNTIFS(certifications[CREDENTIAL],"CRS",certifications[COUNTY],"Montgomery")
+COUNTIFS(certifications[CREDENTIAL],"CRS",certifications[COUNTY],"Schuylkill")</f>
        <v>909</v>
      </c>
    </row>
  </sheetData>
  <mergeCells count="4">
    <mergeCell ref="A49:B49"/>
    <mergeCell ref="A50:B50"/>
    <mergeCell ref="A43:B43"/>
    <mergeCell ref="A44:B44"/>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9ADF7-48B4-4619-907F-BB83CAB6465D}">
  <dimension ref="A1:M1991"/>
  <sheetViews>
    <sheetView tabSelected="1" zoomScale="59" workbookViewId="0">
      <selection activeCell="L8" sqref="L8"/>
    </sheetView>
  </sheetViews>
  <sheetFormatPr defaultRowHeight="15.05" x14ac:dyDescent="0.3"/>
  <cols>
    <col min="1" max="1" width="2.5546875" style="32" customWidth="1"/>
    <col min="2" max="2" width="28" style="32" customWidth="1"/>
    <col min="3" max="3" width="20.109375" style="2" customWidth="1"/>
    <col min="4" max="4" width="17" style="2" customWidth="1"/>
    <col min="5" max="5" width="19.33203125" style="2" customWidth="1"/>
    <col min="6" max="6" width="18.44140625" style="2" customWidth="1"/>
    <col min="7" max="8" width="17" style="2" customWidth="1"/>
    <col min="9" max="9" width="22.88671875" style="2" customWidth="1"/>
    <col min="10" max="10" width="25.88671875" style="2" customWidth="1"/>
    <col min="11" max="11" width="22.33203125" style="2" customWidth="1"/>
    <col min="12" max="12" width="21.6640625" style="2" customWidth="1"/>
    <col min="13" max="16384" width="8.88671875" style="2"/>
  </cols>
  <sheetData>
    <row r="1" spans="1:13" s="27" customFormat="1" ht="53.85" customHeight="1" x14ac:dyDescent="0.3"/>
    <row r="2" spans="1:13" s="28" customFormat="1" ht="23.95" customHeight="1" x14ac:dyDescent="0.3"/>
    <row r="3" spans="1:13" s="28" customFormat="1" ht="23.95" customHeight="1" x14ac:dyDescent="0.3"/>
    <row r="4" spans="1:13" s="28" customFormat="1" ht="23.95" customHeight="1" x14ac:dyDescent="0.3"/>
    <row r="5" spans="1:13" s="28" customFormat="1" ht="23.95" customHeight="1" x14ac:dyDescent="0.3"/>
    <row r="6" spans="1:13" s="28" customFormat="1" ht="23.95" customHeight="1" x14ac:dyDescent="0.3"/>
    <row r="7" spans="1:13" s="28" customFormat="1" ht="23.95" customHeight="1" x14ac:dyDescent="0.3"/>
    <row r="8" spans="1:13" s="28" customFormat="1" ht="23.95" customHeight="1" x14ac:dyDescent="0.3"/>
    <row r="9" spans="1:13" s="28" customFormat="1" ht="23.95" customHeight="1" x14ac:dyDescent="0.3"/>
    <row r="10" spans="1:13" s="28" customFormat="1" ht="23.95" customHeight="1" x14ac:dyDescent="0.3"/>
    <row r="11" spans="1:13" s="28" customFormat="1" ht="23.95" customHeight="1" x14ac:dyDescent="0.3"/>
    <row r="12" spans="1:13" s="28" customFormat="1" ht="23.95" customHeight="1" x14ac:dyDescent="0.3">
      <c r="A12" s="30"/>
      <c r="B12" s="30"/>
      <c r="C12" s="30"/>
      <c r="D12" s="30"/>
      <c r="E12" s="30"/>
      <c r="F12" s="30"/>
      <c r="G12" s="30"/>
      <c r="H12" s="30"/>
      <c r="I12" s="30"/>
      <c r="J12" s="30"/>
      <c r="K12" s="30"/>
      <c r="L12" s="30"/>
    </row>
    <row r="13" spans="1:13" s="29" customFormat="1" ht="60.1" customHeight="1" x14ac:dyDescent="0.3">
      <c r="A13" s="31"/>
      <c r="B13" s="23" t="s">
        <v>2023</v>
      </c>
      <c r="C13" s="23" t="s">
        <v>0</v>
      </c>
      <c r="D13" s="23" t="s">
        <v>1</v>
      </c>
      <c r="E13" s="23" t="s">
        <v>2</v>
      </c>
      <c r="F13" s="23" t="s">
        <v>3</v>
      </c>
      <c r="G13" s="23" t="s">
        <v>4</v>
      </c>
      <c r="H13" s="23" t="s">
        <v>5</v>
      </c>
      <c r="I13" s="23" t="s">
        <v>6</v>
      </c>
      <c r="J13" s="23" t="s">
        <v>2014</v>
      </c>
      <c r="K13" s="23" t="s">
        <v>2050</v>
      </c>
      <c r="L13" s="23" t="s">
        <v>2051</v>
      </c>
      <c r="M13" s="31"/>
    </row>
    <row r="14" spans="1:13" s="29" customFormat="1" ht="23.95" customHeight="1" x14ac:dyDescent="0.3">
      <c r="A14" s="31"/>
      <c r="B14" s="24">
        <v>1</v>
      </c>
      <c r="C14" s="24" t="s">
        <v>7</v>
      </c>
      <c r="D14" s="24" t="s">
        <v>8</v>
      </c>
      <c r="E14" s="24" t="s">
        <v>9</v>
      </c>
      <c r="F14" s="24">
        <v>19035</v>
      </c>
      <c r="G14" s="25">
        <v>45160</v>
      </c>
      <c r="H14" s="25">
        <v>45891</v>
      </c>
      <c r="I14" s="24" t="s">
        <v>10</v>
      </c>
      <c r="J14" s="24" t="s">
        <v>11</v>
      </c>
      <c r="K14" s="24" t="str">
        <f>IF(certifications[[#This Row],[ISSUE DATE]]="", "", TEXT(certifications[[#This Row],[ISSUE DATE]], "MMM"))</f>
        <v>Aug</v>
      </c>
      <c r="L14" s="35" t="str">
        <f>IF(certifications[[#This Row],[ISSUE DATE]]="", "", TEXT(certifications[[#This Row],[ISSUE DATE]], "YYYY"))</f>
        <v>2023</v>
      </c>
    </row>
    <row r="15" spans="1:13" s="29" customFormat="1" ht="23.95" customHeight="1" x14ac:dyDescent="0.3">
      <c r="A15" s="31"/>
      <c r="B15" s="24">
        <v>2</v>
      </c>
      <c r="C15" s="24" t="s">
        <v>12</v>
      </c>
      <c r="D15" s="24" t="s">
        <v>13</v>
      </c>
      <c r="E15" s="24" t="s">
        <v>9</v>
      </c>
      <c r="F15" s="24">
        <v>22097</v>
      </c>
      <c r="G15" s="25">
        <v>45812</v>
      </c>
      <c r="H15" s="25">
        <v>46542</v>
      </c>
      <c r="I15" s="24" t="s">
        <v>10</v>
      </c>
      <c r="J15" s="24" t="s">
        <v>14</v>
      </c>
      <c r="K15" s="24" t="str">
        <f>IF(certifications[[#This Row],[ISSUE DATE]]="", "", TEXT(certifications[[#This Row],[ISSUE DATE]], "MMM"))</f>
        <v>Jun</v>
      </c>
      <c r="L15" s="35" t="str">
        <f>IF(certifications[[#This Row],[ISSUE DATE]]="", "", TEXT(certifications[[#This Row],[ISSUE DATE]], "YYYY"))</f>
        <v>2025</v>
      </c>
    </row>
    <row r="16" spans="1:13" s="29" customFormat="1" ht="23.95" customHeight="1" x14ac:dyDescent="0.3">
      <c r="A16" s="31"/>
      <c r="B16" s="24">
        <v>3</v>
      </c>
      <c r="C16" s="24" t="s">
        <v>15</v>
      </c>
      <c r="D16" s="24" t="s">
        <v>13</v>
      </c>
      <c r="E16" s="24" t="s">
        <v>9</v>
      </c>
      <c r="F16" s="24">
        <v>11685</v>
      </c>
      <c r="G16" s="25">
        <v>43269</v>
      </c>
      <c r="H16" s="25">
        <v>44000</v>
      </c>
      <c r="I16" s="24" t="s">
        <v>16</v>
      </c>
      <c r="J16" s="24" t="s">
        <v>14</v>
      </c>
      <c r="K16" s="24" t="str">
        <f>IF(certifications[[#This Row],[ISSUE DATE]]="", "", TEXT(certifications[[#This Row],[ISSUE DATE]], "MMM"))</f>
        <v>Jun</v>
      </c>
      <c r="L16" s="35" t="str">
        <f>IF(certifications[[#This Row],[ISSUE DATE]]="", "", TEXT(certifications[[#This Row],[ISSUE DATE]], "YYYY"))</f>
        <v>2018</v>
      </c>
    </row>
    <row r="17" spans="1:12" s="29" customFormat="1" ht="23.95" customHeight="1" x14ac:dyDescent="0.3">
      <c r="A17" s="31"/>
      <c r="B17" s="24">
        <v>4</v>
      </c>
      <c r="C17" s="24" t="s">
        <v>17</v>
      </c>
      <c r="D17" s="24" t="s">
        <v>18</v>
      </c>
      <c r="E17" s="24" t="s">
        <v>9</v>
      </c>
      <c r="F17" s="24">
        <v>16166</v>
      </c>
      <c r="G17" s="25">
        <v>44293</v>
      </c>
      <c r="H17" s="25">
        <v>45023</v>
      </c>
      <c r="I17" s="24" t="s">
        <v>16</v>
      </c>
      <c r="J17" s="24" t="s">
        <v>19</v>
      </c>
      <c r="K17" s="24" t="str">
        <f>IF(certifications[[#This Row],[ISSUE DATE]]="", "", TEXT(certifications[[#This Row],[ISSUE DATE]], "MMM"))</f>
        <v>Apr</v>
      </c>
      <c r="L17" s="35" t="str">
        <f>IF(certifications[[#This Row],[ISSUE DATE]]="", "", TEXT(certifications[[#This Row],[ISSUE DATE]], "YYYY"))</f>
        <v>2021</v>
      </c>
    </row>
    <row r="18" spans="1:12" s="29" customFormat="1" ht="23.95" customHeight="1" x14ac:dyDescent="0.3">
      <c r="A18" s="31"/>
      <c r="B18" s="24">
        <v>5</v>
      </c>
      <c r="C18" s="24" t="s">
        <v>20</v>
      </c>
      <c r="D18" s="24" t="s">
        <v>21</v>
      </c>
      <c r="E18" s="24" t="s">
        <v>9</v>
      </c>
      <c r="F18" s="24">
        <v>17516</v>
      </c>
      <c r="G18" s="25">
        <v>44714</v>
      </c>
      <c r="H18" s="25">
        <v>46175</v>
      </c>
      <c r="I18" s="24" t="s">
        <v>10</v>
      </c>
      <c r="J18" s="24" t="s">
        <v>22</v>
      </c>
      <c r="K18" s="24" t="str">
        <f>IF(certifications[[#This Row],[ISSUE DATE]]="", "", TEXT(certifications[[#This Row],[ISSUE DATE]], "MMM"))</f>
        <v>Jun</v>
      </c>
      <c r="L18" s="35" t="str">
        <f>IF(certifications[[#This Row],[ISSUE DATE]]="", "", TEXT(certifications[[#This Row],[ISSUE DATE]], "YYYY"))</f>
        <v>2022</v>
      </c>
    </row>
    <row r="19" spans="1:12" s="29" customFormat="1" ht="23.95" customHeight="1" x14ac:dyDescent="0.3">
      <c r="A19" s="31"/>
      <c r="B19" s="24">
        <v>6</v>
      </c>
      <c r="C19" s="24" t="s">
        <v>23</v>
      </c>
      <c r="D19" s="24" t="s">
        <v>24</v>
      </c>
      <c r="E19" s="24" t="s">
        <v>9</v>
      </c>
      <c r="F19" s="24">
        <v>9144</v>
      </c>
      <c r="G19" s="25">
        <v>42083</v>
      </c>
      <c r="H19" s="25">
        <v>46466</v>
      </c>
      <c r="I19" s="24" t="s">
        <v>10</v>
      </c>
      <c r="J19" s="24" t="s">
        <v>25</v>
      </c>
      <c r="K19" s="24" t="str">
        <f>IF(certifications[[#This Row],[ISSUE DATE]]="", "", TEXT(certifications[[#This Row],[ISSUE DATE]], "MMM"))</f>
        <v>Mar</v>
      </c>
      <c r="L19" s="35" t="str">
        <f>IF(certifications[[#This Row],[ISSUE DATE]]="", "", TEXT(certifications[[#This Row],[ISSUE DATE]], "YYYY"))</f>
        <v>2015</v>
      </c>
    </row>
    <row r="20" spans="1:12" s="29" customFormat="1" ht="23.95" customHeight="1" x14ac:dyDescent="0.3">
      <c r="A20" s="31"/>
      <c r="B20" s="24">
        <v>7</v>
      </c>
      <c r="C20" s="24" t="s">
        <v>23</v>
      </c>
      <c r="D20" s="24" t="s">
        <v>24</v>
      </c>
      <c r="E20" s="24" t="s">
        <v>26</v>
      </c>
      <c r="F20" s="24">
        <v>9144</v>
      </c>
      <c r="G20" s="25">
        <v>43479</v>
      </c>
      <c r="H20" s="25">
        <v>46466</v>
      </c>
      <c r="I20" s="24" t="s">
        <v>10</v>
      </c>
      <c r="J20" s="24" t="s">
        <v>25</v>
      </c>
      <c r="K20" s="24" t="str">
        <f>IF(certifications[[#This Row],[ISSUE DATE]]="", "", TEXT(certifications[[#This Row],[ISSUE DATE]], "MMM"))</f>
        <v>Jan</v>
      </c>
      <c r="L20" s="35" t="str">
        <f>IF(certifications[[#This Row],[ISSUE DATE]]="", "", TEXT(certifications[[#This Row],[ISSUE DATE]], "YYYY"))</f>
        <v>2019</v>
      </c>
    </row>
    <row r="21" spans="1:12" s="29" customFormat="1" ht="23.95" customHeight="1" x14ac:dyDescent="0.3">
      <c r="A21" s="31"/>
      <c r="B21" s="24">
        <v>8</v>
      </c>
      <c r="C21" s="3" t="s">
        <v>23</v>
      </c>
      <c r="D21" s="3" t="s">
        <v>24</v>
      </c>
      <c r="E21" s="3" t="s">
        <v>27</v>
      </c>
      <c r="F21" s="3">
        <v>9144</v>
      </c>
      <c r="G21" s="4">
        <v>44254</v>
      </c>
      <c r="H21" s="4">
        <v>46445</v>
      </c>
      <c r="I21" s="3" t="s">
        <v>10</v>
      </c>
      <c r="J21" s="3" t="s">
        <v>25</v>
      </c>
      <c r="K21" s="3" t="str">
        <f>IF(certifications[[#This Row],[ISSUE DATE]]="", "", TEXT(certifications[[#This Row],[ISSUE DATE]], "MMM"))</f>
        <v>Feb</v>
      </c>
      <c r="L21" s="36" t="str">
        <f>IF(certifications[[#This Row],[ISSUE DATE]]="", "", TEXT(certifications[[#This Row],[ISSUE DATE]], "YYYY"))</f>
        <v>2021</v>
      </c>
    </row>
    <row r="22" spans="1:12" s="29" customFormat="1" ht="23.95" customHeight="1" x14ac:dyDescent="0.3">
      <c r="A22" s="31"/>
      <c r="B22" s="24">
        <v>9</v>
      </c>
      <c r="C22" s="24" t="s">
        <v>28</v>
      </c>
      <c r="D22" s="24" t="s">
        <v>29</v>
      </c>
      <c r="E22" s="24" t="s">
        <v>26</v>
      </c>
      <c r="F22" s="24">
        <v>18694</v>
      </c>
      <c r="G22" s="25">
        <v>45112</v>
      </c>
      <c r="H22" s="25">
        <v>46573</v>
      </c>
      <c r="I22" s="24" t="s">
        <v>10</v>
      </c>
      <c r="J22" s="24" t="s">
        <v>30</v>
      </c>
      <c r="K22" s="24" t="str">
        <f>IF(certifications[[#This Row],[ISSUE DATE]]="", "", TEXT(certifications[[#This Row],[ISSUE DATE]], "MMM"))</f>
        <v>Jul</v>
      </c>
      <c r="L22" s="35" t="str">
        <f>IF(certifications[[#This Row],[ISSUE DATE]]="", "", TEXT(certifications[[#This Row],[ISSUE DATE]], "YYYY"))</f>
        <v>2023</v>
      </c>
    </row>
    <row r="23" spans="1:12" s="29" customFormat="1" ht="23.95" customHeight="1" x14ac:dyDescent="0.3">
      <c r="A23" s="31"/>
      <c r="B23" s="24">
        <v>10</v>
      </c>
      <c r="C23" s="24" t="s">
        <v>31</v>
      </c>
      <c r="D23" s="24" t="s">
        <v>32</v>
      </c>
      <c r="E23" s="24" t="s">
        <v>9</v>
      </c>
      <c r="F23" s="24">
        <v>19554</v>
      </c>
      <c r="G23" s="25">
        <v>45812</v>
      </c>
      <c r="H23" s="25">
        <v>46542</v>
      </c>
      <c r="I23" s="24" t="s">
        <v>10</v>
      </c>
      <c r="J23" s="24" t="s">
        <v>33</v>
      </c>
      <c r="K23" s="24" t="str">
        <f>IF(certifications[[#This Row],[ISSUE DATE]]="", "", TEXT(certifications[[#This Row],[ISSUE DATE]], "MMM"))</f>
        <v>Jun</v>
      </c>
      <c r="L23" s="35" t="str">
        <f>IF(certifications[[#This Row],[ISSUE DATE]]="", "", TEXT(certifications[[#This Row],[ISSUE DATE]], "YYYY"))</f>
        <v>2025</v>
      </c>
    </row>
    <row r="24" spans="1:12" s="29" customFormat="1" ht="23.95" customHeight="1" x14ac:dyDescent="0.3">
      <c r="A24" s="31"/>
      <c r="B24" s="24">
        <v>11</v>
      </c>
      <c r="C24" s="24" t="s">
        <v>34</v>
      </c>
      <c r="D24" s="24" t="s">
        <v>35</v>
      </c>
      <c r="E24" s="24" t="s">
        <v>9</v>
      </c>
      <c r="F24" s="24">
        <v>10376</v>
      </c>
      <c r="G24" s="25">
        <v>42986</v>
      </c>
      <c r="H24" s="25">
        <v>44447</v>
      </c>
      <c r="I24" s="24" t="s">
        <v>16</v>
      </c>
      <c r="J24" s="24" t="s">
        <v>22</v>
      </c>
      <c r="K24" s="24" t="str">
        <f>IF(certifications[[#This Row],[ISSUE DATE]]="", "", TEXT(certifications[[#This Row],[ISSUE DATE]], "MMM"))</f>
        <v>Sep</v>
      </c>
      <c r="L24" s="35" t="str">
        <f>IF(certifications[[#This Row],[ISSUE DATE]]="", "", TEXT(certifications[[#This Row],[ISSUE DATE]], "YYYY"))</f>
        <v>2017</v>
      </c>
    </row>
    <row r="25" spans="1:12" s="29" customFormat="1" ht="23.95" customHeight="1" x14ac:dyDescent="0.3">
      <c r="A25" s="31"/>
      <c r="B25" s="24">
        <v>12</v>
      </c>
      <c r="C25" s="24" t="s">
        <v>36</v>
      </c>
      <c r="D25" s="24" t="s">
        <v>37</v>
      </c>
      <c r="E25" s="24" t="s">
        <v>9</v>
      </c>
      <c r="F25" s="24">
        <v>11990</v>
      </c>
      <c r="G25" s="25">
        <v>43313</v>
      </c>
      <c r="H25" s="25">
        <v>44774</v>
      </c>
      <c r="I25" s="24" t="s">
        <v>16</v>
      </c>
      <c r="J25" s="24" t="s">
        <v>38</v>
      </c>
      <c r="K25" s="24" t="str">
        <f>IF(certifications[[#This Row],[ISSUE DATE]]="", "", TEXT(certifications[[#This Row],[ISSUE DATE]], "MMM"))</f>
        <v>Aug</v>
      </c>
      <c r="L25" s="35" t="str">
        <f>IF(certifications[[#This Row],[ISSUE DATE]]="", "", TEXT(certifications[[#This Row],[ISSUE DATE]], "YYYY"))</f>
        <v>2018</v>
      </c>
    </row>
    <row r="26" spans="1:12" s="29" customFormat="1" ht="23.95" customHeight="1" x14ac:dyDescent="0.3">
      <c r="A26" s="31"/>
      <c r="B26" s="24">
        <v>13</v>
      </c>
      <c r="C26" s="24" t="s">
        <v>36</v>
      </c>
      <c r="D26" s="24" t="s">
        <v>37</v>
      </c>
      <c r="E26" s="24" t="s">
        <v>26</v>
      </c>
      <c r="F26" s="24">
        <v>11990</v>
      </c>
      <c r="G26" s="25">
        <v>44064</v>
      </c>
      <c r="H26" s="25">
        <v>44794</v>
      </c>
      <c r="I26" s="24" t="s">
        <v>16</v>
      </c>
      <c r="J26" s="24" t="s">
        <v>38</v>
      </c>
      <c r="K26" s="24" t="str">
        <f>IF(certifications[[#This Row],[ISSUE DATE]]="", "", TEXT(certifications[[#This Row],[ISSUE DATE]], "MMM"))</f>
        <v>Aug</v>
      </c>
      <c r="L26" s="35" t="str">
        <f>IF(certifications[[#This Row],[ISSUE DATE]]="", "", TEXT(certifications[[#This Row],[ISSUE DATE]], "YYYY"))</f>
        <v>2020</v>
      </c>
    </row>
    <row r="27" spans="1:12" s="29" customFormat="1" ht="23.95" customHeight="1" x14ac:dyDescent="0.3">
      <c r="A27" s="31"/>
      <c r="B27" s="24">
        <v>14</v>
      </c>
      <c r="C27" s="3" t="s">
        <v>36</v>
      </c>
      <c r="D27" s="3" t="s">
        <v>37</v>
      </c>
      <c r="E27" s="3" t="s">
        <v>27</v>
      </c>
      <c r="F27" s="3">
        <v>11990</v>
      </c>
      <c r="G27" s="4">
        <v>44478</v>
      </c>
      <c r="H27" s="4">
        <v>45208</v>
      </c>
      <c r="I27" s="3" t="s">
        <v>16</v>
      </c>
      <c r="J27" s="3" t="s">
        <v>38</v>
      </c>
      <c r="K27" s="3" t="str">
        <f>IF(certifications[[#This Row],[ISSUE DATE]]="", "", TEXT(certifications[[#This Row],[ISSUE DATE]], "MMM"))</f>
        <v>Oct</v>
      </c>
      <c r="L27" s="36" t="str">
        <f>IF(certifications[[#This Row],[ISSUE DATE]]="", "", TEXT(certifications[[#This Row],[ISSUE DATE]], "YYYY"))</f>
        <v>2021</v>
      </c>
    </row>
    <row r="28" spans="1:12" s="29" customFormat="1" ht="23.95" customHeight="1" x14ac:dyDescent="0.3">
      <c r="A28" s="31"/>
      <c r="B28" s="24">
        <v>15</v>
      </c>
      <c r="C28" s="24" t="s">
        <v>39</v>
      </c>
      <c r="D28" s="24" t="s">
        <v>40</v>
      </c>
      <c r="E28" s="24" t="s">
        <v>9</v>
      </c>
      <c r="F28" s="24">
        <v>20685</v>
      </c>
      <c r="G28" s="25">
        <v>45519</v>
      </c>
      <c r="H28" s="25">
        <v>46249</v>
      </c>
      <c r="I28" s="24" t="s">
        <v>10</v>
      </c>
      <c r="J28" s="24" t="s">
        <v>25</v>
      </c>
      <c r="K28" s="24" t="str">
        <f>IF(certifications[[#This Row],[ISSUE DATE]]="", "", TEXT(certifications[[#This Row],[ISSUE DATE]], "MMM"))</f>
        <v>Aug</v>
      </c>
      <c r="L28" s="35" t="str">
        <f>IF(certifications[[#This Row],[ISSUE DATE]]="", "", TEXT(certifications[[#This Row],[ISSUE DATE]], "YYYY"))</f>
        <v>2024</v>
      </c>
    </row>
    <row r="29" spans="1:12" s="29" customFormat="1" ht="23.95" customHeight="1" x14ac:dyDescent="0.3">
      <c r="A29" s="31"/>
      <c r="B29" s="24">
        <v>16</v>
      </c>
      <c r="C29" s="24" t="s">
        <v>41</v>
      </c>
      <c r="D29" s="24" t="s">
        <v>32</v>
      </c>
      <c r="E29" s="24" t="s">
        <v>9</v>
      </c>
      <c r="F29" s="24">
        <v>8398</v>
      </c>
      <c r="G29" s="25">
        <v>41393</v>
      </c>
      <c r="H29" s="25">
        <v>42123</v>
      </c>
      <c r="I29" s="24" t="s">
        <v>16</v>
      </c>
      <c r="J29" s="24" t="s">
        <v>33</v>
      </c>
      <c r="K29" s="24" t="str">
        <f>IF(certifications[[#This Row],[ISSUE DATE]]="", "", TEXT(certifications[[#This Row],[ISSUE DATE]], "MMM"))</f>
        <v>Apr</v>
      </c>
      <c r="L29" s="35" t="str">
        <f>IF(certifications[[#This Row],[ISSUE DATE]]="", "", TEXT(certifications[[#This Row],[ISSUE DATE]], "YYYY"))</f>
        <v>2013</v>
      </c>
    </row>
    <row r="30" spans="1:12" s="29" customFormat="1" ht="23.95" customHeight="1" x14ac:dyDescent="0.3">
      <c r="A30" s="31"/>
      <c r="B30" s="24">
        <v>17</v>
      </c>
      <c r="C30" s="24" t="s">
        <v>42</v>
      </c>
      <c r="D30" s="24" t="s">
        <v>32</v>
      </c>
      <c r="E30" s="24" t="s">
        <v>9</v>
      </c>
      <c r="F30" s="24">
        <v>9611</v>
      </c>
      <c r="G30" s="25">
        <v>42513</v>
      </c>
      <c r="H30" s="25">
        <v>43243</v>
      </c>
      <c r="I30" s="24" t="s">
        <v>16</v>
      </c>
      <c r="J30" s="24" t="s">
        <v>33</v>
      </c>
      <c r="K30" s="24" t="str">
        <f>IF(certifications[[#This Row],[ISSUE DATE]]="", "", TEXT(certifications[[#This Row],[ISSUE DATE]], "MMM"))</f>
        <v>May</v>
      </c>
      <c r="L30" s="35" t="str">
        <f>IF(certifications[[#This Row],[ISSUE DATE]]="", "", TEXT(certifications[[#This Row],[ISSUE DATE]], "YYYY"))</f>
        <v>2016</v>
      </c>
    </row>
    <row r="31" spans="1:12" s="29" customFormat="1" ht="23.95" customHeight="1" x14ac:dyDescent="0.3">
      <c r="A31" s="31"/>
      <c r="B31" s="24">
        <v>18</v>
      </c>
      <c r="C31" s="24" t="s">
        <v>43</v>
      </c>
      <c r="D31" s="24" t="s">
        <v>18</v>
      </c>
      <c r="E31" s="24" t="s">
        <v>9</v>
      </c>
      <c r="F31" s="24">
        <v>20773</v>
      </c>
      <c r="G31" s="25">
        <v>45533</v>
      </c>
      <c r="H31" s="25">
        <v>46263</v>
      </c>
      <c r="I31" s="24" t="s">
        <v>10</v>
      </c>
      <c r="J31" s="24" t="s">
        <v>19</v>
      </c>
      <c r="K31" s="24" t="str">
        <f>IF(certifications[[#This Row],[ISSUE DATE]]="", "", TEXT(certifications[[#This Row],[ISSUE DATE]], "MMM"))</f>
        <v>Aug</v>
      </c>
      <c r="L31" s="35" t="str">
        <f>IF(certifications[[#This Row],[ISSUE DATE]]="", "", TEXT(certifications[[#This Row],[ISSUE DATE]], "YYYY"))</f>
        <v>2024</v>
      </c>
    </row>
    <row r="32" spans="1:12" s="29" customFormat="1" ht="23.95" customHeight="1" x14ac:dyDescent="0.3">
      <c r="A32" s="31"/>
      <c r="B32" s="24">
        <v>19</v>
      </c>
      <c r="C32" s="24" t="s">
        <v>44</v>
      </c>
      <c r="D32" s="24" t="s">
        <v>18</v>
      </c>
      <c r="E32" s="24" t="s">
        <v>9</v>
      </c>
      <c r="F32" s="24">
        <v>10808</v>
      </c>
      <c r="G32" s="25">
        <v>43172</v>
      </c>
      <c r="H32" s="25">
        <v>43903</v>
      </c>
      <c r="I32" s="24" t="s">
        <v>16</v>
      </c>
      <c r="J32" s="24" t="s">
        <v>19</v>
      </c>
      <c r="K32" s="24" t="str">
        <f>IF(certifications[[#This Row],[ISSUE DATE]]="", "", TEXT(certifications[[#This Row],[ISSUE DATE]], "MMM"))</f>
        <v>Mar</v>
      </c>
      <c r="L32" s="35" t="str">
        <f>IF(certifications[[#This Row],[ISSUE DATE]]="", "", TEXT(certifications[[#This Row],[ISSUE DATE]], "YYYY"))</f>
        <v>2018</v>
      </c>
    </row>
    <row r="33" spans="1:12" s="29" customFormat="1" ht="23.95" customHeight="1" x14ac:dyDescent="0.3">
      <c r="A33" s="31"/>
      <c r="B33" s="24">
        <v>20</v>
      </c>
      <c r="C33" s="24" t="s">
        <v>45</v>
      </c>
      <c r="D33" s="24" t="s">
        <v>46</v>
      </c>
      <c r="E33" s="24" t="s">
        <v>9</v>
      </c>
      <c r="F33" s="24">
        <v>17863</v>
      </c>
      <c r="G33" s="25">
        <v>44831</v>
      </c>
      <c r="H33" s="25">
        <v>46292</v>
      </c>
      <c r="I33" s="24" t="s">
        <v>10</v>
      </c>
      <c r="J33" s="24" t="s">
        <v>38</v>
      </c>
      <c r="K33" s="24" t="str">
        <f>IF(certifications[[#This Row],[ISSUE DATE]]="", "", TEXT(certifications[[#This Row],[ISSUE DATE]], "MMM"))</f>
        <v>Sep</v>
      </c>
      <c r="L33" s="35" t="str">
        <f>IF(certifications[[#This Row],[ISSUE DATE]]="", "", TEXT(certifications[[#This Row],[ISSUE DATE]], "YYYY"))</f>
        <v>2022</v>
      </c>
    </row>
    <row r="34" spans="1:12" s="29" customFormat="1" ht="23.95" customHeight="1" x14ac:dyDescent="0.3">
      <c r="A34" s="31"/>
      <c r="B34" s="24">
        <v>21</v>
      </c>
      <c r="C34" s="24" t="s">
        <v>45</v>
      </c>
      <c r="D34" s="24" t="s">
        <v>46</v>
      </c>
      <c r="E34" s="24" t="s">
        <v>26</v>
      </c>
      <c r="F34" s="24">
        <v>17863</v>
      </c>
      <c r="G34" s="25">
        <v>44831</v>
      </c>
      <c r="H34" s="25">
        <v>46292</v>
      </c>
      <c r="I34" s="24" t="s">
        <v>10</v>
      </c>
      <c r="J34" s="24" t="s">
        <v>38</v>
      </c>
      <c r="K34" s="24" t="str">
        <f>IF(certifications[[#This Row],[ISSUE DATE]]="", "", TEXT(certifications[[#This Row],[ISSUE DATE]], "MMM"))</f>
        <v>Sep</v>
      </c>
      <c r="L34" s="35" t="str">
        <f>IF(certifications[[#This Row],[ISSUE DATE]]="", "", TEXT(certifications[[#This Row],[ISSUE DATE]], "YYYY"))</f>
        <v>2022</v>
      </c>
    </row>
    <row r="35" spans="1:12" s="29" customFormat="1" ht="23.95" customHeight="1" x14ac:dyDescent="0.3">
      <c r="A35" s="31"/>
      <c r="B35" s="24">
        <v>22</v>
      </c>
      <c r="C35" s="24" t="s">
        <v>47</v>
      </c>
      <c r="D35" s="24" t="s">
        <v>48</v>
      </c>
      <c r="E35" s="24" t="s">
        <v>9</v>
      </c>
      <c r="F35" s="24">
        <v>14009</v>
      </c>
      <c r="G35" s="25">
        <v>43670</v>
      </c>
      <c r="H35" s="25">
        <v>45862</v>
      </c>
      <c r="I35" s="24" t="s">
        <v>10</v>
      </c>
      <c r="J35" s="24" t="s">
        <v>38</v>
      </c>
      <c r="K35" s="24" t="str">
        <f>IF(certifications[[#This Row],[ISSUE DATE]]="", "", TEXT(certifications[[#This Row],[ISSUE DATE]], "MMM"))</f>
        <v>Jul</v>
      </c>
      <c r="L35" s="35" t="str">
        <f>IF(certifications[[#This Row],[ISSUE DATE]]="", "", TEXT(certifications[[#This Row],[ISSUE DATE]], "YYYY"))</f>
        <v>2019</v>
      </c>
    </row>
    <row r="36" spans="1:12" s="29" customFormat="1" ht="23.95" customHeight="1" x14ac:dyDescent="0.3">
      <c r="A36" s="31"/>
      <c r="B36" s="24">
        <v>23</v>
      </c>
      <c r="C36" s="24" t="s">
        <v>49</v>
      </c>
      <c r="D36" s="24" t="s">
        <v>32</v>
      </c>
      <c r="E36" s="24" t="s">
        <v>9</v>
      </c>
      <c r="F36" s="24">
        <v>13594</v>
      </c>
      <c r="G36" s="25">
        <v>43747</v>
      </c>
      <c r="H36" s="25">
        <v>45939</v>
      </c>
      <c r="I36" s="24" t="s">
        <v>10</v>
      </c>
      <c r="J36" s="24" t="s">
        <v>33</v>
      </c>
      <c r="K36" s="24" t="str">
        <f>IF(certifications[[#This Row],[ISSUE DATE]]="", "", TEXT(certifications[[#This Row],[ISSUE DATE]], "MMM"))</f>
        <v>Oct</v>
      </c>
      <c r="L36" s="35" t="str">
        <f>IF(certifications[[#This Row],[ISSUE DATE]]="", "", TEXT(certifications[[#This Row],[ISSUE DATE]], "YYYY"))</f>
        <v>2019</v>
      </c>
    </row>
    <row r="37" spans="1:12" s="29" customFormat="1" ht="23.95" customHeight="1" x14ac:dyDescent="0.3">
      <c r="A37" s="31"/>
      <c r="B37" s="24">
        <v>24</v>
      </c>
      <c r="C37" s="24" t="s">
        <v>50</v>
      </c>
      <c r="D37" s="24" t="s">
        <v>51</v>
      </c>
      <c r="E37" s="24" t="s">
        <v>9</v>
      </c>
      <c r="F37" s="24">
        <v>10090</v>
      </c>
      <c r="G37" s="25">
        <v>42815</v>
      </c>
      <c r="H37" s="25">
        <v>43545</v>
      </c>
      <c r="I37" s="24" t="s">
        <v>16</v>
      </c>
      <c r="J37" s="24" t="s">
        <v>38</v>
      </c>
      <c r="K37" s="24" t="str">
        <f>IF(certifications[[#This Row],[ISSUE DATE]]="", "", TEXT(certifications[[#This Row],[ISSUE DATE]], "MMM"))</f>
        <v>Mar</v>
      </c>
      <c r="L37" s="35" t="str">
        <f>IF(certifications[[#This Row],[ISSUE DATE]]="", "", TEXT(certifications[[#This Row],[ISSUE DATE]], "YYYY"))</f>
        <v>2017</v>
      </c>
    </row>
    <row r="38" spans="1:12" s="29" customFormat="1" ht="23.95" customHeight="1" x14ac:dyDescent="0.3">
      <c r="A38" s="31"/>
      <c r="B38" s="24">
        <v>25</v>
      </c>
      <c r="C38" s="24" t="s">
        <v>52</v>
      </c>
      <c r="D38" s="24" t="s">
        <v>53</v>
      </c>
      <c r="E38" s="24" t="s">
        <v>9</v>
      </c>
      <c r="F38" s="24">
        <v>20708</v>
      </c>
      <c r="G38" s="25">
        <v>45524</v>
      </c>
      <c r="H38" s="25">
        <v>46254</v>
      </c>
      <c r="I38" s="24" t="s">
        <v>10</v>
      </c>
      <c r="J38" s="24" t="s">
        <v>25</v>
      </c>
      <c r="K38" s="24" t="str">
        <f>IF(certifications[[#This Row],[ISSUE DATE]]="", "", TEXT(certifications[[#This Row],[ISSUE DATE]], "MMM"))</f>
        <v>Aug</v>
      </c>
      <c r="L38" s="35" t="str">
        <f>IF(certifications[[#This Row],[ISSUE DATE]]="", "", TEXT(certifications[[#This Row],[ISSUE DATE]], "YYYY"))</f>
        <v>2024</v>
      </c>
    </row>
    <row r="39" spans="1:12" s="29" customFormat="1" ht="23.95" customHeight="1" x14ac:dyDescent="0.3">
      <c r="A39" s="31"/>
      <c r="B39" s="24">
        <v>26</v>
      </c>
      <c r="C39" s="24" t="s">
        <v>54</v>
      </c>
      <c r="D39" s="24" t="s">
        <v>55</v>
      </c>
      <c r="E39" s="24" t="s">
        <v>9</v>
      </c>
      <c r="F39" s="24">
        <v>17028</v>
      </c>
      <c r="G39" s="25">
        <v>44540</v>
      </c>
      <c r="H39" s="25">
        <v>46001</v>
      </c>
      <c r="I39" s="24" t="s">
        <v>10</v>
      </c>
      <c r="J39" s="24" t="s">
        <v>11</v>
      </c>
      <c r="K39" s="24" t="str">
        <f>IF(certifications[[#This Row],[ISSUE DATE]]="", "", TEXT(certifications[[#This Row],[ISSUE DATE]], "MMM"))</f>
        <v>Dec</v>
      </c>
      <c r="L39" s="35" t="str">
        <f>IF(certifications[[#This Row],[ISSUE DATE]]="", "", TEXT(certifications[[#This Row],[ISSUE DATE]], "YYYY"))</f>
        <v>2021</v>
      </c>
    </row>
    <row r="40" spans="1:12" s="29" customFormat="1" ht="23.95" customHeight="1" x14ac:dyDescent="0.3">
      <c r="A40" s="31"/>
      <c r="B40" s="24">
        <v>27</v>
      </c>
      <c r="C40" s="24" t="s">
        <v>56</v>
      </c>
      <c r="D40" s="24" t="s">
        <v>57</v>
      </c>
      <c r="E40" s="24" t="s">
        <v>9</v>
      </c>
      <c r="F40" s="24">
        <v>9691</v>
      </c>
      <c r="G40" s="25">
        <v>42548</v>
      </c>
      <c r="H40" s="25">
        <v>44009</v>
      </c>
      <c r="I40" s="24" t="s">
        <v>16</v>
      </c>
      <c r="J40" s="24" t="s">
        <v>38</v>
      </c>
      <c r="K40" s="24" t="str">
        <f>IF(certifications[[#This Row],[ISSUE DATE]]="", "", TEXT(certifications[[#This Row],[ISSUE DATE]], "MMM"))</f>
        <v>Jun</v>
      </c>
      <c r="L40" s="35" t="str">
        <f>IF(certifications[[#This Row],[ISSUE DATE]]="", "", TEXT(certifications[[#This Row],[ISSUE DATE]], "YYYY"))</f>
        <v>2016</v>
      </c>
    </row>
    <row r="41" spans="1:12" s="29" customFormat="1" ht="23.95" customHeight="1" x14ac:dyDescent="0.3">
      <c r="A41" s="31"/>
      <c r="B41" s="24">
        <v>28</v>
      </c>
      <c r="C41" s="24" t="s">
        <v>58</v>
      </c>
      <c r="D41" s="24" t="s">
        <v>59</v>
      </c>
      <c r="E41" s="24" t="s">
        <v>9</v>
      </c>
      <c r="F41" s="24">
        <v>18447</v>
      </c>
      <c r="G41" s="25">
        <v>45098</v>
      </c>
      <c r="H41" s="25">
        <v>46471</v>
      </c>
      <c r="I41" s="24" t="s">
        <v>10</v>
      </c>
      <c r="J41" s="24" t="s">
        <v>30</v>
      </c>
      <c r="K41" s="24" t="str">
        <f>IF(certifications[[#This Row],[ISSUE DATE]]="", "", TEXT(certifications[[#This Row],[ISSUE DATE]], "MMM"))</f>
        <v>Jun</v>
      </c>
      <c r="L41" s="35" t="str">
        <f>IF(certifications[[#This Row],[ISSUE DATE]]="", "", TEXT(certifications[[#This Row],[ISSUE DATE]], "YYYY"))</f>
        <v>2023</v>
      </c>
    </row>
    <row r="42" spans="1:12" s="29" customFormat="1" ht="23.95" customHeight="1" x14ac:dyDescent="0.3">
      <c r="A42" s="31"/>
      <c r="B42" s="24">
        <v>29</v>
      </c>
      <c r="C42" s="24" t="s">
        <v>58</v>
      </c>
      <c r="D42" s="24" t="s">
        <v>59</v>
      </c>
      <c r="E42" s="24" t="s">
        <v>26</v>
      </c>
      <c r="F42" s="24">
        <v>18447</v>
      </c>
      <c r="G42" s="25">
        <v>45010</v>
      </c>
      <c r="H42" s="25">
        <v>46471</v>
      </c>
      <c r="I42" s="24" t="s">
        <v>10</v>
      </c>
      <c r="J42" s="24" t="s">
        <v>30</v>
      </c>
      <c r="K42" s="24" t="str">
        <f>IF(certifications[[#This Row],[ISSUE DATE]]="", "", TEXT(certifications[[#This Row],[ISSUE DATE]], "MMM"))</f>
        <v>Mar</v>
      </c>
      <c r="L42" s="35" t="str">
        <f>IF(certifications[[#This Row],[ISSUE DATE]]="", "", TEXT(certifications[[#This Row],[ISSUE DATE]], "YYYY"))</f>
        <v>2023</v>
      </c>
    </row>
    <row r="43" spans="1:12" s="29" customFormat="1" ht="23.95" customHeight="1" x14ac:dyDescent="0.3">
      <c r="A43" s="31"/>
      <c r="B43" s="24">
        <v>30</v>
      </c>
      <c r="C43" s="24" t="s">
        <v>60</v>
      </c>
      <c r="D43" s="24" t="s">
        <v>61</v>
      </c>
      <c r="E43" s="24" t="s">
        <v>9</v>
      </c>
      <c r="F43" s="24">
        <v>13722</v>
      </c>
      <c r="G43" s="25">
        <v>43640</v>
      </c>
      <c r="H43" s="25">
        <v>44371</v>
      </c>
      <c r="I43" s="24" t="s">
        <v>16</v>
      </c>
      <c r="J43" s="24" t="s">
        <v>19</v>
      </c>
      <c r="K43" s="24" t="str">
        <f>IF(certifications[[#This Row],[ISSUE DATE]]="", "", TEXT(certifications[[#This Row],[ISSUE DATE]], "MMM"))</f>
        <v>Jun</v>
      </c>
      <c r="L43" s="35" t="str">
        <f>IF(certifications[[#This Row],[ISSUE DATE]]="", "", TEXT(certifications[[#This Row],[ISSUE DATE]], "YYYY"))</f>
        <v>2019</v>
      </c>
    </row>
    <row r="44" spans="1:12" s="29" customFormat="1" ht="23.95" customHeight="1" x14ac:dyDescent="0.3">
      <c r="A44" s="31"/>
      <c r="B44" s="24">
        <v>31</v>
      </c>
      <c r="C44" s="24" t="s">
        <v>62</v>
      </c>
      <c r="D44" s="24" t="s">
        <v>63</v>
      </c>
      <c r="E44" s="24" t="s">
        <v>9</v>
      </c>
      <c r="F44" s="24">
        <v>11293</v>
      </c>
      <c r="G44" s="25">
        <v>43718</v>
      </c>
      <c r="H44" s="25">
        <v>45416</v>
      </c>
      <c r="I44" s="24" t="s">
        <v>16</v>
      </c>
      <c r="J44" s="24" t="s">
        <v>22</v>
      </c>
      <c r="K44" s="24" t="str">
        <f>IF(certifications[[#This Row],[ISSUE DATE]]="", "", TEXT(certifications[[#This Row],[ISSUE DATE]], "MMM"))</f>
        <v>Sep</v>
      </c>
      <c r="L44" s="35" t="str">
        <f>IF(certifications[[#This Row],[ISSUE DATE]]="", "", TEXT(certifications[[#This Row],[ISSUE DATE]], "YYYY"))</f>
        <v>2019</v>
      </c>
    </row>
    <row r="45" spans="1:12" s="29" customFormat="1" ht="23.95" customHeight="1" x14ac:dyDescent="0.3">
      <c r="A45" s="31"/>
      <c r="B45" s="24">
        <v>32</v>
      </c>
      <c r="C45" s="24" t="s">
        <v>64</v>
      </c>
      <c r="D45" s="24" t="s">
        <v>65</v>
      </c>
      <c r="E45" s="24" t="s">
        <v>26</v>
      </c>
      <c r="F45" s="24">
        <v>14463</v>
      </c>
      <c r="G45" s="25">
        <v>43704</v>
      </c>
      <c r="H45" s="25">
        <v>44435</v>
      </c>
      <c r="I45" s="24" t="s">
        <v>16</v>
      </c>
      <c r="J45" s="24" t="s">
        <v>19</v>
      </c>
      <c r="K45" s="24" t="str">
        <f>IF(certifications[[#This Row],[ISSUE DATE]]="", "", TEXT(certifications[[#This Row],[ISSUE DATE]], "MMM"))</f>
        <v>Aug</v>
      </c>
      <c r="L45" s="35" t="str">
        <f>IF(certifications[[#This Row],[ISSUE DATE]]="", "", TEXT(certifications[[#This Row],[ISSUE DATE]], "YYYY"))</f>
        <v>2019</v>
      </c>
    </row>
    <row r="46" spans="1:12" s="29" customFormat="1" ht="23.95" customHeight="1" x14ac:dyDescent="0.3">
      <c r="A46" s="31"/>
      <c r="B46" s="24">
        <v>33</v>
      </c>
      <c r="C46" s="24" t="s">
        <v>66</v>
      </c>
      <c r="D46" s="24" t="s">
        <v>67</v>
      </c>
      <c r="E46" s="24" t="s">
        <v>26</v>
      </c>
      <c r="F46" s="24">
        <v>12828</v>
      </c>
      <c r="G46" s="25">
        <v>43504</v>
      </c>
      <c r="H46" s="25">
        <v>44235</v>
      </c>
      <c r="I46" s="24" t="s">
        <v>16</v>
      </c>
      <c r="J46" s="24" t="s">
        <v>25</v>
      </c>
      <c r="K46" s="24" t="str">
        <f>IF(certifications[[#This Row],[ISSUE DATE]]="", "", TEXT(certifications[[#This Row],[ISSUE DATE]], "MMM"))</f>
        <v>Feb</v>
      </c>
      <c r="L46" s="35" t="str">
        <f>IF(certifications[[#This Row],[ISSUE DATE]]="", "", TEXT(certifications[[#This Row],[ISSUE DATE]], "YYYY"))</f>
        <v>2019</v>
      </c>
    </row>
    <row r="47" spans="1:12" s="29" customFormat="1" ht="23.95" customHeight="1" x14ac:dyDescent="0.3">
      <c r="A47" s="31"/>
      <c r="B47" s="24">
        <v>34</v>
      </c>
      <c r="C47" s="24" t="s">
        <v>68</v>
      </c>
      <c r="D47" s="24" t="s">
        <v>13</v>
      </c>
      <c r="E47" s="24" t="s">
        <v>9</v>
      </c>
      <c r="F47" s="24">
        <v>9427</v>
      </c>
      <c r="G47" s="25">
        <v>42341</v>
      </c>
      <c r="H47" s="25">
        <v>43072</v>
      </c>
      <c r="I47" s="24" t="s">
        <v>16</v>
      </c>
      <c r="J47" s="24" t="s">
        <v>14</v>
      </c>
      <c r="K47" s="24" t="str">
        <f>IF(certifications[[#This Row],[ISSUE DATE]]="", "", TEXT(certifications[[#This Row],[ISSUE DATE]], "MMM"))</f>
        <v>Dec</v>
      </c>
      <c r="L47" s="35" t="str">
        <f>IF(certifications[[#This Row],[ISSUE DATE]]="", "", TEXT(certifications[[#This Row],[ISSUE DATE]], "YYYY"))</f>
        <v>2015</v>
      </c>
    </row>
    <row r="48" spans="1:12" s="29" customFormat="1" ht="23.95" customHeight="1" x14ac:dyDescent="0.3">
      <c r="A48" s="31"/>
      <c r="B48" s="24">
        <v>35</v>
      </c>
      <c r="C48" s="24" t="s">
        <v>69</v>
      </c>
      <c r="D48" s="24" t="s">
        <v>32</v>
      </c>
      <c r="E48" s="24" t="s">
        <v>9</v>
      </c>
      <c r="F48" s="24">
        <v>10011</v>
      </c>
      <c r="G48" s="25">
        <v>43936</v>
      </c>
      <c r="H48" s="25">
        <v>45397</v>
      </c>
      <c r="I48" s="24" t="s">
        <v>16</v>
      </c>
      <c r="J48" s="24" t="s">
        <v>33</v>
      </c>
      <c r="K48" s="24" t="str">
        <f>IF(certifications[[#This Row],[ISSUE DATE]]="", "", TEXT(certifications[[#This Row],[ISSUE DATE]], "MMM"))</f>
        <v>Apr</v>
      </c>
      <c r="L48" s="35" t="str">
        <f>IF(certifications[[#This Row],[ISSUE DATE]]="", "", TEXT(certifications[[#This Row],[ISSUE DATE]], "YYYY"))</f>
        <v>2020</v>
      </c>
    </row>
    <row r="49" spans="1:12" s="29" customFormat="1" ht="23.95" customHeight="1" x14ac:dyDescent="0.3">
      <c r="A49" s="31"/>
      <c r="B49" s="24">
        <v>36</v>
      </c>
      <c r="C49" s="24" t="s">
        <v>70</v>
      </c>
      <c r="D49" s="24" t="s">
        <v>32</v>
      </c>
      <c r="E49" s="24" t="s">
        <v>9</v>
      </c>
      <c r="F49" s="24">
        <v>8076</v>
      </c>
      <c r="G49" s="25">
        <v>41004</v>
      </c>
      <c r="H49" s="25">
        <v>41734</v>
      </c>
      <c r="I49" s="24" t="s">
        <v>16</v>
      </c>
      <c r="J49" s="24" t="s">
        <v>33</v>
      </c>
      <c r="K49" s="24" t="str">
        <f>IF(certifications[[#This Row],[ISSUE DATE]]="", "", TEXT(certifications[[#This Row],[ISSUE DATE]], "MMM"))</f>
        <v>Apr</v>
      </c>
      <c r="L49" s="35" t="str">
        <f>IF(certifications[[#This Row],[ISSUE DATE]]="", "", TEXT(certifications[[#This Row],[ISSUE DATE]], "YYYY"))</f>
        <v>2012</v>
      </c>
    </row>
    <row r="50" spans="1:12" s="29" customFormat="1" ht="23.95" customHeight="1" x14ac:dyDescent="0.3">
      <c r="A50" s="31"/>
      <c r="B50" s="24">
        <v>37</v>
      </c>
      <c r="C50" s="24" t="s">
        <v>71</v>
      </c>
      <c r="D50" s="24" t="s">
        <v>55</v>
      </c>
      <c r="E50" s="24" t="s">
        <v>9</v>
      </c>
      <c r="F50" s="24">
        <v>20240</v>
      </c>
      <c r="G50" s="25">
        <v>45421</v>
      </c>
      <c r="H50" s="25">
        <v>46151</v>
      </c>
      <c r="I50" s="24" t="s">
        <v>10</v>
      </c>
      <c r="J50" s="24" t="s">
        <v>11</v>
      </c>
      <c r="K50" s="24" t="str">
        <f>IF(certifications[[#This Row],[ISSUE DATE]]="", "", TEXT(certifications[[#This Row],[ISSUE DATE]], "MMM"))</f>
        <v>May</v>
      </c>
      <c r="L50" s="35" t="str">
        <f>IF(certifications[[#This Row],[ISSUE DATE]]="", "", TEXT(certifications[[#This Row],[ISSUE DATE]], "YYYY"))</f>
        <v>2024</v>
      </c>
    </row>
    <row r="51" spans="1:12" s="29" customFormat="1" ht="23.95" customHeight="1" x14ac:dyDescent="0.3">
      <c r="A51" s="31"/>
      <c r="B51" s="24">
        <v>38</v>
      </c>
      <c r="C51" s="24" t="s">
        <v>72</v>
      </c>
      <c r="D51" s="24" t="s">
        <v>73</v>
      </c>
      <c r="E51" s="24" t="s">
        <v>9</v>
      </c>
      <c r="F51" s="24">
        <v>11091</v>
      </c>
      <c r="G51" s="25">
        <v>45392</v>
      </c>
      <c r="H51" s="25">
        <v>46122</v>
      </c>
      <c r="I51" s="24" t="s">
        <v>10</v>
      </c>
      <c r="J51" s="24" t="s">
        <v>30</v>
      </c>
      <c r="K51" s="24" t="str">
        <f>IF(certifications[[#This Row],[ISSUE DATE]]="", "", TEXT(certifications[[#This Row],[ISSUE DATE]], "MMM"))</f>
        <v>Apr</v>
      </c>
      <c r="L51" s="35" t="str">
        <f>IF(certifications[[#This Row],[ISSUE DATE]]="", "", TEXT(certifications[[#This Row],[ISSUE DATE]], "YYYY"))</f>
        <v>2024</v>
      </c>
    </row>
    <row r="52" spans="1:12" s="29" customFormat="1" ht="23.95" customHeight="1" x14ac:dyDescent="0.3">
      <c r="A52" s="31"/>
      <c r="B52" s="24">
        <v>39</v>
      </c>
      <c r="C52" s="24" t="s">
        <v>74</v>
      </c>
      <c r="D52" s="24" t="s">
        <v>48</v>
      </c>
      <c r="E52" s="24" t="s">
        <v>9</v>
      </c>
      <c r="F52" s="24">
        <v>10658</v>
      </c>
      <c r="G52" s="25">
        <v>43118</v>
      </c>
      <c r="H52" s="25">
        <v>46040</v>
      </c>
      <c r="I52" s="24" t="s">
        <v>10</v>
      </c>
      <c r="J52" s="24" t="s">
        <v>38</v>
      </c>
      <c r="K52" s="24" t="str">
        <f>IF(certifications[[#This Row],[ISSUE DATE]]="", "", TEXT(certifications[[#This Row],[ISSUE DATE]], "MMM"))</f>
        <v>Jan</v>
      </c>
      <c r="L52" s="35" t="str">
        <f>IF(certifications[[#This Row],[ISSUE DATE]]="", "", TEXT(certifications[[#This Row],[ISSUE DATE]], "YYYY"))</f>
        <v>2018</v>
      </c>
    </row>
    <row r="53" spans="1:12" s="29" customFormat="1" ht="23.95" customHeight="1" x14ac:dyDescent="0.3">
      <c r="A53" s="31"/>
      <c r="B53" s="24">
        <v>40</v>
      </c>
      <c r="C53" s="24" t="s">
        <v>74</v>
      </c>
      <c r="D53" s="24" t="s">
        <v>48</v>
      </c>
      <c r="E53" s="24" t="s">
        <v>26</v>
      </c>
      <c r="F53" s="24">
        <v>10658</v>
      </c>
      <c r="G53" s="25">
        <v>43487</v>
      </c>
      <c r="H53" s="25">
        <v>46040</v>
      </c>
      <c r="I53" s="24" t="s">
        <v>10</v>
      </c>
      <c r="J53" s="24" t="s">
        <v>38</v>
      </c>
      <c r="K53" s="24" t="str">
        <f>IF(certifications[[#This Row],[ISSUE DATE]]="", "", TEXT(certifications[[#This Row],[ISSUE DATE]], "MMM"))</f>
        <v>Jan</v>
      </c>
      <c r="L53" s="35" t="str">
        <f>IF(certifications[[#This Row],[ISSUE DATE]]="", "", TEXT(certifications[[#This Row],[ISSUE DATE]], "YYYY"))</f>
        <v>2019</v>
      </c>
    </row>
    <row r="54" spans="1:12" s="29" customFormat="1" ht="23.95" customHeight="1" x14ac:dyDescent="0.3">
      <c r="A54" s="31"/>
      <c r="B54" s="24">
        <v>41</v>
      </c>
      <c r="C54" s="3" t="s">
        <v>74</v>
      </c>
      <c r="D54" s="3" t="s">
        <v>48</v>
      </c>
      <c r="E54" s="3" t="s">
        <v>27</v>
      </c>
      <c r="F54" s="3">
        <v>10658</v>
      </c>
      <c r="G54" s="4">
        <v>44589</v>
      </c>
      <c r="H54" s="4">
        <v>46040</v>
      </c>
      <c r="I54" s="3" t="s">
        <v>10</v>
      </c>
      <c r="J54" s="3" t="s">
        <v>38</v>
      </c>
      <c r="K54" s="3" t="str">
        <f>IF(certifications[[#This Row],[ISSUE DATE]]="", "", TEXT(certifications[[#This Row],[ISSUE DATE]], "MMM"))</f>
        <v>Jan</v>
      </c>
      <c r="L54" s="36" t="str">
        <f>IF(certifications[[#This Row],[ISSUE DATE]]="", "", TEXT(certifications[[#This Row],[ISSUE DATE]], "YYYY"))</f>
        <v>2022</v>
      </c>
    </row>
    <row r="55" spans="1:12" s="29" customFormat="1" ht="23.95" customHeight="1" x14ac:dyDescent="0.3">
      <c r="A55" s="31"/>
      <c r="B55" s="24">
        <v>42</v>
      </c>
      <c r="C55" s="24" t="s">
        <v>75</v>
      </c>
      <c r="D55" s="24" t="s">
        <v>48</v>
      </c>
      <c r="E55" s="24" t="s">
        <v>26</v>
      </c>
      <c r="F55" s="24">
        <v>20452</v>
      </c>
      <c r="G55" s="25">
        <v>45462</v>
      </c>
      <c r="H55" s="25">
        <v>46192</v>
      </c>
      <c r="I55" s="24" t="s">
        <v>10</v>
      </c>
      <c r="J55" s="24" t="s">
        <v>38</v>
      </c>
      <c r="K55" s="24" t="str">
        <f>IF(certifications[[#This Row],[ISSUE DATE]]="", "", TEXT(certifications[[#This Row],[ISSUE DATE]], "MMM"))</f>
        <v>Jun</v>
      </c>
      <c r="L55" s="35" t="str">
        <f>IF(certifications[[#This Row],[ISSUE DATE]]="", "", TEXT(certifications[[#This Row],[ISSUE DATE]], "YYYY"))</f>
        <v>2024</v>
      </c>
    </row>
    <row r="56" spans="1:12" s="29" customFormat="1" ht="23.95" customHeight="1" x14ac:dyDescent="0.3">
      <c r="A56" s="31"/>
      <c r="B56" s="24">
        <v>43</v>
      </c>
      <c r="C56" s="24" t="s">
        <v>76</v>
      </c>
      <c r="D56" s="24" t="s">
        <v>32</v>
      </c>
      <c r="E56" s="24" t="s">
        <v>9</v>
      </c>
      <c r="F56" s="24">
        <v>9393</v>
      </c>
      <c r="G56" s="25">
        <v>42291</v>
      </c>
      <c r="H56" s="25">
        <v>44483</v>
      </c>
      <c r="I56" s="24" t="s">
        <v>16</v>
      </c>
      <c r="J56" s="24" t="s">
        <v>33</v>
      </c>
      <c r="K56" s="24" t="str">
        <f>IF(certifications[[#This Row],[ISSUE DATE]]="", "", TEXT(certifications[[#This Row],[ISSUE DATE]], "MMM"))</f>
        <v>Oct</v>
      </c>
      <c r="L56" s="35" t="str">
        <f>IF(certifications[[#This Row],[ISSUE DATE]]="", "", TEXT(certifications[[#This Row],[ISSUE DATE]], "YYYY"))</f>
        <v>2015</v>
      </c>
    </row>
    <row r="57" spans="1:12" s="29" customFormat="1" ht="23.95" customHeight="1" x14ac:dyDescent="0.3">
      <c r="A57" s="31"/>
      <c r="B57" s="24">
        <v>44</v>
      </c>
      <c r="C57" s="24" t="s">
        <v>77</v>
      </c>
      <c r="D57" s="24" t="s">
        <v>78</v>
      </c>
      <c r="E57" s="24" t="s">
        <v>9</v>
      </c>
      <c r="F57" s="24">
        <v>13636</v>
      </c>
      <c r="G57" s="25">
        <v>43670</v>
      </c>
      <c r="H57" s="25">
        <v>44401</v>
      </c>
      <c r="I57" s="24" t="s">
        <v>16</v>
      </c>
      <c r="J57" s="24" t="s">
        <v>25</v>
      </c>
      <c r="K57" s="24" t="str">
        <f>IF(certifications[[#This Row],[ISSUE DATE]]="", "", TEXT(certifications[[#This Row],[ISSUE DATE]], "MMM"))</f>
        <v>Jul</v>
      </c>
      <c r="L57" s="35" t="str">
        <f>IF(certifications[[#This Row],[ISSUE DATE]]="", "", TEXT(certifications[[#This Row],[ISSUE DATE]], "YYYY"))</f>
        <v>2019</v>
      </c>
    </row>
    <row r="58" spans="1:12" s="29" customFormat="1" ht="23.95" customHeight="1" x14ac:dyDescent="0.3">
      <c r="A58" s="31"/>
      <c r="B58" s="24">
        <v>45</v>
      </c>
      <c r="C58" s="24" t="s">
        <v>79</v>
      </c>
      <c r="D58" s="24" t="s">
        <v>80</v>
      </c>
      <c r="E58" s="24" t="s">
        <v>9</v>
      </c>
      <c r="F58" s="24">
        <v>8500</v>
      </c>
      <c r="G58" s="25">
        <v>41450</v>
      </c>
      <c r="H58" s="25">
        <v>42911</v>
      </c>
      <c r="I58" s="24" t="s">
        <v>16</v>
      </c>
      <c r="J58" s="24" t="s">
        <v>38</v>
      </c>
      <c r="K58" s="24" t="str">
        <f>IF(certifications[[#This Row],[ISSUE DATE]]="", "", TEXT(certifications[[#This Row],[ISSUE DATE]], "MMM"))</f>
        <v>Jun</v>
      </c>
      <c r="L58" s="35" t="str">
        <f>IF(certifications[[#This Row],[ISSUE DATE]]="", "", TEXT(certifications[[#This Row],[ISSUE DATE]], "YYYY"))</f>
        <v>2013</v>
      </c>
    </row>
    <row r="59" spans="1:12" s="29" customFormat="1" ht="23.95" customHeight="1" x14ac:dyDescent="0.3">
      <c r="A59" s="31"/>
      <c r="B59" s="24">
        <v>46</v>
      </c>
      <c r="C59" s="24" t="s">
        <v>81</v>
      </c>
      <c r="D59" s="24" t="s">
        <v>32</v>
      </c>
      <c r="E59" s="24" t="s">
        <v>9</v>
      </c>
      <c r="F59" s="24">
        <v>18277</v>
      </c>
      <c r="G59" s="25">
        <v>44961</v>
      </c>
      <c r="H59" s="25">
        <v>45692</v>
      </c>
      <c r="I59" s="24" t="s">
        <v>82</v>
      </c>
      <c r="J59" s="24" t="s">
        <v>33</v>
      </c>
      <c r="K59" s="24" t="str">
        <f>IF(certifications[[#This Row],[ISSUE DATE]]="", "", TEXT(certifications[[#This Row],[ISSUE DATE]], "MMM"))</f>
        <v>Feb</v>
      </c>
      <c r="L59" s="35" t="str">
        <f>IF(certifications[[#This Row],[ISSUE DATE]]="", "", TEXT(certifications[[#This Row],[ISSUE DATE]], "YYYY"))</f>
        <v>2023</v>
      </c>
    </row>
    <row r="60" spans="1:12" s="29" customFormat="1" ht="23.95" customHeight="1" x14ac:dyDescent="0.3">
      <c r="A60" s="31"/>
      <c r="B60" s="24">
        <v>47</v>
      </c>
      <c r="C60" s="24" t="s">
        <v>81</v>
      </c>
      <c r="D60" s="24" t="s">
        <v>32</v>
      </c>
      <c r="E60" s="24" t="s">
        <v>26</v>
      </c>
      <c r="F60" s="24">
        <v>18277</v>
      </c>
      <c r="G60" s="25">
        <v>44960</v>
      </c>
      <c r="H60" s="25">
        <v>45691</v>
      </c>
      <c r="I60" s="24" t="s">
        <v>82</v>
      </c>
      <c r="J60" s="24" t="s">
        <v>33</v>
      </c>
      <c r="K60" s="24" t="str">
        <f>IF(certifications[[#This Row],[ISSUE DATE]]="", "", TEXT(certifications[[#This Row],[ISSUE DATE]], "MMM"))</f>
        <v>Feb</v>
      </c>
      <c r="L60" s="35" t="str">
        <f>IF(certifications[[#This Row],[ISSUE DATE]]="", "", TEXT(certifications[[#This Row],[ISSUE DATE]], "YYYY"))</f>
        <v>2023</v>
      </c>
    </row>
    <row r="61" spans="1:12" s="29" customFormat="1" ht="23.95" customHeight="1" x14ac:dyDescent="0.3">
      <c r="A61" s="31"/>
      <c r="B61" s="24">
        <v>48</v>
      </c>
      <c r="C61" s="24" t="s">
        <v>83</v>
      </c>
      <c r="D61" s="24" t="s">
        <v>84</v>
      </c>
      <c r="E61" s="24" t="s">
        <v>9</v>
      </c>
      <c r="F61" s="24">
        <v>19300</v>
      </c>
      <c r="G61" s="25">
        <v>45227</v>
      </c>
      <c r="H61" s="25">
        <v>45958</v>
      </c>
      <c r="I61" s="24" t="s">
        <v>10</v>
      </c>
      <c r="J61" s="24" t="s">
        <v>14</v>
      </c>
      <c r="K61" s="24" t="str">
        <f>IF(certifications[[#This Row],[ISSUE DATE]]="", "", TEXT(certifications[[#This Row],[ISSUE DATE]], "MMM"))</f>
        <v>Oct</v>
      </c>
      <c r="L61" s="35" t="str">
        <f>IF(certifications[[#This Row],[ISSUE DATE]]="", "", TEXT(certifications[[#This Row],[ISSUE DATE]], "YYYY"))</f>
        <v>2023</v>
      </c>
    </row>
    <row r="62" spans="1:12" s="29" customFormat="1" ht="23.95" customHeight="1" x14ac:dyDescent="0.3">
      <c r="A62" s="31"/>
      <c r="B62" s="24">
        <v>49</v>
      </c>
      <c r="C62" s="24" t="s">
        <v>83</v>
      </c>
      <c r="D62" s="24" t="s">
        <v>84</v>
      </c>
      <c r="E62" s="24" t="s">
        <v>26</v>
      </c>
      <c r="F62" s="24">
        <v>19300</v>
      </c>
      <c r="G62" s="25">
        <v>45224</v>
      </c>
      <c r="H62" s="25">
        <v>45955</v>
      </c>
      <c r="I62" s="24" t="s">
        <v>10</v>
      </c>
      <c r="J62" s="24" t="s">
        <v>14</v>
      </c>
      <c r="K62" s="24" t="str">
        <f>IF(certifications[[#This Row],[ISSUE DATE]]="", "", TEXT(certifications[[#This Row],[ISSUE DATE]], "MMM"))</f>
        <v>Oct</v>
      </c>
      <c r="L62" s="35" t="str">
        <f>IF(certifications[[#This Row],[ISSUE DATE]]="", "", TEXT(certifications[[#This Row],[ISSUE DATE]], "YYYY"))</f>
        <v>2023</v>
      </c>
    </row>
    <row r="63" spans="1:12" s="29" customFormat="1" ht="23.95" customHeight="1" x14ac:dyDescent="0.3">
      <c r="A63" s="31"/>
      <c r="B63" s="24">
        <v>50</v>
      </c>
      <c r="C63" s="24" t="s">
        <v>85</v>
      </c>
      <c r="D63" s="24" t="s">
        <v>32</v>
      </c>
      <c r="E63" s="24" t="s">
        <v>9</v>
      </c>
      <c r="F63" s="24">
        <v>19873</v>
      </c>
      <c r="G63" s="25">
        <v>45336</v>
      </c>
      <c r="H63" s="25">
        <v>46067</v>
      </c>
      <c r="I63" s="24" t="s">
        <v>10</v>
      </c>
      <c r="J63" s="24" t="s">
        <v>33</v>
      </c>
      <c r="K63" s="24" t="str">
        <f>IF(certifications[[#This Row],[ISSUE DATE]]="", "", TEXT(certifications[[#This Row],[ISSUE DATE]], "MMM"))</f>
        <v>Feb</v>
      </c>
      <c r="L63" s="35" t="str">
        <f>IF(certifications[[#This Row],[ISSUE DATE]]="", "", TEXT(certifications[[#This Row],[ISSUE DATE]], "YYYY"))</f>
        <v>2024</v>
      </c>
    </row>
    <row r="64" spans="1:12" s="29" customFormat="1" ht="23.95" customHeight="1" x14ac:dyDescent="0.3">
      <c r="A64" s="31"/>
      <c r="B64" s="24">
        <v>51</v>
      </c>
      <c r="C64" s="24" t="s">
        <v>86</v>
      </c>
      <c r="D64" s="24" t="s">
        <v>32</v>
      </c>
      <c r="E64" s="24" t="s">
        <v>9</v>
      </c>
      <c r="F64" s="24">
        <v>10659</v>
      </c>
      <c r="G64" s="25">
        <v>43118</v>
      </c>
      <c r="H64" s="25">
        <v>46040</v>
      </c>
      <c r="I64" s="24" t="s">
        <v>10</v>
      </c>
      <c r="J64" s="24" t="s">
        <v>33</v>
      </c>
      <c r="K64" s="24" t="str">
        <f>IF(certifications[[#This Row],[ISSUE DATE]]="", "", TEXT(certifications[[#This Row],[ISSUE DATE]], "MMM"))</f>
        <v>Jan</v>
      </c>
      <c r="L64" s="35" t="str">
        <f>IF(certifications[[#This Row],[ISSUE DATE]]="", "", TEXT(certifications[[#This Row],[ISSUE DATE]], "YYYY"))</f>
        <v>2018</v>
      </c>
    </row>
    <row r="65" spans="1:12" s="29" customFormat="1" ht="23.95" customHeight="1" x14ac:dyDescent="0.3">
      <c r="A65" s="31"/>
      <c r="B65" s="24">
        <v>52</v>
      </c>
      <c r="C65" s="24" t="s">
        <v>87</v>
      </c>
      <c r="D65" s="24" t="s">
        <v>88</v>
      </c>
      <c r="E65" s="24" t="s">
        <v>9</v>
      </c>
      <c r="F65" s="24">
        <v>17233</v>
      </c>
      <c r="G65" s="25">
        <v>44633</v>
      </c>
      <c r="H65" s="25">
        <v>46094</v>
      </c>
      <c r="I65" s="24" t="s">
        <v>10</v>
      </c>
      <c r="J65" s="24" t="s">
        <v>19</v>
      </c>
      <c r="K65" s="24" t="str">
        <f>IF(certifications[[#This Row],[ISSUE DATE]]="", "", TEXT(certifications[[#This Row],[ISSUE DATE]], "MMM"))</f>
        <v>Mar</v>
      </c>
      <c r="L65" s="35" t="str">
        <f>IF(certifications[[#This Row],[ISSUE DATE]]="", "", TEXT(certifications[[#This Row],[ISSUE DATE]], "YYYY"))</f>
        <v>2022</v>
      </c>
    </row>
    <row r="66" spans="1:12" s="29" customFormat="1" ht="23.95" customHeight="1" x14ac:dyDescent="0.3">
      <c r="A66" s="31"/>
      <c r="B66" s="24">
        <v>53</v>
      </c>
      <c r="C66" s="24" t="s">
        <v>89</v>
      </c>
      <c r="D66" s="24" t="s">
        <v>32</v>
      </c>
      <c r="E66" s="24" t="s">
        <v>9</v>
      </c>
      <c r="F66" s="24">
        <v>10008</v>
      </c>
      <c r="G66" s="25">
        <v>42753</v>
      </c>
      <c r="H66" s="25">
        <v>43483</v>
      </c>
      <c r="I66" s="24" t="s">
        <v>16</v>
      </c>
      <c r="J66" s="24" t="s">
        <v>33</v>
      </c>
      <c r="K66" s="24" t="str">
        <f>IF(certifications[[#This Row],[ISSUE DATE]]="", "", TEXT(certifications[[#This Row],[ISSUE DATE]], "MMM"))</f>
        <v>Jan</v>
      </c>
      <c r="L66" s="35" t="str">
        <f>IF(certifications[[#This Row],[ISSUE DATE]]="", "", TEXT(certifications[[#This Row],[ISSUE DATE]], "YYYY"))</f>
        <v>2017</v>
      </c>
    </row>
    <row r="67" spans="1:12" s="29" customFormat="1" ht="23.95" customHeight="1" x14ac:dyDescent="0.3">
      <c r="A67" s="31"/>
      <c r="B67" s="24">
        <v>54</v>
      </c>
      <c r="C67" s="24" t="s">
        <v>90</v>
      </c>
      <c r="D67" s="24" t="s">
        <v>13</v>
      </c>
      <c r="E67" s="24" t="s">
        <v>9</v>
      </c>
      <c r="F67" s="24">
        <v>12571</v>
      </c>
      <c r="G67" s="25">
        <v>43445</v>
      </c>
      <c r="H67" s="25">
        <v>44176</v>
      </c>
      <c r="I67" s="24" t="s">
        <v>16</v>
      </c>
      <c r="J67" s="24" t="s">
        <v>14</v>
      </c>
      <c r="K67" s="24" t="str">
        <f>IF(certifications[[#This Row],[ISSUE DATE]]="", "", TEXT(certifications[[#This Row],[ISSUE DATE]], "MMM"))</f>
        <v>Dec</v>
      </c>
      <c r="L67" s="35" t="str">
        <f>IF(certifications[[#This Row],[ISSUE DATE]]="", "", TEXT(certifications[[#This Row],[ISSUE DATE]], "YYYY"))</f>
        <v>2018</v>
      </c>
    </row>
    <row r="68" spans="1:12" s="29" customFormat="1" ht="23.95" customHeight="1" x14ac:dyDescent="0.3">
      <c r="A68" s="31"/>
      <c r="B68" s="24">
        <v>55</v>
      </c>
      <c r="C68" s="24" t="s">
        <v>91</v>
      </c>
      <c r="D68" s="24" t="s">
        <v>13</v>
      </c>
      <c r="E68" s="24" t="s">
        <v>9</v>
      </c>
      <c r="F68" s="24">
        <v>9880</v>
      </c>
      <c r="G68" s="25">
        <v>42670</v>
      </c>
      <c r="H68" s="25">
        <v>43400</v>
      </c>
      <c r="I68" s="24" t="s">
        <v>16</v>
      </c>
      <c r="J68" s="24" t="s">
        <v>14</v>
      </c>
      <c r="K68" s="24" t="str">
        <f>IF(certifications[[#This Row],[ISSUE DATE]]="", "", TEXT(certifications[[#This Row],[ISSUE DATE]], "MMM"))</f>
        <v>Oct</v>
      </c>
      <c r="L68" s="35" t="str">
        <f>IF(certifications[[#This Row],[ISSUE DATE]]="", "", TEXT(certifications[[#This Row],[ISSUE DATE]], "YYYY"))</f>
        <v>2016</v>
      </c>
    </row>
    <row r="69" spans="1:12" s="29" customFormat="1" ht="23.95" customHeight="1" x14ac:dyDescent="0.3">
      <c r="A69" s="31"/>
      <c r="B69" s="24">
        <v>56</v>
      </c>
      <c r="C69" s="24" t="s">
        <v>92</v>
      </c>
      <c r="D69" s="24" t="s">
        <v>13</v>
      </c>
      <c r="E69" s="24" t="s">
        <v>9</v>
      </c>
      <c r="F69" s="24">
        <v>15290</v>
      </c>
      <c r="G69" s="25">
        <v>44012</v>
      </c>
      <c r="H69" s="25">
        <v>44742</v>
      </c>
      <c r="I69" s="24" t="s">
        <v>16</v>
      </c>
      <c r="J69" s="24" t="s">
        <v>14</v>
      </c>
      <c r="K69" s="24" t="str">
        <f>IF(certifications[[#This Row],[ISSUE DATE]]="", "", TEXT(certifications[[#This Row],[ISSUE DATE]], "MMM"))</f>
        <v>Jun</v>
      </c>
      <c r="L69" s="35" t="str">
        <f>IF(certifications[[#This Row],[ISSUE DATE]]="", "", TEXT(certifications[[#This Row],[ISSUE DATE]], "YYYY"))</f>
        <v>2020</v>
      </c>
    </row>
    <row r="70" spans="1:12" s="29" customFormat="1" ht="23.95" customHeight="1" x14ac:dyDescent="0.3">
      <c r="A70" s="31"/>
      <c r="B70" s="24">
        <v>57</v>
      </c>
      <c r="C70" s="24" t="s">
        <v>93</v>
      </c>
      <c r="D70" s="24" t="s">
        <v>53</v>
      </c>
      <c r="E70" s="24" t="s">
        <v>9</v>
      </c>
      <c r="F70" s="24">
        <v>13706</v>
      </c>
      <c r="G70" s="25">
        <v>43640</v>
      </c>
      <c r="H70" s="25">
        <v>44371</v>
      </c>
      <c r="I70" s="24" t="s">
        <v>16</v>
      </c>
      <c r="J70" s="24" t="s">
        <v>25</v>
      </c>
      <c r="K70" s="24" t="str">
        <f>IF(certifications[[#This Row],[ISSUE DATE]]="", "", TEXT(certifications[[#This Row],[ISSUE DATE]], "MMM"))</f>
        <v>Jun</v>
      </c>
      <c r="L70" s="35" t="str">
        <f>IF(certifications[[#This Row],[ISSUE DATE]]="", "", TEXT(certifications[[#This Row],[ISSUE DATE]], "YYYY"))</f>
        <v>2019</v>
      </c>
    </row>
    <row r="71" spans="1:12" s="29" customFormat="1" ht="23.95" customHeight="1" x14ac:dyDescent="0.3">
      <c r="A71" s="31"/>
      <c r="B71" s="24">
        <v>58</v>
      </c>
      <c r="C71" s="24" t="s">
        <v>94</v>
      </c>
      <c r="D71" s="24" t="s">
        <v>32</v>
      </c>
      <c r="E71" s="24" t="s">
        <v>9</v>
      </c>
      <c r="F71" s="24">
        <v>15697</v>
      </c>
      <c r="G71" s="25">
        <v>44172</v>
      </c>
      <c r="H71" s="25">
        <v>46363</v>
      </c>
      <c r="I71" s="24" t="s">
        <v>10</v>
      </c>
      <c r="J71" s="24" t="s">
        <v>33</v>
      </c>
      <c r="K71" s="24" t="str">
        <f>IF(certifications[[#This Row],[ISSUE DATE]]="", "", TEXT(certifications[[#This Row],[ISSUE DATE]], "MMM"))</f>
        <v>Dec</v>
      </c>
      <c r="L71" s="35" t="str">
        <f>IF(certifications[[#This Row],[ISSUE DATE]]="", "", TEXT(certifications[[#This Row],[ISSUE DATE]], "YYYY"))</f>
        <v>2020</v>
      </c>
    </row>
    <row r="72" spans="1:12" s="29" customFormat="1" ht="23.95" customHeight="1" x14ac:dyDescent="0.3">
      <c r="A72" s="31"/>
      <c r="B72" s="24">
        <v>59</v>
      </c>
      <c r="C72" s="24" t="s">
        <v>95</v>
      </c>
      <c r="D72" s="24" t="s">
        <v>32</v>
      </c>
      <c r="E72" s="24" t="s">
        <v>9</v>
      </c>
      <c r="F72" s="24">
        <v>22017</v>
      </c>
      <c r="G72" s="25">
        <v>45800</v>
      </c>
      <c r="H72" s="25">
        <v>46530</v>
      </c>
      <c r="I72" s="24" t="s">
        <v>10</v>
      </c>
      <c r="J72" s="24" t="s">
        <v>33</v>
      </c>
      <c r="K72" s="24" t="str">
        <f>IF(certifications[[#This Row],[ISSUE DATE]]="", "", TEXT(certifications[[#This Row],[ISSUE DATE]], "MMM"))</f>
        <v>May</v>
      </c>
      <c r="L72" s="35" t="str">
        <f>IF(certifications[[#This Row],[ISSUE DATE]]="", "", TEXT(certifications[[#This Row],[ISSUE DATE]], "YYYY"))</f>
        <v>2025</v>
      </c>
    </row>
    <row r="73" spans="1:12" s="29" customFormat="1" ht="23.95" customHeight="1" x14ac:dyDescent="0.3">
      <c r="A73" s="31"/>
      <c r="B73" s="24">
        <v>60</v>
      </c>
      <c r="C73" s="24" t="s">
        <v>96</v>
      </c>
      <c r="D73" s="24" t="s">
        <v>32</v>
      </c>
      <c r="E73" s="24" t="s">
        <v>9</v>
      </c>
      <c r="F73" s="24">
        <v>21104</v>
      </c>
      <c r="G73" s="25">
        <v>45605</v>
      </c>
      <c r="H73" s="25">
        <v>46335</v>
      </c>
      <c r="I73" s="24" t="s">
        <v>10</v>
      </c>
      <c r="J73" s="24" t="s">
        <v>33</v>
      </c>
      <c r="K73" s="24" t="str">
        <f>IF(certifications[[#This Row],[ISSUE DATE]]="", "", TEXT(certifications[[#This Row],[ISSUE DATE]], "MMM"))</f>
        <v>Nov</v>
      </c>
      <c r="L73" s="35" t="str">
        <f>IF(certifications[[#This Row],[ISSUE DATE]]="", "", TEXT(certifications[[#This Row],[ISSUE DATE]], "YYYY"))</f>
        <v>2024</v>
      </c>
    </row>
    <row r="74" spans="1:12" s="29" customFormat="1" ht="23.95" customHeight="1" x14ac:dyDescent="0.3">
      <c r="A74" s="31"/>
      <c r="B74" s="24">
        <v>61</v>
      </c>
      <c r="C74" s="24" t="s">
        <v>97</v>
      </c>
      <c r="D74" s="24" t="s">
        <v>29</v>
      </c>
      <c r="E74" s="24" t="s">
        <v>9</v>
      </c>
      <c r="F74" s="24">
        <v>14546</v>
      </c>
      <c r="G74" s="25">
        <v>44545</v>
      </c>
      <c r="H74" s="25">
        <v>46006</v>
      </c>
      <c r="I74" s="24" t="s">
        <v>10</v>
      </c>
      <c r="J74" s="24" t="s">
        <v>30</v>
      </c>
      <c r="K74" s="24" t="str">
        <f>IF(certifications[[#This Row],[ISSUE DATE]]="", "", TEXT(certifications[[#This Row],[ISSUE DATE]], "MMM"))</f>
        <v>Dec</v>
      </c>
      <c r="L74" s="35" t="str">
        <f>IF(certifications[[#This Row],[ISSUE DATE]]="", "", TEXT(certifications[[#This Row],[ISSUE DATE]], "YYYY"))</f>
        <v>2021</v>
      </c>
    </row>
    <row r="75" spans="1:12" s="29" customFormat="1" ht="23.95" customHeight="1" x14ac:dyDescent="0.3">
      <c r="A75" s="31"/>
      <c r="B75" s="24">
        <v>62</v>
      </c>
      <c r="C75" s="24" t="s">
        <v>97</v>
      </c>
      <c r="D75" s="24" t="s">
        <v>29</v>
      </c>
      <c r="E75" s="24" t="s">
        <v>26</v>
      </c>
      <c r="F75" s="24">
        <v>14546</v>
      </c>
      <c r="G75" s="25">
        <v>44503</v>
      </c>
      <c r="H75" s="25">
        <v>45964</v>
      </c>
      <c r="I75" s="24" t="s">
        <v>10</v>
      </c>
      <c r="J75" s="24" t="s">
        <v>30</v>
      </c>
      <c r="K75" s="24" t="str">
        <f>IF(certifications[[#This Row],[ISSUE DATE]]="", "", TEXT(certifications[[#This Row],[ISSUE DATE]], "MMM"))</f>
        <v>Nov</v>
      </c>
      <c r="L75" s="35" t="str">
        <f>IF(certifications[[#This Row],[ISSUE DATE]]="", "", TEXT(certifications[[#This Row],[ISSUE DATE]], "YYYY"))</f>
        <v>2021</v>
      </c>
    </row>
    <row r="76" spans="1:12" s="29" customFormat="1" ht="23.95" customHeight="1" x14ac:dyDescent="0.3">
      <c r="A76" s="31"/>
      <c r="B76" s="24">
        <v>63</v>
      </c>
      <c r="C76" s="24" t="s">
        <v>98</v>
      </c>
      <c r="D76" s="24" t="s">
        <v>99</v>
      </c>
      <c r="E76" s="24" t="s">
        <v>9</v>
      </c>
      <c r="F76" s="24">
        <v>16126</v>
      </c>
      <c r="G76" s="25">
        <v>44280</v>
      </c>
      <c r="H76" s="25">
        <v>46471</v>
      </c>
      <c r="I76" s="24" t="s">
        <v>10</v>
      </c>
      <c r="J76" s="24" t="s">
        <v>30</v>
      </c>
      <c r="K76" s="24" t="str">
        <f>IF(certifications[[#This Row],[ISSUE DATE]]="", "", TEXT(certifications[[#This Row],[ISSUE DATE]], "MMM"))</f>
        <v>Mar</v>
      </c>
      <c r="L76" s="35" t="str">
        <f>IF(certifications[[#This Row],[ISSUE DATE]]="", "", TEXT(certifications[[#This Row],[ISSUE DATE]], "YYYY"))</f>
        <v>2021</v>
      </c>
    </row>
    <row r="77" spans="1:12" s="29" customFormat="1" ht="23.95" customHeight="1" x14ac:dyDescent="0.3">
      <c r="A77" s="31"/>
      <c r="B77" s="24">
        <v>64</v>
      </c>
      <c r="C77" s="24" t="s">
        <v>100</v>
      </c>
      <c r="D77" s="24" t="s">
        <v>84</v>
      </c>
      <c r="E77" s="24" t="s">
        <v>26</v>
      </c>
      <c r="F77" s="24">
        <v>8596</v>
      </c>
      <c r="G77" s="25">
        <v>44609</v>
      </c>
      <c r="H77" s="25">
        <v>46070</v>
      </c>
      <c r="I77" s="24" t="s">
        <v>10</v>
      </c>
      <c r="J77" s="24" t="s">
        <v>14</v>
      </c>
      <c r="K77" s="24" t="str">
        <f>IF(certifications[[#This Row],[ISSUE DATE]]="", "", TEXT(certifications[[#This Row],[ISSUE DATE]], "MMM"))</f>
        <v>Feb</v>
      </c>
      <c r="L77" s="35" t="str">
        <f>IF(certifications[[#This Row],[ISSUE DATE]]="", "", TEXT(certifications[[#This Row],[ISSUE DATE]], "YYYY"))</f>
        <v>2022</v>
      </c>
    </row>
    <row r="78" spans="1:12" s="29" customFormat="1" ht="23.95" customHeight="1" x14ac:dyDescent="0.3">
      <c r="A78" s="31"/>
      <c r="B78" s="24">
        <v>65</v>
      </c>
      <c r="C78" s="24" t="s">
        <v>101</v>
      </c>
      <c r="D78" s="24" t="s">
        <v>102</v>
      </c>
      <c r="E78" s="24" t="s">
        <v>9</v>
      </c>
      <c r="F78" s="24">
        <v>20414</v>
      </c>
      <c r="G78" s="25">
        <v>45455</v>
      </c>
      <c r="H78" s="25">
        <v>46185</v>
      </c>
      <c r="I78" s="24" t="s">
        <v>10</v>
      </c>
      <c r="J78" s="24" t="s">
        <v>38</v>
      </c>
      <c r="K78" s="24" t="str">
        <f>IF(certifications[[#This Row],[ISSUE DATE]]="", "", TEXT(certifications[[#This Row],[ISSUE DATE]], "MMM"))</f>
        <v>Jun</v>
      </c>
      <c r="L78" s="35" t="str">
        <f>IF(certifications[[#This Row],[ISSUE DATE]]="", "", TEXT(certifications[[#This Row],[ISSUE DATE]], "YYYY"))</f>
        <v>2024</v>
      </c>
    </row>
    <row r="79" spans="1:12" s="29" customFormat="1" ht="23.95" customHeight="1" x14ac:dyDescent="0.3">
      <c r="A79" s="31"/>
      <c r="B79" s="24">
        <v>66</v>
      </c>
      <c r="C79" s="24" t="s">
        <v>103</v>
      </c>
      <c r="D79" s="24" t="s">
        <v>104</v>
      </c>
      <c r="E79" s="24" t="s">
        <v>9</v>
      </c>
      <c r="F79" s="24">
        <v>9183</v>
      </c>
      <c r="G79" s="25">
        <v>42144</v>
      </c>
      <c r="H79" s="25">
        <v>44336</v>
      </c>
      <c r="I79" s="24" t="s">
        <v>16</v>
      </c>
      <c r="J79" s="24" t="s">
        <v>14</v>
      </c>
      <c r="K79" s="24" t="str">
        <f>IF(certifications[[#This Row],[ISSUE DATE]]="", "", TEXT(certifications[[#This Row],[ISSUE DATE]], "MMM"))</f>
        <v>May</v>
      </c>
      <c r="L79" s="35" t="str">
        <f>IF(certifications[[#This Row],[ISSUE DATE]]="", "", TEXT(certifications[[#This Row],[ISSUE DATE]], "YYYY"))</f>
        <v>2015</v>
      </c>
    </row>
    <row r="80" spans="1:12" s="29" customFormat="1" ht="23.95" customHeight="1" x14ac:dyDescent="0.3">
      <c r="A80" s="31"/>
      <c r="B80" s="24">
        <v>67</v>
      </c>
      <c r="C80" s="24" t="s">
        <v>105</v>
      </c>
      <c r="D80" s="24" t="s">
        <v>32</v>
      </c>
      <c r="E80" s="24" t="s">
        <v>9</v>
      </c>
      <c r="F80" s="24">
        <v>9539</v>
      </c>
      <c r="G80" s="25">
        <v>42440</v>
      </c>
      <c r="H80" s="25">
        <v>43170</v>
      </c>
      <c r="I80" s="24" t="s">
        <v>16</v>
      </c>
      <c r="J80" s="24" t="s">
        <v>33</v>
      </c>
      <c r="K80" s="24" t="str">
        <f>IF(certifications[[#This Row],[ISSUE DATE]]="", "", TEXT(certifications[[#This Row],[ISSUE DATE]], "MMM"))</f>
        <v>Mar</v>
      </c>
      <c r="L80" s="35" t="str">
        <f>IF(certifications[[#This Row],[ISSUE DATE]]="", "", TEXT(certifications[[#This Row],[ISSUE DATE]], "YYYY"))</f>
        <v>2016</v>
      </c>
    </row>
    <row r="81" spans="1:12" s="29" customFormat="1" ht="23.95" customHeight="1" x14ac:dyDescent="0.3">
      <c r="A81" s="31"/>
      <c r="B81" s="24">
        <v>68</v>
      </c>
      <c r="C81" s="24" t="s">
        <v>106</v>
      </c>
      <c r="D81" s="24" t="s">
        <v>107</v>
      </c>
      <c r="E81" s="24" t="s">
        <v>9</v>
      </c>
      <c r="F81" s="24">
        <v>16560</v>
      </c>
      <c r="G81" s="25">
        <v>44376</v>
      </c>
      <c r="H81" s="25">
        <v>45106</v>
      </c>
      <c r="I81" s="24" t="s">
        <v>16</v>
      </c>
      <c r="J81" s="24" t="s">
        <v>25</v>
      </c>
      <c r="K81" s="24" t="str">
        <f>IF(certifications[[#This Row],[ISSUE DATE]]="", "", TEXT(certifications[[#This Row],[ISSUE DATE]], "MMM"))</f>
        <v>Jun</v>
      </c>
      <c r="L81" s="35" t="str">
        <f>IF(certifications[[#This Row],[ISSUE DATE]]="", "", TEXT(certifications[[#This Row],[ISSUE DATE]], "YYYY"))</f>
        <v>2021</v>
      </c>
    </row>
    <row r="82" spans="1:12" s="29" customFormat="1" ht="23.95" customHeight="1" x14ac:dyDescent="0.3">
      <c r="A82" s="31"/>
      <c r="B82" s="24">
        <v>69</v>
      </c>
      <c r="C82" s="24" t="s">
        <v>108</v>
      </c>
      <c r="D82" s="24" t="s">
        <v>109</v>
      </c>
      <c r="E82" s="24" t="s">
        <v>9</v>
      </c>
      <c r="F82" s="24">
        <v>22098</v>
      </c>
      <c r="G82" s="25">
        <v>45812</v>
      </c>
      <c r="H82" s="25">
        <v>46542</v>
      </c>
      <c r="I82" s="24" t="s">
        <v>10</v>
      </c>
      <c r="J82" s="24" t="s">
        <v>38</v>
      </c>
      <c r="K82" s="24" t="str">
        <f>IF(certifications[[#This Row],[ISSUE DATE]]="", "", TEXT(certifications[[#This Row],[ISSUE DATE]], "MMM"))</f>
        <v>Jun</v>
      </c>
      <c r="L82" s="35" t="str">
        <f>IF(certifications[[#This Row],[ISSUE DATE]]="", "", TEXT(certifications[[#This Row],[ISSUE DATE]], "YYYY"))</f>
        <v>2025</v>
      </c>
    </row>
    <row r="83" spans="1:12" s="29" customFormat="1" ht="23.95" customHeight="1" x14ac:dyDescent="0.3">
      <c r="A83" s="31"/>
      <c r="B83" s="24">
        <v>70</v>
      </c>
      <c r="C83" s="24" t="s">
        <v>110</v>
      </c>
      <c r="D83" s="24" t="s">
        <v>111</v>
      </c>
      <c r="E83" s="24" t="s">
        <v>9</v>
      </c>
      <c r="F83" s="24">
        <v>10654</v>
      </c>
      <c r="G83" s="25">
        <v>43118</v>
      </c>
      <c r="H83" s="25">
        <v>45309</v>
      </c>
      <c r="I83" s="24" t="s">
        <v>16</v>
      </c>
      <c r="J83" s="24" t="s">
        <v>38</v>
      </c>
      <c r="K83" s="24" t="str">
        <f>IF(certifications[[#This Row],[ISSUE DATE]]="", "", TEXT(certifications[[#This Row],[ISSUE DATE]], "MMM"))</f>
        <v>Jan</v>
      </c>
      <c r="L83" s="35" t="str">
        <f>IF(certifications[[#This Row],[ISSUE DATE]]="", "", TEXT(certifications[[#This Row],[ISSUE DATE]], "YYYY"))</f>
        <v>2018</v>
      </c>
    </row>
    <row r="84" spans="1:12" s="29" customFormat="1" ht="23.95" customHeight="1" x14ac:dyDescent="0.3">
      <c r="A84" s="31"/>
      <c r="B84" s="24">
        <v>71</v>
      </c>
      <c r="C84" s="24" t="s">
        <v>112</v>
      </c>
      <c r="D84" s="24" t="s">
        <v>111</v>
      </c>
      <c r="E84" s="24" t="s">
        <v>9</v>
      </c>
      <c r="F84" s="24">
        <v>10117</v>
      </c>
      <c r="G84" s="25">
        <v>42846</v>
      </c>
      <c r="H84" s="25">
        <v>43576</v>
      </c>
      <c r="I84" s="24" t="s">
        <v>16</v>
      </c>
      <c r="J84" s="24" t="s">
        <v>38</v>
      </c>
      <c r="K84" s="24" t="str">
        <f>IF(certifications[[#This Row],[ISSUE DATE]]="", "", TEXT(certifications[[#This Row],[ISSUE DATE]], "MMM"))</f>
        <v>Apr</v>
      </c>
      <c r="L84" s="35" t="str">
        <f>IF(certifications[[#This Row],[ISSUE DATE]]="", "", TEXT(certifications[[#This Row],[ISSUE DATE]], "YYYY"))</f>
        <v>2017</v>
      </c>
    </row>
    <row r="85" spans="1:12" s="29" customFormat="1" ht="23.95" customHeight="1" x14ac:dyDescent="0.3">
      <c r="A85" s="31"/>
      <c r="B85" s="24">
        <v>72</v>
      </c>
      <c r="C85" s="24" t="s">
        <v>113</v>
      </c>
      <c r="D85" s="24" t="s">
        <v>114</v>
      </c>
      <c r="E85" s="24" t="s">
        <v>9</v>
      </c>
      <c r="F85" s="24">
        <v>21307</v>
      </c>
      <c r="G85" s="25">
        <v>45650</v>
      </c>
      <c r="H85" s="25">
        <v>46380</v>
      </c>
      <c r="I85" s="24" t="s">
        <v>10</v>
      </c>
      <c r="J85" s="24" t="s">
        <v>22</v>
      </c>
      <c r="K85" s="24" t="str">
        <f>IF(certifications[[#This Row],[ISSUE DATE]]="", "", TEXT(certifications[[#This Row],[ISSUE DATE]], "MMM"))</f>
        <v>Dec</v>
      </c>
      <c r="L85" s="35" t="str">
        <f>IF(certifications[[#This Row],[ISSUE DATE]]="", "", TEXT(certifications[[#This Row],[ISSUE DATE]], "YYYY"))</f>
        <v>2024</v>
      </c>
    </row>
    <row r="86" spans="1:12" s="29" customFormat="1" ht="23.95" customHeight="1" x14ac:dyDescent="0.3">
      <c r="A86" s="31"/>
      <c r="B86" s="24">
        <v>73</v>
      </c>
      <c r="C86" s="24" t="s">
        <v>115</v>
      </c>
      <c r="D86" s="24" t="s">
        <v>32</v>
      </c>
      <c r="E86" s="24" t="s">
        <v>9</v>
      </c>
      <c r="F86" s="24">
        <v>18466</v>
      </c>
      <c r="G86" s="25">
        <v>45014</v>
      </c>
      <c r="H86" s="25">
        <v>45745</v>
      </c>
      <c r="I86" s="24" t="s">
        <v>82</v>
      </c>
      <c r="J86" s="24" t="s">
        <v>33</v>
      </c>
      <c r="K86" s="24" t="str">
        <f>IF(certifications[[#This Row],[ISSUE DATE]]="", "", TEXT(certifications[[#This Row],[ISSUE DATE]], "MMM"))</f>
        <v>Mar</v>
      </c>
      <c r="L86" s="35" t="str">
        <f>IF(certifications[[#This Row],[ISSUE DATE]]="", "", TEXT(certifications[[#This Row],[ISSUE DATE]], "YYYY"))</f>
        <v>2023</v>
      </c>
    </row>
    <row r="87" spans="1:12" s="29" customFormat="1" ht="23.95" customHeight="1" x14ac:dyDescent="0.3">
      <c r="A87" s="31"/>
      <c r="B87" s="24">
        <v>74</v>
      </c>
      <c r="C87" s="24" t="s">
        <v>116</v>
      </c>
      <c r="D87" s="24" t="s">
        <v>18</v>
      </c>
      <c r="E87" s="24" t="s">
        <v>9</v>
      </c>
      <c r="F87" s="24">
        <v>20389</v>
      </c>
      <c r="G87" s="25">
        <v>45450</v>
      </c>
      <c r="H87" s="25">
        <v>46180</v>
      </c>
      <c r="I87" s="24" t="s">
        <v>10</v>
      </c>
      <c r="J87" s="24" t="s">
        <v>19</v>
      </c>
      <c r="K87" s="24" t="str">
        <f>IF(certifications[[#This Row],[ISSUE DATE]]="", "", TEXT(certifications[[#This Row],[ISSUE DATE]], "MMM"))</f>
        <v>Jun</v>
      </c>
      <c r="L87" s="35" t="str">
        <f>IF(certifications[[#This Row],[ISSUE DATE]]="", "", TEXT(certifications[[#This Row],[ISSUE DATE]], "YYYY"))</f>
        <v>2024</v>
      </c>
    </row>
    <row r="88" spans="1:12" s="29" customFormat="1" ht="23.95" customHeight="1" x14ac:dyDescent="0.3">
      <c r="A88" s="31"/>
      <c r="B88" s="24">
        <v>75</v>
      </c>
      <c r="C88" s="24" t="s">
        <v>117</v>
      </c>
      <c r="D88" s="24" t="s">
        <v>118</v>
      </c>
      <c r="E88" s="24" t="s">
        <v>9</v>
      </c>
      <c r="F88" s="24">
        <v>21572</v>
      </c>
      <c r="G88" s="25">
        <v>45707</v>
      </c>
      <c r="H88" s="25">
        <v>46437</v>
      </c>
      <c r="I88" s="24" t="s">
        <v>10</v>
      </c>
      <c r="J88" s="24" t="s">
        <v>19</v>
      </c>
      <c r="K88" s="24" t="str">
        <f>IF(certifications[[#This Row],[ISSUE DATE]]="", "", TEXT(certifications[[#This Row],[ISSUE DATE]], "MMM"))</f>
        <v>Feb</v>
      </c>
      <c r="L88" s="35" t="str">
        <f>IF(certifications[[#This Row],[ISSUE DATE]]="", "", TEXT(certifications[[#This Row],[ISSUE DATE]], "YYYY"))</f>
        <v>2025</v>
      </c>
    </row>
    <row r="89" spans="1:12" s="29" customFormat="1" ht="23.95" customHeight="1" x14ac:dyDescent="0.3">
      <c r="A89" s="31"/>
      <c r="B89" s="24">
        <v>76</v>
      </c>
      <c r="C89" s="24" t="s">
        <v>119</v>
      </c>
      <c r="D89" s="24" t="s">
        <v>48</v>
      </c>
      <c r="E89" s="24" t="s">
        <v>9</v>
      </c>
      <c r="F89" s="24">
        <v>16119</v>
      </c>
      <c r="G89" s="25">
        <v>44280</v>
      </c>
      <c r="H89" s="25">
        <v>46471</v>
      </c>
      <c r="I89" s="24" t="s">
        <v>10</v>
      </c>
      <c r="J89" s="24" t="s">
        <v>38</v>
      </c>
      <c r="K89" s="24" t="str">
        <f>IF(certifications[[#This Row],[ISSUE DATE]]="", "", TEXT(certifications[[#This Row],[ISSUE DATE]], "MMM"))</f>
        <v>Mar</v>
      </c>
      <c r="L89" s="35" t="str">
        <f>IF(certifications[[#This Row],[ISSUE DATE]]="", "", TEXT(certifications[[#This Row],[ISSUE DATE]], "YYYY"))</f>
        <v>2021</v>
      </c>
    </row>
    <row r="90" spans="1:12" s="29" customFormat="1" ht="23.95" customHeight="1" x14ac:dyDescent="0.3">
      <c r="A90" s="31"/>
      <c r="B90" s="24">
        <v>77</v>
      </c>
      <c r="C90" s="24" t="s">
        <v>120</v>
      </c>
      <c r="D90" s="24" t="s">
        <v>32</v>
      </c>
      <c r="E90" s="24" t="s">
        <v>9</v>
      </c>
      <c r="F90" s="24">
        <v>20503</v>
      </c>
      <c r="G90" s="25">
        <v>45469</v>
      </c>
      <c r="H90" s="25">
        <v>46199</v>
      </c>
      <c r="I90" s="24" t="s">
        <v>10</v>
      </c>
      <c r="J90" s="24" t="s">
        <v>33</v>
      </c>
      <c r="K90" s="24" t="str">
        <f>IF(certifications[[#This Row],[ISSUE DATE]]="", "", TEXT(certifications[[#This Row],[ISSUE DATE]], "MMM"))</f>
        <v>Jun</v>
      </c>
      <c r="L90" s="35" t="str">
        <f>IF(certifications[[#This Row],[ISSUE DATE]]="", "", TEXT(certifications[[#This Row],[ISSUE DATE]], "YYYY"))</f>
        <v>2024</v>
      </c>
    </row>
    <row r="91" spans="1:12" s="29" customFormat="1" ht="23.95" customHeight="1" x14ac:dyDescent="0.3">
      <c r="A91" s="31"/>
      <c r="B91" s="24">
        <v>78</v>
      </c>
      <c r="C91" s="24" t="s">
        <v>121</v>
      </c>
      <c r="D91" s="24" t="s">
        <v>13</v>
      </c>
      <c r="E91" s="24" t="s">
        <v>9</v>
      </c>
      <c r="F91" s="24">
        <v>16836</v>
      </c>
      <c r="G91" s="25">
        <v>44453</v>
      </c>
      <c r="H91" s="25">
        <v>45914</v>
      </c>
      <c r="I91" s="24" t="s">
        <v>10</v>
      </c>
      <c r="J91" s="24" t="s">
        <v>14</v>
      </c>
      <c r="K91" s="24" t="str">
        <f>IF(certifications[[#This Row],[ISSUE DATE]]="", "", TEXT(certifications[[#This Row],[ISSUE DATE]], "MMM"))</f>
        <v>Sep</v>
      </c>
      <c r="L91" s="35" t="str">
        <f>IF(certifications[[#This Row],[ISSUE DATE]]="", "", TEXT(certifications[[#This Row],[ISSUE DATE]], "YYYY"))</f>
        <v>2021</v>
      </c>
    </row>
    <row r="92" spans="1:12" s="29" customFormat="1" ht="23.95" customHeight="1" x14ac:dyDescent="0.3">
      <c r="A92" s="31"/>
      <c r="B92" s="24">
        <v>79</v>
      </c>
      <c r="C92" s="24" t="s">
        <v>122</v>
      </c>
      <c r="D92" s="24" t="s">
        <v>32</v>
      </c>
      <c r="E92" s="24" t="s">
        <v>26</v>
      </c>
      <c r="F92" s="24">
        <v>16676</v>
      </c>
      <c r="G92" s="25">
        <v>44392</v>
      </c>
      <c r="H92" s="25">
        <v>45122</v>
      </c>
      <c r="I92" s="24" t="s">
        <v>16</v>
      </c>
      <c r="J92" s="24" t="s">
        <v>33</v>
      </c>
      <c r="K92" s="24" t="str">
        <f>IF(certifications[[#This Row],[ISSUE DATE]]="", "", TEXT(certifications[[#This Row],[ISSUE DATE]], "MMM"))</f>
        <v>Jul</v>
      </c>
      <c r="L92" s="35" t="str">
        <f>IF(certifications[[#This Row],[ISSUE DATE]]="", "", TEXT(certifications[[#This Row],[ISSUE DATE]], "YYYY"))</f>
        <v>2021</v>
      </c>
    </row>
    <row r="93" spans="1:12" s="29" customFormat="1" ht="23.95" customHeight="1" x14ac:dyDescent="0.3">
      <c r="A93" s="31"/>
      <c r="B93" s="24">
        <v>80</v>
      </c>
      <c r="C93" s="24" t="s">
        <v>123</v>
      </c>
      <c r="D93" s="24" t="s">
        <v>32</v>
      </c>
      <c r="E93" s="24" t="s">
        <v>9</v>
      </c>
      <c r="F93" s="24">
        <v>8563</v>
      </c>
      <c r="G93" s="25">
        <v>41485</v>
      </c>
      <c r="H93" s="25">
        <v>42215</v>
      </c>
      <c r="I93" s="24" t="s">
        <v>16</v>
      </c>
      <c r="J93" s="24" t="s">
        <v>33</v>
      </c>
      <c r="K93" s="24" t="str">
        <f>IF(certifications[[#This Row],[ISSUE DATE]]="", "", TEXT(certifications[[#This Row],[ISSUE DATE]], "MMM"))</f>
        <v>Jul</v>
      </c>
      <c r="L93" s="35" t="str">
        <f>IF(certifications[[#This Row],[ISSUE DATE]]="", "", TEXT(certifications[[#This Row],[ISSUE DATE]], "YYYY"))</f>
        <v>2013</v>
      </c>
    </row>
    <row r="94" spans="1:12" s="29" customFormat="1" ht="23.95" customHeight="1" x14ac:dyDescent="0.3">
      <c r="A94" s="31"/>
      <c r="B94" s="24">
        <v>81</v>
      </c>
      <c r="C94" s="24" t="s">
        <v>124</v>
      </c>
      <c r="D94" s="24" t="s">
        <v>13</v>
      </c>
      <c r="E94" s="24" t="s">
        <v>9</v>
      </c>
      <c r="F94" s="24">
        <v>11824</v>
      </c>
      <c r="G94" s="25">
        <v>43279</v>
      </c>
      <c r="H94" s="25">
        <v>44740</v>
      </c>
      <c r="I94" s="24" t="s">
        <v>16</v>
      </c>
      <c r="J94" s="24" t="s">
        <v>14</v>
      </c>
      <c r="K94" s="24" t="str">
        <f>IF(certifications[[#This Row],[ISSUE DATE]]="", "", TEXT(certifications[[#This Row],[ISSUE DATE]], "MMM"))</f>
        <v>Jun</v>
      </c>
      <c r="L94" s="35" t="str">
        <f>IF(certifications[[#This Row],[ISSUE DATE]]="", "", TEXT(certifications[[#This Row],[ISSUE DATE]], "YYYY"))</f>
        <v>2018</v>
      </c>
    </row>
    <row r="95" spans="1:12" s="29" customFormat="1" ht="23.95" customHeight="1" x14ac:dyDescent="0.3">
      <c r="A95" s="31"/>
      <c r="B95" s="24">
        <v>82</v>
      </c>
      <c r="C95" s="24" t="s">
        <v>125</v>
      </c>
      <c r="D95" s="24" t="s">
        <v>126</v>
      </c>
      <c r="E95" s="24" t="s">
        <v>9</v>
      </c>
      <c r="F95" s="24">
        <v>8965</v>
      </c>
      <c r="G95" s="25">
        <v>41849</v>
      </c>
      <c r="H95" s="25">
        <v>42580</v>
      </c>
      <c r="I95" s="24" t="s">
        <v>16</v>
      </c>
      <c r="J95" s="24" t="s">
        <v>38</v>
      </c>
      <c r="K95" s="24" t="str">
        <f>IF(certifications[[#This Row],[ISSUE DATE]]="", "", TEXT(certifications[[#This Row],[ISSUE DATE]], "MMM"))</f>
        <v>Jul</v>
      </c>
      <c r="L95" s="35" t="str">
        <f>IF(certifications[[#This Row],[ISSUE DATE]]="", "", TEXT(certifications[[#This Row],[ISSUE DATE]], "YYYY"))</f>
        <v>2014</v>
      </c>
    </row>
    <row r="96" spans="1:12" s="29" customFormat="1" ht="23.95" customHeight="1" x14ac:dyDescent="0.3">
      <c r="A96" s="31"/>
      <c r="B96" s="24">
        <v>83</v>
      </c>
      <c r="C96" s="24" t="s">
        <v>127</v>
      </c>
      <c r="D96" s="24" t="s">
        <v>128</v>
      </c>
      <c r="E96" s="24" t="s">
        <v>9</v>
      </c>
      <c r="F96" s="24">
        <v>9187</v>
      </c>
      <c r="G96" s="25">
        <v>42144</v>
      </c>
      <c r="H96" s="25">
        <v>44336</v>
      </c>
      <c r="I96" s="24" t="s">
        <v>16</v>
      </c>
      <c r="J96" s="24" t="s">
        <v>14</v>
      </c>
      <c r="K96" s="24" t="str">
        <f>IF(certifications[[#This Row],[ISSUE DATE]]="", "", TEXT(certifications[[#This Row],[ISSUE DATE]], "MMM"))</f>
        <v>May</v>
      </c>
      <c r="L96" s="35" t="str">
        <f>IF(certifications[[#This Row],[ISSUE DATE]]="", "", TEXT(certifications[[#This Row],[ISSUE DATE]], "YYYY"))</f>
        <v>2015</v>
      </c>
    </row>
    <row r="97" spans="1:12" s="29" customFormat="1" ht="23.95" customHeight="1" x14ac:dyDescent="0.3">
      <c r="A97" s="31"/>
      <c r="B97" s="24">
        <v>84</v>
      </c>
      <c r="C97" s="24" t="s">
        <v>129</v>
      </c>
      <c r="D97" s="24" t="s">
        <v>13</v>
      </c>
      <c r="E97" s="24" t="s">
        <v>9</v>
      </c>
      <c r="F97" s="24">
        <v>12359</v>
      </c>
      <c r="G97" s="25">
        <v>43369</v>
      </c>
      <c r="H97" s="25">
        <v>44100</v>
      </c>
      <c r="I97" s="24" t="s">
        <v>16</v>
      </c>
      <c r="J97" s="24" t="s">
        <v>14</v>
      </c>
      <c r="K97" s="24" t="str">
        <f>IF(certifications[[#This Row],[ISSUE DATE]]="", "", TEXT(certifications[[#This Row],[ISSUE DATE]], "MMM"))</f>
        <v>Sep</v>
      </c>
      <c r="L97" s="35" t="str">
        <f>IF(certifications[[#This Row],[ISSUE DATE]]="", "", TEXT(certifications[[#This Row],[ISSUE DATE]], "YYYY"))</f>
        <v>2018</v>
      </c>
    </row>
    <row r="98" spans="1:12" s="29" customFormat="1" ht="23.95" customHeight="1" x14ac:dyDescent="0.3">
      <c r="A98" s="31"/>
      <c r="B98" s="24">
        <v>85</v>
      </c>
      <c r="C98" s="24" t="s">
        <v>130</v>
      </c>
      <c r="D98" s="24" t="s">
        <v>131</v>
      </c>
      <c r="E98" s="24" t="s">
        <v>26</v>
      </c>
      <c r="F98" s="24">
        <v>12953</v>
      </c>
      <c r="G98" s="25">
        <v>43526</v>
      </c>
      <c r="H98" s="25">
        <v>46448</v>
      </c>
      <c r="I98" s="24" t="s">
        <v>10</v>
      </c>
      <c r="J98" s="24" t="s">
        <v>38</v>
      </c>
      <c r="K98" s="24" t="str">
        <f>IF(certifications[[#This Row],[ISSUE DATE]]="", "", TEXT(certifications[[#This Row],[ISSUE DATE]], "MMM"))</f>
        <v>Mar</v>
      </c>
      <c r="L98" s="35" t="str">
        <f>IF(certifications[[#This Row],[ISSUE DATE]]="", "", TEXT(certifications[[#This Row],[ISSUE DATE]], "YYYY"))</f>
        <v>2019</v>
      </c>
    </row>
    <row r="99" spans="1:12" s="29" customFormat="1" ht="23.95" customHeight="1" x14ac:dyDescent="0.3">
      <c r="A99" s="31"/>
      <c r="B99" s="24">
        <v>86</v>
      </c>
      <c r="C99" s="24" t="s">
        <v>132</v>
      </c>
      <c r="D99" s="24" t="s">
        <v>133</v>
      </c>
      <c r="E99" s="24" t="s">
        <v>9</v>
      </c>
      <c r="F99" s="24">
        <v>7649</v>
      </c>
      <c r="G99" s="25">
        <v>40459</v>
      </c>
      <c r="H99" s="25">
        <v>44842</v>
      </c>
      <c r="I99" s="24" t="s">
        <v>16</v>
      </c>
      <c r="J99" s="24" t="s">
        <v>14</v>
      </c>
      <c r="K99" s="24" t="str">
        <f>IF(certifications[[#This Row],[ISSUE DATE]]="", "", TEXT(certifications[[#This Row],[ISSUE DATE]], "MMM"))</f>
        <v>Oct</v>
      </c>
      <c r="L99" s="35" t="str">
        <f>IF(certifications[[#This Row],[ISSUE DATE]]="", "", TEXT(certifications[[#This Row],[ISSUE DATE]], "YYYY"))</f>
        <v>2010</v>
      </c>
    </row>
    <row r="100" spans="1:12" s="29" customFormat="1" ht="23.95" customHeight="1" x14ac:dyDescent="0.3">
      <c r="A100" s="31"/>
      <c r="B100" s="24">
        <v>87</v>
      </c>
      <c r="C100" s="24" t="s">
        <v>134</v>
      </c>
      <c r="D100" s="24" t="s">
        <v>13</v>
      </c>
      <c r="E100" s="24" t="s">
        <v>9</v>
      </c>
      <c r="F100" s="24">
        <v>11831</v>
      </c>
      <c r="G100" s="25">
        <v>43279</v>
      </c>
      <c r="H100" s="25">
        <v>44010</v>
      </c>
      <c r="I100" s="24" t="s">
        <v>16</v>
      </c>
      <c r="J100" s="24" t="s">
        <v>14</v>
      </c>
      <c r="K100" s="24" t="str">
        <f>IF(certifications[[#This Row],[ISSUE DATE]]="", "", TEXT(certifications[[#This Row],[ISSUE DATE]], "MMM"))</f>
        <v>Jun</v>
      </c>
      <c r="L100" s="35" t="str">
        <f>IF(certifications[[#This Row],[ISSUE DATE]]="", "", TEXT(certifications[[#This Row],[ISSUE DATE]], "YYYY"))</f>
        <v>2018</v>
      </c>
    </row>
    <row r="101" spans="1:12" s="29" customFormat="1" ht="23.95" customHeight="1" x14ac:dyDescent="0.3">
      <c r="A101" s="31"/>
      <c r="B101" s="24">
        <v>88</v>
      </c>
      <c r="C101" s="24" t="s">
        <v>135</v>
      </c>
      <c r="D101" s="24" t="s">
        <v>131</v>
      </c>
      <c r="E101" s="24" t="s">
        <v>9</v>
      </c>
      <c r="F101" s="24">
        <v>10169</v>
      </c>
      <c r="G101" s="25">
        <v>42899</v>
      </c>
      <c r="H101" s="25">
        <v>44360</v>
      </c>
      <c r="I101" s="24" t="s">
        <v>16</v>
      </c>
      <c r="J101" s="24" t="s">
        <v>38</v>
      </c>
      <c r="K101" s="24" t="str">
        <f>IF(certifications[[#This Row],[ISSUE DATE]]="", "", TEXT(certifications[[#This Row],[ISSUE DATE]], "MMM"))</f>
        <v>Jun</v>
      </c>
      <c r="L101" s="35" t="str">
        <f>IF(certifications[[#This Row],[ISSUE DATE]]="", "", TEXT(certifications[[#This Row],[ISSUE DATE]], "YYYY"))</f>
        <v>2017</v>
      </c>
    </row>
    <row r="102" spans="1:12" s="29" customFormat="1" ht="23.95" customHeight="1" x14ac:dyDescent="0.3">
      <c r="A102" s="31"/>
      <c r="B102" s="24">
        <v>89</v>
      </c>
      <c r="C102" s="24" t="s">
        <v>135</v>
      </c>
      <c r="D102" s="24" t="s">
        <v>131</v>
      </c>
      <c r="E102" s="24" t="s">
        <v>26</v>
      </c>
      <c r="F102" s="24">
        <v>10169</v>
      </c>
      <c r="G102" s="25">
        <v>43586</v>
      </c>
      <c r="H102" s="25">
        <v>44317</v>
      </c>
      <c r="I102" s="24" t="s">
        <v>16</v>
      </c>
      <c r="J102" s="24" t="s">
        <v>38</v>
      </c>
      <c r="K102" s="24" t="str">
        <f>IF(certifications[[#This Row],[ISSUE DATE]]="", "", TEXT(certifications[[#This Row],[ISSUE DATE]], "MMM"))</f>
        <v>May</v>
      </c>
      <c r="L102" s="35" t="str">
        <f>IF(certifications[[#This Row],[ISSUE DATE]]="", "", TEXT(certifications[[#This Row],[ISSUE DATE]], "YYYY"))</f>
        <v>2019</v>
      </c>
    </row>
    <row r="103" spans="1:12" s="29" customFormat="1" ht="23.95" customHeight="1" x14ac:dyDescent="0.3">
      <c r="A103" s="31"/>
      <c r="B103" s="24">
        <v>90</v>
      </c>
      <c r="C103" s="24" t="s">
        <v>136</v>
      </c>
      <c r="D103" s="24" t="s">
        <v>13</v>
      </c>
      <c r="E103" s="24" t="s">
        <v>9</v>
      </c>
      <c r="F103" s="24">
        <v>9877</v>
      </c>
      <c r="G103" s="25">
        <v>42670</v>
      </c>
      <c r="H103" s="25">
        <v>44131</v>
      </c>
      <c r="I103" s="24" t="s">
        <v>16</v>
      </c>
      <c r="J103" s="24" t="s">
        <v>14</v>
      </c>
      <c r="K103" s="24" t="str">
        <f>IF(certifications[[#This Row],[ISSUE DATE]]="", "", TEXT(certifications[[#This Row],[ISSUE DATE]], "MMM"))</f>
        <v>Oct</v>
      </c>
      <c r="L103" s="35" t="str">
        <f>IF(certifications[[#This Row],[ISSUE DATE]]="", "", TEXT(certifications[[#This Row],[ISSUE DATE]], "YYYY"))</f>
        <v>2016</v>
      </c>
    </row>
    <row r="104" spans="1:12" s="29" customFormat="1" ht="23.95" customHeight="1" x14ac:dyDescent="0.3">
      <c r="A104" s="31"/>
      <c r="B104" s="24">
        <v>91</v>
      </c>
      <c r="C104" s="24" t="s">
        <v>137</v>
      </c>
      <c r="D104" s="24" t="s">
        <v>18</v>
      </c>
      <c r="E104" s="24" t="s">
        <v>9</v>
      </c>
      <c r="F104" s="24">
        <v>10163</v>
      </c>
      <c r="G104" s="25">
        <v>42899</v>
      </c>
      <c r="H104" s="25">
        <v>45090</v>
      </c>
      <c r="I104" s="24" t="s">
        <v>16</v>
      </c>
      <c r="J104" s="24" t="s">
        <v>19</v>
      </c>
      <c r="K104" s="24" t="str">
        <f>IF(certifications[[#This Row],[ISSUE DATE]]="", "", TEXT(certifications[[#This Row],[ISSUE DATE]], "MMM"))</f>
        <v>Jun</v>
      </c>
      <c r="L104" s="35" t="str">
        <f>IF(certifications[[#This Row],[ISSUE DATE]]="", "", TEXT(certifications[[#This Row],[ISSUE DATE]], "YYYY"))</f>
        <v>2017</v>
      </c>
    </row>
    <row r="105" spans="1:12" s="29" customFormat="1" ht="23.95" customHeight="1" x14ac:dyDescent="0.3">
      <c r="A105" s="31"/>
      <c r="B105" s="24">
        <v>92</v>
      </c>
      <c r="C105" s="24" t="s">
        <v>138</v>
      </c>
      <c r="D105" s="24" t="s">
        <v>139</v>
      </c>
      <c r="E105" s="24" t="s">
        <v>9</v>
      </c>
      <c r="F105" s="24">
        <v>8552</v>
      </c>
      <c r="G105" s="25">
        <v>41485</v>
      </c>
      <c r="H105" s="25">
        <v>42215</v>
      </c>
      <c r="I105" s="24" t="s">
        <v>16</v>
      </c>
      <c r="J105" s="24" t="s">
        <v>38</v>
      </c>
      <c r="K105" s="24" t="str">
        <f>IF(certifications[[#This Row],[ISSUE DATE]]="", "", TEXT(certifications[[#This Row],[ISSUE DATE]], "MMM"))</f>
        <v>Jul</v>
      </c>
      <c r="L105" s="35" t="str">
        <f>IF(certifications[[#This Row],[ISSUE DATE]]="", "", TEXT(certifications[[#This Row],[ISSUE DATE]], "YYYY"))</f>
        <v>2013</v>
      </c>
    </row>
    <row r="106" spans="1:12" s="29" customFormat="1" ht="23.95" customHeight="1" x14ac:dyDescent="0.3">
      <c r="A106" s="31"/>
      <c r="B106" s="24">
        <v>93</v>
      </c>
      <c r="C106" s="24" t="s">
        <v>140</v>
      </c>
      <c r="D106" s="24" t="s">
        <v>141</v>
      </c>
      <c r="E106" s="24" t="s">
        <v>9</v>
      </c>
      <c r="F106" s="24">
        <v>10250</v>
      </c>
      <c r="G106" s="25">
        <v>42908</v>
      </c>
      <c r="H106" s="25">
        <v>43638</v>
      </c>
      <c r="I106" s="24" t="s">
        <v>16</v>
      </c>
      <c r="J106" s="24" t="s">
        <v>38</v>
      </c>
      <c r="K106" s="24" t="str">
        <f>IF(certifications[[#This Row],[ISSUE DATE]]="", "", TEXT(certifications[[#This Row],[ISSUE DATE]], "MMM"))</f>
        <v>Jun</v>
      </c>
      <c r="L106" s="35" t="str">
        <f>IF(certifications[[#This Row],[ISSUE DATE]]="", "", TEXT(certifications[[#This Row],[ISSUE DATE]], "YYYY"))</f>
        <v>2017</v>
      </c>
    </row>
    <row r="107" spans="1:12" s="29" customFormat="1" ht="23.95" customHeight="1" x14ac:dyDescent="0.3">
      <c r="A107" s="31"/>
      <c r="B107" s="24">
        <v>94</v>
      </c>
      <c r="C107" s="24" t="s">
        <v>142</v>
      </c>
      <c r="D107" s="24" t="s">
        <v>32</v>
      </c>
      <c r="E107" s="24" t="s">
        <v>9</v>
      </c>
      <c r="F107" s="24">
        <v>8936</v>
      </c>
      <c r="G107" s="25">
        <v>41817</v>
      </c>
      <c r="H107" s="25">
        <v>42548</v>
      </c>
      <c r="I107" s="24" t="s">
        <v>16</v>
      </c>
      <c r="J107" s="24" t="s">
        <v>33</v>
      </c>
      <c r="K107" s="24" t="str">
        <f>IF(certifications[[#This Row],[ISSUE DATE]]="", "", TEXT(certifications[[#This Row],[ISSUE DATE]], "MMM"))</f>
        <v>Jun</v>
      </c>
      <c r="L107" s="35" t="str">
        <f>IF(certifications[[#This Row],[ISSUE DATE]]="", "", TEXT(certifications[[#This Row],[ISSUE DATE]], "YYYY"))</f>
        <v>2014</v>
      </c>
    </row>
    <row r="108" spans="1:12" s="29" customFormat="1" ht="23.95" customHeight="1" x14ac:dyDescent="0.3">
      <c r="A108" s="31"/>
      <c r="B108" s="24">
        <v>95</v>
      </c>
      <c r="C108" s="24" t="s">
        <v>143</v>
      </c>
      <c r="D108" s="24" t="s">
        <v>32</v>
      </c>
      <c r="E108" s="24" t="s">
        <v>9</v>
      </c>
      <c r="F108" s="24">
        <v>8332</v>
      </c>
      <c r="G108" s="25">
        <v>41325</v>
      </c>
      <c r="H108" s="25">
        <v>42055</v>
      </c>
      <c r="I108" s="24" t="s">
        <v>16</v>
      </c>
      <c r="J108" s="24" t="s">
        <v>33</v>
      </c>
      <c r="K108" s="24" t="str">
        <f>IF(certifications[[#This Row],[ISSUE DATE]]="", "", TEXT(certifications[[#This Row],[ISSUE DATE]], "MMM"))</f>
        <v>Feb</v>
      </c>
      <c r="L108" s="35" t="str">
        <f>IF(certifications[[#This Row],[ISSUE DATE]]="", "", TEXT(certifications[[#This Row],[ISSUE DATE]], "YYYY"))</f>
        <v>2013</v>
      </c>
    </row>
    <row r="109" spans="1:12" s="29" customFormat="1" ht="23.95" customHeight="1" x14ac:dyDescent="0.3">
      <c r="A109" s="31"/>
      <c r="B109" s="24">
        <v>96</v>
      </c>
      <c r="C109" s="24" t="s">
        <v>144</v>
      </c>
      <c r="D109" s="24" t="s">
        <v>145</v>
      </c>
      <c r="E109" s="24" t="s">
        <v>9</v>
      </c>
      <c r="F109" s="24">
        <v>17771</v>
      </c>
      <c r="G109" s="25">
        <v>44791</v>
      </c>
      <c r="H109" s="25">
        <v>46252</v>
      </c>
      <c r="I109" s="24" t="s">
        <v>10</v>
      </c>
      <c r="J109" s="24" t="s">
        <v>14</v>
      </c>
      <c r="K109" s="24" t="str">
        <f>IF(certifications[[#This Row],[ISSUE DATE]]="", "", TEXT(certifications[[#This Row],[ISSUE DATE]], "MMM"))</f>
        <v>Aug</v>
      </c>
      <c r="L109" s="35" t="str">
        <f>IF(certifications[[#This Row],[ISSUE DATE]]="", "", TEXT(certifications[[#This Row],[ISSUE DATE]], "YYYY"))</f>
        <v>2022</v>
      </c>
    </row>
    <row r="110" spans="1:12" s="29" customFormat="1" ht="23.95" customHeight="1" x14ac:dyDescent="0.3">
      <c r="A110" s="31"/>
      <c r="B110" s="24">
        <v>97</v>
      </c>
      <c r="C110" s="24" t="s">
        <v>144</v>
      </c>
      <c r="D110" s="24" t="s">
        <v>145</v>
      </c>
      <c r="E110" s="24" t="s">
        <v>26</v>
      </c>
      <c r="F110" s="24">
        <v>17771</v>
      </c>
      <c r="G110" s="25">
        <v>45499</v>
      </c>
      <c r="H110" s="25">
        <v>46229</v>
      </c>
      <c r="I110" s="24" t="s">
        <v>10</v>
      </c>
      <c r="J110" s="24" t="s">
        <v>14</v>
      </c>
      <c r="K110" s="24" t="str">
        <f>IF(certifications[[#This Row],[ISSUE DATE]]="", "", TEXT(certifications[[#This Row],[ISSUE DATE]], "MMM"))</f>
        <v>Jul</v>
      </c>
      <c r="L110" s="35" t="str">
        <f>IF(certifications[[#This Row],[ISSUE DATE]]="", "", TEXT(certifications[[#This Row],[ISSUE DATE]], "YYYY"))</f>
        <v>2024</v>
      </c>
    </row>
    <row r="111" spans="1:12" s="29" customFormat="1" ht="23.95" customHeight="1" x14ac:dyDescent="0.3">
      <c r="A111" s="31"/>
      <c r="B111" s="24">
        <v>98</v>
      </c>
      <c r="C111" s="24" t="s">
        <v>146</v>
      </c>
      <c r="D111" s="24" t="s">
        <v>32</v>
      </c>
      <c r="E111" s="24" t="s">
        <v>9</v>
      </c>
      <c r="F111" s="24">
        <v>14422</v>
      </c>
      <c r="G111" s="25">
        <v>43697</v>
      </c>
      <c r="H111" s="25">
        <v>44428</v>
      </c>
      <c r="I111" s="24" t="s">
        <v>16</v>
      </c>
      <c r="J111" s="24" t="s">
        <v>33</v>
      </c>
      <c r="K111" s="24" t="str">
        <f>IF(certifications[[#This Row],[ISSUE DATE]]="", "", TEXT(certifications[[#This Row],[ISSUE DATE]], "MMM"))</f>
        <v>Aug</v>
      </c>
      <c r="L111" s="35" t="str">
        <f>IF(certifications[[#This Row],[ISSUE DATE]]="", "", TEXT(certifications[[#This Row],[ISSUE DATE]], "YYYY"))</f>
        <v>2019</v>
      </c>
    </row>
    <row r="112" spans="1:12" s="29" customFormat="1" ht="23.95" customHeight="1" x14ac:dyDescent="0.3">
      <c r="A112" s="31"/>
      <c r="B112" s="24">
        <v>99</v>
      </c>
      <c r="C112" s="24" t="s">
        <v>146</v>
      </c>
      <c r="D112" s="24" t="s">
        <v>32</v>
      </c>
      <c r="E112" s="24" t="s">
        <v>26</v>
      </c>
      <c r="F112" s="24">
        <v>14422</v>
      </c>
      <c r="G112" s="25">
        <v>43837</v>
      </c>
      <c r="H112" s="25">
        <v>44568</v>
      </c>
      <c r="I112" s="24" t="s">
        <v>16</v>
      </c>
      <c r="J112" s="24" t="s">
        <v>33</v>
      </c>
      <c r="K112" s="24" t="str">
        <f>IF(certifications[[#This Row],[ISSUE DATE]]="", "", TEXT(certifications[[#This Row],[ISSUE DATE]], "MMM"))</f>
        <v>Jan</v>
      </c>
      <c r="L112" s="35" t="str">
        <f>IF(certifications[[#This Row],[ISSUE DATE]]="", "", TEXT(certifications[[#This Row],[ISSUE DATE]], "YYYY"))</f>
        <v>2020</v>
      </c>
    </row>
    <row r="113" spans="1:12" s="29" customFormat="1" ht="23.95" customHeight="1" x14ac:dyDescent="0.3">
      <c r="A113" s="31"/>
      <c r="B113" s="24">
        <v>100</v>
      </c>
      <c r="C113" s="24" t="s">
        <v>147</v>
      </c>
      <c r="D113" s="24" t="s">
        <v>148</v>
      </c>
      <c r="E113" s="24" t="s">
        <v>9</v>
      </c>
      <c r="F113" s="24">
        <v>17339</v>
      </c>
      <c r="G113" s="25">
        <v>44687</v>
      </c>
      <c r="H113" s="25">
        <v>46148</v>
      </c>
      <c r="I113" s="24" t="s">
        <v>10</v>
      </c>
      <c r="J113" s="24" t="s">
        <v>14</v>
      </c>
      <c r="K113" s="24" t="str">
        <f>IF(certifications[[#This Row],[ISSUE DATE]]="", "", TEXT(certifications[[#This Row],[ISSUE DATE]], "MMM"))</f>
        <v>May</v>
      </c>
      <c r="L113" s="35" t="str">
        <f>IF(certifications[[#This Row],[ISSUE DATE]]="", "", TEXT(certifications[[#This Row],[ISSUE DATE]], "YYYY"))</f>
        <v>2022</v>
      </c>
    </row>
    <row r="114" spans="1:12" s="29" customFormat="1" ht="23.95" customHeight="1" x14ac:dyDescent="0.3">
      <c r="A114" s="31"/>
      <c r="B114" s="24">
        <v>101</v>
      </c>
      <c r="C114" s="24" t="s">
        <v>147</v>
      </c>
      <c r="D114" s="24" t="s">
        <v>148</v>
      </c>
      <c r="E114" s="24" t="s">
        <v>26</v>
      </c>
      <c r="F114" s="24">
        <v>17339</v>
      </c>
      <c r="G114" s="25">
        <v>44662</v>
      </c>
      <c r="H114" s="25">
        <v>46123</v>
      </c>
      <c r="I114" s="24" t="s">
        <v>10</v>
      </c>
      <c r="J114" s="24" t="s">
        <v>14</v>
      </c>
      <c r="K114" s="24" t="str">
        <f>IF(certifications[[#This Row],[ISSUE DATE]]="", "", TEXT(certifications[[#This Row],[ISSUE DATE]], "MMM"))</f>
        <v>Apr</v>
      </c>
      <c r="L114" s="35" t="str">
        <f>IF(certifications[[#This Row],[ISSUE DATE]]="", "", TEXT(certifications[[#This Row],[ISSUE DATE]], "YYYY"))</f>
        <v>2022</v>
      </c>
    </row>
    <row r="115" spans="1:12" s="29" customFormat="1" ht="23.95" customHeight="1" x14ac:dyDescent="0.3">
      <c r="A115" s="31"/>
      <c r="B115" s="24">
        <v>102</v>
      </c>
      <c r="C115" s="24" t="s">
        <v>149</v>
      </c>
      <c r="D115" s="24" t="s">
        <v>150</v>
      </c>
      <c r="E115" s="24" t="s">
        <v>9</v>
      </c>
      <c r="F115" s="24">
        <v>10596</v>
      </c>
      <c r="G115" s="25">
        <v>43081</v>
      </c>
      <c r="H115" s="25">
        <v>46003</v>
      </c>
      <c r="I115" s="24" t="s">
        <v>10</v>
      </c>
      <c r="J115" s="24" t="s">
        <v>14</v>
      </c>
      <c r="K115" s="24" t="str">
        <f>IF(certifications[[#This Row],[ISSUE DATE]]="", "", TEXT(certifications[[#This Row],[ISSUE DATE]], "MMM"))</f>
        <v>Dec</v>
      </c>
      <c r="L115" s="35" t="str">
        <f>IF(certifications[[#This Row],[ISSUE DATE]]="", "", TEXT(certifications[[#This Row],[ISSUE DATE]], "YYYY"))</f>
        <v>2017</v>
      </c>
    </row>
    <row r="116" spans="1:12" s="29" customFormat="1" ht="23.95" customHeight="1" x14ac:dyDescent="0.3">
      <c r="A116" s="31"/>
      <c r="B116" s="24">
        <v>103</v>
      </c>
      <c r="C116" s="24" t="s">
        <v>151</v>
      </c>
      <c r="D116" s="24" t="s">
        <v>32</v>
      </c>
      <c r="E116" s="24" t="s">
        <v>9</v>
      </c>
      <c r="F116" s="24">
        <v>8273</v>
      </c>
      <c r="G116" s="25">
        <v>41255</v>
      </c>
      <c r="H116" s="25">
        <v>42716</v>
      </c>
      <c r="I116" s="24" t="s">
        <v>16</v>
      </c>
      <c r="J116" s="24" t="s">
        <v>33</v>
      </c>
      <c r="K116" s="24" t="str">
        <f>IF(certifications[[#This Row],[ISSUE DATE]]="", "", TEXT(certifications[[#This Row],[ISSUE DATE]], "MMM"))</f>
        <v>Dec</v>
      </c>
      <c r="L116" s="35" t="str">
        <f>IF(certifications[[#This Row],[ISSUE DATE]]="", "", TEXT(certifications[[#This Row],[ISSUE DATE]], "YYYY"))</f>
        <v>2012</v>
      </c>
    </row>
    <row r="117" spans="1:12" s="29" customFormat="1" ht="23.95" customHeight="1" x14ac:dyDescent="0.3">
      <c r="A117" s="31"/>
      <c r="B117" s="24">
        <v>104</v>
      </c>
      <c r="C117" s="24" t="s">
        <v>152</v>
      </c>
      <c r="D117" s="24" t="s">
        <v>153</v>
      </c>
      <c r="E117" s="24" t="s">
        <v>9</v>
      </c>
      <c r="F117" s="24">
        <v>19953</v>
      </c>
      <c r="G117" s="25">
        <v>45352</v>
      </c>
      <c r="H117" s="25">
        <v>46082</v>
      </c>
      <c r="I117" s="24" t="s">
        <v>10</v>
      </c>
      <c r="J117" s="24" t="s">
        <v>22</v>
      </c>
      <c r="K117" s="24" t="str">
        <f>IF(certifications[[#This Row],[ISSUE DATE]]="", "", TEXT(certifications[[#This Row],[ISSUE DATE]], "MMM"))</f>
        <v>Mar</v>
      </c>
      <c r="L117" s="35" t="str">
        <f>IF(certifications[[#This Row],[ISSUE DATE]]="", "", TEXT(certifications[[#This Row],[ISSUE DATE]], "YYYY"))</f>
        <v>2024</v>
      </c>
    </row>
    <row r="118" spans="1:12" s="29" customFormat="1" ht="23.95" customHeight="1" x14ac:dyDescent="0.3">
      <c r="A118" s="31"/>
      <c r="B118" s="24">
        <v>105</v>
      </c>
      <c r="C118" s="24" t="s">
        <v>154</v>
      </c>
      <c r="D118" s="24" t="s">
        <v>155</v>
      </c>
      <c r="E118" s="24" t="s">
        <v>9</v>
      </c>
      <c r="F118" s="24">
        <v>15072</v>
      </c>
      <c r="G118" s="25">
        <v>43857</v>
      </c>
      <c r="H118" s="25">
        <v>44588</v>
      </c>
      <c r="I118" s="24" t="s">
        <v>16</v>
      </c>
      <c r="J118" s="24" t="s">
        <v>11</v>
      </c>
      <c r="K118" s="24" t="str">
        <f>IF(certifications[[#This Row],[ISSUE DATE]]="", "", TEXT(certifications[[#This Row],[ISSUE DATE]], "MMM"))</f>
        <v>Jan</v>
      </c>
      <c r="L118" s="35" t="str">
        <f>IF(certifications[[#This Row],[ISSUE DATE]]="", "", TEXT(certifications[[#This Row],[ISSUE DATE]], "YYYY"))</f>
        <v>2020</v>
      </c>
    </row>
    <row r="119" spans="1:12" s="29" customFormat="1" ht="23.95" customHeight="1" x14ac:dyDescent="0.3">
      <c r="A119" s="31"/>
      <c r="B119" s="24">
        <v>106</v>
      </c>
      <c r="C119" s="24" t="s">
        <v>156</v>
      </c>
      <c r="D119" s="24" t="s">
        <v>40</v>
      </c>
      <c r="E119" s="24" t="s">
        <v>26</v>
      </c>
      <c r="F119" s="24">
        <v>15815</v>
      </c>
      <c r="G119" s="25">
        <v>44204</v>
      </c>
      <c r="H119" s="25">
        <v>44934</v>
      </c>
      <c r="I119" s="24" t="s">
        <v>16</v>
      </c>
      <c r="J119" s="24" t="s">
        <v>25</v>
      </c>
      <c r="K119" s="24" t="str">
        <f>IF(certifications[[#This Row],[ISSUE DATE]]="", "", TEXT(certifications[[#This Row],[ISSUE DATE]], "MMM"))</f>
        <v>Jan</v>
      </c>
      <c r="L119" s="35" t="str">
        <f>IF(certifications[[#This Row],[ISSUE DATE]]="", "", TEXT(certifications[[#This Row],[ISSUE DATE]], "YYYY"))</f>
        <v>2021</v>
      </c>
    </row>
    <row r="120" spans="1:12" s="29" customFormat="1" ht="23.95" customHeight="1" x14ac:dyDescent="0.3">
      <c r="A120" s="31"/>
      <c r="B120" s="24">
        <v>107</v>
      </c>
      <c r="C120" s="24" t="s">
        <v>157</v>
      </c>
      <c r="D120" s="24" t="s">
        <v>158</v>
      </c>
      <c r="E120" s="24" t="s">
        <v>9</v>
      </c>
      <c r="F120" s="24">
        <v>8391</v>
      </c>
      <c r="G120" s="25">
        <v>41393</v>
      </c>
      <c r="H120" s="25">
        <v>44315</v>
      </c>
      <c r="I120" s="24" t="s">
        <v>16</v>
      </c>
      <c r="J120" s="24" t="s">
        <v>30</v>
      </c>
      <c r="K120" s="24" t="str">
        <f>IF(certifications[[#This Row],[ISSUE DATE]]="", "", TEXT(certifications[[#This Row],[ISSUE DATE]], "MMM"))</f>
        <v>Apr</v>
      </c>
      <c r="L120" s="35" t="str">
        <f>IF(certifications[[#This Row],[ISSUE DATE]]="", "", TEXT(certifications[[#This Row],[ISSUE DATE]], "YYYY"))</f>
        <v>2013</v>
      </c>
    </row>
    <row r="121" spans="1:12" s="29" customFormat="1" ht="23.95" customHeight="1" x14ac:dyDescent="0.3">
      <c r="A121" s="31"/>
      <c r="B121" s="24">
        <v>108</v>
      </c>
      <c r="C121" s="24" t="s">
        <v>159</v>
      </c>
      <c r="D121" s="24" t="s">
        <v>160</v>
      </c>
      <c r="E121" s="24" t="s">
        <v>9</v>
      </c>
      <c r="F121" s="24">
        <v>8050</v>
      </c>
      <c r="G121" s="25">
        <v>43059</v>
      </c>
      <c r="H121" s="25">
        <v>43789</v>
      </c>
      <c r="I121" s="24" t="s">
        <v>16</v>
      </c>
      <c r="J121" s="24" t="s">
        <v>14</v>
      </c>
      <c r="K121" s="24" t="str">
        <f>IF(certifications[[#This Row],[ISSUE DATE]]="", "", TEXT(certifications[[#This Row],[ISSUE DATE]], "MMM"))</f>
        <v>Nov</v>
      </c>
      <c r="L121" s="35" t="str">
        <f>IF(certifications[[#This Row],[ISSUE DATE]]="", "", TEXT(certifications[[#This Row],[ISSUE DATE]], "YYYY"))</f>
        <v>2017</v>
      </c>
    </row>
    <row r="122" spans="1:12" s="29" customFormat="1" ht="23.95" customHeight="1" x14ac:dyDescent="0.3">
      <c r="A122" s="31"/>
      <c r="B122" s="24">
        <v>109</v>
      </c>
      <c r="C122" s="24" t="s">
        <v>161</v>
      </c>
      <c r="D122" s="24" t="s">
        <v>18</v>
      </c>
      <c r="E122" s="24" t="s">
        <v>9</v>
      </c>
      <c r="F122" s="24">
        <v>12727</v>
      </c>
      <c r="G122" s="25">
        <v>43479</v>
      </c>
      <c r="H122" s="25">
        <v>44940</v>
      </c>
      <c r="I122" s="24" t="s">
        <v>16</v>
      </c>
      <c r="J122" s="24" t="s">
        <v>19</v>
      </c>
      <c r="K122" s="24" t="str">
        <f>IF(certifications[[#This Row],[ISSUE DATE]]="", "", TEXT(certifications[[#This Row],[ISSUE DATE]], "MMM"))</f>
        <v>Jan</v>
      </c>
      <c r="L122" s="35" t="str">
        <f>IF(certifications[[#This Row],[ISSUE DATE]]="", "", TEXT(certifications[[#This Row],[ISSUE DATE]], "YYYY"))</f>
        <v>2019</v>
      </c>
    </row>
    <row r="123" spans="1:12" s="29" customFormat="1" ht="23.95" customHeight="1" x14ac:dyDescent="0.3">
      <c r="A123" s="31"/>
      <c r="B123" s="24">
        <v>110</v>
      </c>
      <c r="C123" s="24" t="s">
        <v>162</v>
      </c>
      <c r="D123" s="24" t="s">
        <v>29</v>
      </c>
      <c r="E123" s="24" t="s">
        <v>9</v>
      </c>
      <c r="F123" s="24">
        <v>15343</v>
      </c>
      <c r="G123" s="25">
        <v>44041</v>
      </c>
      <c r="H123" s="25">
        <v>45502</v>
      </c>
      <c r="I123" s="24" t="s">
        <v>82</v>
      </c>
      <c r="J123" s="24" t="s">
        <v>30</v>
      </c>
      <c r="K123" s="24" t="str">
        <f>IF(certifications[[#This Row],[ISSUE DATE]]="", "", TEXT(certifications[[#This Row],[ISSUE DATE]], "MMM"))</f>
        <v>Jul</v>
      </c>
      <c r="L123" s="35" t="str">
        <f>IF(certifications[[#This Row],[ISSUE DATE]]="", "", TEXT(certifications[[#This Row],[ISSUE DATE]], "YYYY"))</f>
        <v>2020</v>
      </c>
    </row>
    <row r="124" spans="1:12" s="29" customFormat="1" ht="23.95" customHeight="1" x14ac:dyDescent="0.3">
      <c r="A124" s="31"/>
      <c r="B124" s="24">
        <v>111</v>
      </c>
      <c r="C124" s="24" t="s">
        <v>163</v>
      </c>
      <c r="D124" s="24" t="s">
        <v>164</v>
      </c>
      <c r="E124" s="24" t="s">
        <v>9</v>
      </c>
      <c r="F124" s="24">
        <v>12219</v>
      </c>
      <c r="G124" s="25">
        <v>43350</v>
      </c>
      <c r="H124" s="25">
        <v>44811</v>
      </c>
      <c r="I124" s="24" t="s">
        <v>16</v>
      </c>
      <c r="J124" s="24" t="s">
        <v>22</v>
      </c>
      <c r="K124" s="24" t="str">
        <f>IF(certifications[[#This Row],[ISSUE DATE]]="", "", TEXT(certifications[[#This Row],[ISSUE DATE]], "MMM"))</f>
        <v>Sep</v>
      </c>
      <c r="L124" s="35" t="str">
        <f>IF(certifications[[#This Row],[ISSUE DATE]]="", "", TEXT(certifications[[#This Row],[ISSUE DATE]], "YYYY"))</f>
        <v>2018</v>
      </c>
    </row>
    <row r="125" spans="1:12" s="29" customFormat="1" ht="23.95" customHeight="1" x14ac:dyDescent="0.3">
      <c r="A125" s="31"/>
      <c r="B125" s="24">
        <v>112</v>
      </c>
      <c r="C125" s="24" t="s">
        <v>165</v>
      </c>
      <c r="D125" s="24" t="s">
        <v>32</v>
      </c>
      <c r="E125" s="24" t="s">
        <v>9</v>
      </c>
      <c r="F125" s="24">
        <v>15295</v>
      </c>
      <c r="G125" s="25">
        <v>44012</v>
      </c>
      <c r="H125" s="25">
        <v>45473</v>
      </c>
      <c r="I125" s="24" t="s">
        <v>82</v>
      </c>
      <c r="J125" s="24" t="s">
        <v>33</v>
      </c>
      <c r="K125" s="24" t="str">
        <f>IF(certifications[[#This Row],[ISSUE DATE]]="", "", TEXT(certifications[[#This Row],[ISSUE DATE]], "MMM"))</f>
        <v>Jun</v>
      </c>
      <c r="L125" s="35" t="str">
        <f>IF(certifications[[#This Row],[ISSUE DATE]]="", "", TEXT(certifications[[#This Row],[ISSUE DATE]], "YYYY"))</f>
        <v>2020</v>
      </c>
    </row>
    <row r="126" spans="1:12" s="29" customFormat="1" ht="23.95" customHeight="1" x14ac:dyDescent="0.3">
      <c r="A126" s="31"/>
      <c r="B126" s="24">
        <v>113</v>
      </c>
      <c r="C126" s="24" t="s">
        <v>166</v>
      </c>
      <c r="D126" s="24" t="s">
        <v>167</v>
      </c>
      <c r="E126" s="24" t="s">
        <v>9</v>
      </c>
      <c r="F126" s="24">
        <v>12000</v>
      </c>
      <c r="G126" s="25">
        <v>43313</v>
      </c>
      <c r="H126" s="25">
        <v>46235</v>
      </c>
      <c r="I126" s="24" t="s">
        <v>10</v>
      </c>
      <c r="J126" s="24" t="s">
        <v>30</v>
      </c>
      <c r="K126" s="24" t="str">
        <f>IF(certifications[[#This Row],[ISSUE DATE]]="", "", TEXT(certifications[[#This Row],[ISSUE DATE]], "MMM"))</f>
        <v>Aug</v>
      </c>
      <c r="L126" s="35" t="str">
        <f>IF(certifications[[#This Row],[ISSUE DATE]]="", "", TEXT(certifications[[#This Row],[ISSUE DATE]], "YYYY"))</f>
        <v>2018</v>
      </c>
    </row>
    <row r="127" spans="1:12" s="29" customFormat="1" ht="23.95" customHeight="1" x14ac:dyDescent="0.3">
      <c r="A127" s="31"/>
      <c r="B127" s="24">
        <v>114</v>
      </c>
      <c r="C127" s="24" t="s">
        <v>168</v>
      </c>
      <c r="D127" s="24" t="s">
        <v>169</v>
      </c>
      <c r="E127" s="24" t="s">
        <v>9</v>
      </c>
      <c r="F127" s="24">
        <v>20239</v>
      </c>
      <c r="G127" s="25">
        <v>45421</v>
      </c>
      <c r="H127" s="25">
        <v>46151</v>
      </c>
      <c r="I127" s="24" t="s">
        <v>10</v>
      </c>
      <c r="J127" s="24" t="s">
        <v>14</v>
      </c>
      <c r="K127" s="24" t="str">
        <f>IF(certifications[[#This Row],[ISSUE DATE]]="", "", TEXT(certifications[[#This Row],[ISSUE DATE]], "MMM"))</f>
        <v>May</v>
      </c>
      <c r="L127" s="35" t="str">
        <f>IF(certifications[[#This Row],[ISSUE DATE]]="", "", TEXT(certifications[[#This Row],[ISSUE DATE]], "YYYY"))</f>
        <v>2024</v>
      </c>
    </row>
    <row r="128" spans="1:12" s="29" customFormat="1" ht="23.95" customHeight="1" x14ac:dyDescent="0.3">
      <c r="A128" s="31"/>
      <c r="B128" s="24">
        <v>115</v>
      </c>
      <c r="C128" s="24" t="s">
        <v>170</v>
      </c>
      <c r="D128" s="24" t="s">
        <v>171</v>
      </c>
      <c r="E128" s="24" t="s">
        <v>9</v>
      </c>
      <c r="F128" s="24">
        <v>11823</v>
      </c>
      <c r="G128" s="25">
        <v>43279</v>
      </c>
      <c r="H128" s="25">
        <v>44010</v>
      </c>
      <c r="I128" s="24" t="s">
        <v>16</v>
      </c>
      <c r="J128" s="24" t="s">
        <v>14</v>
      </c>
      <c r="K128" s="24" t="str">
        <f>IF(certifications[[#This Row],[ISSUE DATE]]="", "", TEXT(certifications[[#This Row],[ISSUE DATE]], "MMM"))</f>
        <v>Jun</v>
      </c>
      <c r="L128" s="35" t="str">
        <f>IF(certifications[[#This Row],[ISSUE DATE]]="", "", TEXT(certifications[[#This Row],[ISSUE DATE]], "YYYY"))</f>
        <v>2018</v>
      </c>
    </row>
    <row r="129" spans="1:12" s="29" customFormat="1" ht="23.95" customHeight="1" x14ac:dyDescent="0.3">
      <c r="A129" s="31"/>
      <c r="B129" s="24">
        <v>116</v>
      </c>
      <c r="C129" s="24" t="s">
        <v>172</v>
      </c>
      <c r="D129" s="24" t="s">
        <v>173</v>
      </c>
      <c r="E129" s="24" t="s">
        <v>9</v>
      </c>
      <c r="F129" s="24">
        <v>8686</v>
      </c>
      <c r="G129" s="25">
        <v>41603</v>
      </c>
      <c r="H129" s="25">
        <v>42333</v>
      </c>
      <c r="I129" s="24" t="s">
        <v>16</v>
      </c>
      <c r="J129" s="24" t="s">
        <v>11</v>
      </c>
      <c r="K129" s="24" t="str">
        <f>IF(certifications[[#This Row],[ISSUE DATE]]="", "", TEXT(certifications[[#This Row],[ISSUE DATE]], "MMM"))</f>
        <v>Nov</v>
      </c>
      <c r="L129" s="35" t="str">
        <f>IF(certifications[[#This Row],[ISSUE DATE]]="", "", TEXT(certifications[[#This Row],[ISSUE DATE]], "YYYY"))</f>
        <v>2013</v>
      </c>
    </row>
    <row r="130" spans="1:12" s="29" customFormat="1" ht="23.95" customHeight="1" x14ac:dyDescent="0.3">
      <c r="A130" s="31"/>
      <c r="B130" s="24">
        <v>117</v>
      </c>
      <c r="C130" s="24" t="s">
        <v>174</v>
      </c>
      <c r="D130" s="24" t="s">
        <v>32</v>
      </c>
      <c r="E130" s="24" t="s">
        <v>9</v>
      </c>
      <c r="F130" s="24">
        <v>15345</v>
      </c>
      <c r="G130" s="25">
        <v>44041</v>
      </c>
      <c r="H130" s="25">
        <v>44771</v>
      </c>
      <c r="I130" s="24" t="s">
        <v>16</v>
      </c>
      <c r="J130" s="24" t="s">
        <v>33</v>
      </c>
      <c r="K130" s="24" t="str">
        <f>IF(certifications[[#This Row],[ISSUE DATE]]="", "", TEXT(certifications[[#This Row],[ISSUE DATE]], "MMM"))</f>
        <v>Jul</v>
      </c>
      <c r="L130" s="35" t="str">
        <f>IF(certifications[[#This Row],[ISSUE DATE]]="", "", TEXT(certifications[[#This Row],[ISSUE DATE]], "YYYY"))</f>
        <v>2020</v>
      </c>
    </row>
    <row r="131" spans="1:12" s="29" customFormat="1" ht="23.95" customHeight="1" x14ac:dyDescent="0.3">
      <c r="A131" s="31"/>
      <c r="B131" s="24">
        <v>118</v>
      </c>
      <c r="C131" s="24" t="s">
        <v>175</v>
      </c>
      <c r="D131" s="24" t="s">
        <v>176</v>
      </c>
      <c r="E131" s="24" t="s">
        <v>9</v>
      </c>
      <c r="F131" s="24">
        <v>18741</v>
      </c>
      <c r="G131" s="25">
        <v>45094</v>
      </c>
      <c r="H131" s="25">
        <v>45825</v>
      </c>
      <c r="I131" s="24" t="s">
        <v>82</v>
      </c>
      <c r="J131" s="24" t="s">
        <v>30</v>
      </c>
      <c r="K131" s="24" t="str">
        <f>IF(certifications[[#This Row],[ISSUE DATE]]="", "", TEXT(certifications[[#This Row],[ISSUE DATE]], "MMM"))</f>
        <v>Jun</v>
      </c>
      <c r="L131" s="35" t="str">
        <f>IF(certifications[[#This Row],[ISSUE DATE]]="", "", TEXT(certifications[[#This Row],[ISSUE DATE]], "YYYY"))</f>
        <v>2023</v>
      </c>
    </row>
    <row r="132" spans="1:12" s="29" customFormat="1" ht="23.95" customHeight="1" x14ac:dyDescent="0.3">
      <c r="A132" s="31"/>
      <c r="B132" s="24">
        <v>119</v>
      </c>
      <c r="C132" s="24" t="s">
        <v>177</v>
      </c>
      <c r="D132" s="24" t="s">
        <v>155</v>
      </c>
      <c r="E132" s="24" t="s">
        <v>9</v>
      </c>
      <c r="F132" s="24">
        <v>10511</v>
      </c>
      <c r="G132" s="25">
        <v>45792</v>
      </c>
      <c r="H132" s="25">
        <v>46522</v>
      </c>
      <c r="I132" s="24" t="s">
        <v>10</v>
      </c>
      <c r="J132" s="24" t="s">
        <v>11</v>
      </c>
      <c r="K132" s="24" t="str">
        <f>IF(certifications[[#This Row],[ISSUE DATE]]="", "", TEXT(certifications[[#This Row],[ISSUE DATE]], "MMM"))</f>
        <v>May</v>
      </c>
      <c r="L132" s="35" t="str">
        <f>IF(certifications[[#This Row],[ISSUE DATE]]="", "", TEXT(certifications[[#This Row],[ISSUE DATE]], "YYYY"))</f>
        <v>2025</v>
      </c>
    </row>
    <row r="133" spans="1:12" s="29" customFormat="1" ht="23.95" customHeight="1" x14ac:dyDescent="0.3">
      <c r="A133" s="31"/>
      <c r="B133" s="24">
        <v>120</v>
      </c>
      <c r="C133" s="24" t="s">
        <v>178</v>
      </c>
      <c r="D133" s="24" t="s">
        <v>179</v>
      </c>
      <c r="E133" s="24" t="s">
        <v>9</v>
      </c>
      <c r="F133" s="24">
        <v>8821</v>
      </c>
      <c r="G133" s="25">
        <v>41746</v>
      </c>
      <c r="H133" s="25">
        <v>44668</v>
      </c>
      <c r="I133" s="24" t="s">
        <v>16</v>
      </c>
      <c r="J133" s="24" t="s">
        <v>14</v>
      </c>
      <c r="K133" s="24" t="str">
        <f>IF(certifications[[#This Row],[ISSUE DATE]]="", "", TEXT(certifications[[#This Row],[ISSUE DATE]], "MMM"))</f>
        <v>Apr</v>
      </c>
      <c r="L133" s="35" t="str">
        <f>IF(certifications[[#This Row],[ISSUE DATE]]="", "", TEXT(certifications[[#This Row],[ISSUE DATE]], "YYYY"))</f>
        <v>2014</v>
      </c>
    </row>
    <row r="134" spans="1:12" s="29" customFormat="1" ht="23.95" customHeight="1" x14ac:dyDescent="0.3">
      <c r="A134" s="31"/>
      <c r="B134" s="24">
        <v>121</v>
      </c>
      <c r="C134" s="24" t="s">
        <v>178</v>
      </c>
      <c r="D134" s="24" t="s">
        <v>179</v>
      </c>
      <c r="E134" s="24" t="s">
        <v>26</v>
      </c>
      <c r="F134" s="24">
        <v>8821</v>
      </c>
      <c r="G134" s="25">
        <v>44172</v>
      </c>
      <c r="H134" s="25">
        <v>44902</v>
      </c>
      <c r="I134" s="24" t="s">
        <v>16</v>
      </c>
      <c r="J134" s="24" t="s">
        <v>14</v>
      </c>
      <c r="K134" s="24" t="str">
        <f>IF(certifications[[#This Row],[ISSUE DATE]]="", "", TEXT(certifications[[#This Row],[ISSUE DATE]], "MMM"))</f>
        <v>Dec</v>
      </c>
      <c r="L134" s="35" t="str">
        <f>IF(certifications[[#This Row],[ISSUE DATE]]="", "", TEXT(certifications[[#This Row],[ISSUE DATE]], "YYYY"))</f>
        <v>2020</v>
      </c>
    </row>
    <row r="135" spans="1:12" s="29" customFormat="1" ht="23.95" customHeight="1" x14ac:dyDescent="0.3">
      <c r="A135" s="31"/>
      <c r="B135" s="24">
        <v>122</v>
      </c>
      <c r="C135" s="24" t="s">
        <v>180</v>
      </c>
      <c r="D135" s="24" t="s">
        <v>32</v>
      </c>
      <c r="E135" s="24" t="s">
        <v>9</v>
      </c>
      <c r="F135" s="24">
        <v>10009</v>
      </c>
      <c r="G135" s="25">
        <v>42753</v>
      </c>
      <c r="H135" s="25">
        <v>43483</v>
      </c>
      <c r="I135" s="24" t="s">
        <v>16</v>
      </c>
      <c r="J135" s="24" t="s">
        <v>33</v>
      </c>
      <c r="K135" s="24" t="str">
        <f>IF(certifications[[#This Row],[ISSUE DATE]]="", "", TEXT(certifications[[#This Row],[ISSUE DATE]], "MMM"))</f>
        <v>Jan</v>
      </c>
      <c r="L135" s="35" t="str">
        <f>IF(certifications[[#This Row],[ISSUE DATE]]="", "", TEXT(certifications[[#This Row],[ISSUE DATE]], "YYYY"))</f>
        <v>2017</v>
      </c>
    </row>
    <row r="136" spans="1:12" s="29" customFormat="1" ht="23.95" customHeight="1" x14ac:dyDescent="0.3">
      <c r="A136" s="31"/>
      <c r="B136" s="24">
        <v>123</v>
      </c>
      <c r="C136" s="24" t="s">
        <v>181</v>
      </c>
      <c r="D136" s="24" t="s">
        <v>182</v>
      </c>
      <c r="E136" s="24" t="s">
        <v>9</v>
      </c>
      <c r="F136" s="24">
        <v>17047</v>
      </c>
      <c r="G136" s="25">
        <v>44545</v>
      </c>
      <c r="H136" s="25">
        <v>46006</v>
      </c>
      <c r="I136" s="24" t="s">
        <v>10</v>
      </c>
      <c r="J136" s="24" t="s">
        <v>14</v>
      </c>
      <c r="K136" s="24" t="str">
        <f>IF(certifications[[#This Row],[ISSUE DATE]]="", "", TEXT(certifications[[#This Row],[ISSUE DATE]], "MMM"))</f>
        <v>Dec</v>
      </c>
      <c r="L136" s="35" t="str">
        <f>IF(certifications[[#This Row],[ISSUE DATE]]="", "", TEXT(certifications[[#This Row],[ISSUE DATE]], "YYYY"))</f>
        <v>2021</v>
      </c>
    </row>
    <row r="137" spans="1:12" s="29" customFormat="1" ht="23.95" customHeight="1" x14ac:dyDescent="0.3">
      <c r="A137" s="31"/>
      <c r="B137" s="24">
        <v>124</v>
      </c>
      <c r="C137" s="24" t="s">
        <v>183</v>
      </c>
      <c r="D137" s="24" t="s">
        <v>80</v>
      </c>
      <c r="E137" s="24" t="s">
        <v>9</v>
      </c>
      <c r="F137" s="24">
        <v>17196</v>
      </c>
      <c r="G137" s="25">
        <v>44610</v>
      </c>
      <c r="H137" s="25">
        <v>45340</v>
      </c>
      <c r="I137" s="24" t="s">
        <v>16</v>
      </c>
      <c r="J137" s="24" t="s">
        <v>38</v>
      </c>
      <c r="K137" s="24" t="str">
        <f>IF(certifications[[#This Row],[ISSUE DATE]]="", "", TEXT(certifications[[#This Row],[ISSUE DATE]], "MMM"))</f>
        <v>Feb</v>
      </c>
      <c r="L137" s="35" t="str">
        <f>IF(certifications[[#This Row],[ISSUE DATE]]="", "", TEXT(certifications[[#This Row],[ISSUE DATE]], "YYYY"))</f>
        <v>2022</v>
      </c>
    </row>
    <row r="138" spans="1:12" s="29" customFormat="1" ht="23.95" customHeight="1" x14ac:dyDescent="0.3">
      <c r="A138" s="31"/>
      <c r="B138" s="24">
        <v>125</v>
      </c>
      <c r="C138" s="24" t="s">
        <v>184</v>
      </c>
      <c r="D138" s="24" t="s">
        <v>32</v>
      </c>
      <c r="E138" s="24" t="s">
        <v>9</v>
      </c>
      <c r="F138" s="24">
        <v>8325</v>
      </c>
      <c r="G138" s="25">
        <v>41325</v>
      </c>
      <c r="H138" s="25">
        <v>44977</v>
      </c>
      <c r="I138" s="24" t="s">
        <v>16</v>
      </c>
      <c r="J138" s="24" t="s">
        <v>33</v>
      </c>
      <c r="K138" s="24" t="str">
        <f>IF(certifications[[#This Row],[ISSUE DATE]]="", "", TEXT(certifications[[#This Row],[ISSUE DATE]], "MMM"))</f>
        <v>Feb</v>
      </c>
      <c r="L138" s="35" t="str">
        <f>IF(certifications[[#This Row],[ISSUE DATE]]="", "", TEXT(certifications[[#This Row],[ISSUE DATE]], "YYYY"))</f>
        <v>2013</v>
      </c>
    </row>
    <row r="139" spans="1:12" s="29" customFormat="1" ht="23.95" customHeight="1" x14ac:dyDescent="0.3">
      <c r="A139" s="31"/>
      <c r="B139" s="24">
        <v>126</v>
      </c>
      <c r="C139" s="24" t="s">
        <v>185</v>
      </c>
      <c r="D139" s="24" t="s">
        <v>8</v>
      </c>
      <c r="E139" s="24" t="s">
        <v>9</v>
      </c>
      <c r="F139" s="24">
        <v>16416</v>
      </c>
      <c r="G139" s="25">
        <v>44363</v>
      </c>
      <c r="H139" s="25">
        <v>45824</v>
      </c>
      <c r="I139" s="24" t="s">
        <v>82</v>
      </c>
      <c r="J139" s="24" t="s">
        <v>11</v>
      </c>
      <c r="K139" s="24" t="str">
        <f>IF(certifications[[#This Row],[ISSUE DATE]]="", "", TEXT(certifications[[#This Row],[ISSUE DATE]], "MMM"))</f>
        <v>Jun</v>
      </c>
      <c r="L139" s="35" t="str">
        <f>IF(certifications[[#This Row],[ISSUE DATE]]="", "", TEXT(certifications[[#This Row],[ISSUE DATE]], "YYYY"))</f>
        <v>2021</v>
      </c>
    </row>
    <row r="140" spans="1:12" s="29" customFormat="1" ht="23.95" customHeight="1" x14ac:dyDescent="0.3">
      <c r="A140" s="31"/>
      <c r="B140" s="24">
        <v>127</v>
      </c>
      <c r="C140" s="24" t="s">
        <v>186</v>
      </c>
      <c r="D140" s="24" t="s">
        <v>32</v>
      </c>
      <c r="E140" s="24" t="s">
        <v>9</v>
      </c>
      <c r="F140" s="24">
        <v>10373</v>
      </c>
      <c r="G140" s="25">
        <v>42986</v>
      </c>
      <c r="H140" s="25">
        <v>43716</v>
      </c>
      <c r="I140" s="24" t="s">
        <v>16</v>
      </c>
      <c r="J140" s="24" t="s">
        <v>33</v>
      </c>
      <c r="K140" s="24" t="str">
        <f>IF(certifications[[#This Row],[ISSUE DATE]]="", "", TEXT(certifications[[#This Row],[ISSUE DATE]], "MMM"))</f>
        <v>Sep</v>
      </c>
      <c r="L140" s="35" t="str">
        <f>IF(certifications[[#This Row],[ISSUE DATE]]="", "", TEXT(certifications[[#This Row],[ISSUE DATE]], "YYYY"))</f>
        <v>2017</v>
      </c>
    </row>
    <row r="141" spans="1:12" s="29" customFormat="1" ht="23.95" customHeight="1" x14ac:dyDescent="0.3">
      <c r="A141" s="31"/>
      <c r="B141" s="24">
        <v>128</v>
      </c>
      <c r="C141" s="24" t="s">
        <v>187</v>
      </c>
      <c r="D141" s="24" t="s">
        <v>29</v>
      </c>
      <c r="E141" s="24" t="s">
        <v>9</v>
      </c>
      <c r="F141" s="24">
        <v>17775</v>
      </c>
      <c r="G141" s="25">
        <v>44791</v>
      </c>
      <c r="H141" s="25">
        <v>46252</v>
      </c>
      <c r="I141" s="24" t="s">
        <v>10</v>
      </c>
      <c r="J141" s="24" t="s">
        <v>30</v>
      </c>
      <c r="K141" s="24" t="str">
        <f>IF(certifications[[#This Row],[ISSUE DATE]]="", "", TEXT(certifications[[#This Row],[ISSUE DATE]], "MMM"))</f>
        <v>Aug</v>
      </c>
      <c r="L141" s="35" t="str">
        <f>IF(certifications[[#This Row],[ISSUE DATE]]="", "", TEXT(certifications[[#This Row],[ISSUE DATE]], "YYYY"))</f>
        <v>2022</v>
      </c>
    </row>
    <row r="142" spans="1:12" s="29" customFormat="1" ht="23.95" customHeight="1" x14ac:dyDescent="0.3">
      <c r="A142" s="31"/>
      <c r="B142" s="24">
        <v>129</v>
      </c>
      <c r="C142" s="24" t="s">
        <v>188</v>
      </c>
      <c r="D142" s="24" t="s">
        <v>109</v>
      </c>
      <c r="E142" s="24" t="s">
        <v>9</v>
      </c>
      <c r="F142" s="24">
        <v>15909</v>
      </c>
      <c r="G142" s="25">
        <v>44222</v>
      </c>
      <c r="H142" s="25">
        <v>46413</v>
      </c>
      <c r="I142" s="24" t="s">
        <v>10</v>
      </c>
      <c r="J142" s="24" t="s">
        <v>38</v>
      </c>
      <c r="K142" s="24" t="str">
        <f>IF(certifications[[#This Row],[ISSUE DATE]]="", "", TEXT(certifications[[#This Row],[ISSUE DATE]], "MMM"))</f>
        <v>Jan</v>
      </c>
      <c r="L142" s="35" t="str">
        <f>IF(certifications[[#This Row],[ISSUE DATE]]="", "", TEXT(certifications[[#This Row],[ISSUE DATE]], "YYYY"))</f>
        <v>2021</v>
      </c>
    </row>
    <row r="143" spans="1:12" s="29" customFormat="1" ht="23.95" customHeight="1" x14ac:dyDescent="0.3">
      <c r="A143" s="31"/>
      <c r="B143" s="24">
        <v>130</v>
      </c>
      <c r="C143" s="24" t="s">
        <v>189</v>
      </c>
      <c r="D143" s="24" t="s">
        <v>190</v>
      </c>
      <c r="E143" s="24" t="s">
        <v>9</v>
      </c>
      <c r="F143" s="24">
        <v>7420</v>
      </c>
      <c r="G143" s="25">
        <v>44270</v>
      </c>
      <c r="H143" s="25">
        <v>46461</v>
      </c>
      <c r="I143" s="24" t="s">
        <v>10</v>
      </c>
      <c r="J143" s="24" t="s">
        <v>14</v>
      </c>
      <c r="K143" s="24" t="str">
        <f>IF(certifications[[#This Row],[ISSUE DATE]]="", "", TEXT(certifications[[#This Row],[ISSUE DATE]], "MMM"))</f>
        <v>Mar</v>
      </c>
      <c r="L143" s="35" t="str">
        <f>IF(certifications[[#This Row],[ISSUE DATE]]="", "", TEXT(certifications[[#This Row],[ISSUE DATE]], "YYYY"))</f>
        <v>2021</v>
      </c>
    </row>
    <row r="144" spans="1:12" s="29" customFormat="1" ht="23.95" customHeight="1" x14ac:dyDescent="0.3">
      <c r="A144" s="31"/>
      <c r="B144" s="24">
        <v>131</v>
      </c>
      <c r="C144" s="24" t="s">
        <v>191</v>
      </c>
      <c r="D144" s="24" t="s">
        <v>32</v>
      </c>
      <c r="E144" s="24" t="s">
        <v>9</v>
      </c>
      <c r="F144" s="24">
        <v>10780</v>
      </c>
      <c r="G144" s="25">
        <v>43272</v>
      </c>
      <c r="H144" s="25">
        <v>46194</v>
      </c>
      <c r="I144" s="24" t="s">
        <v>10</v>
      </c>
      <c r="J144" s="24" t="s">
        <v>33</v>
      </c>
      <c r="K144" s="24" t="str">
        <f>IF(certifications[[#This Row],[ISSUE DATE]]="", "", TEXT(certifications[[#This Row],[ISSUE DATE]], "MMM"))</f>
        <v>Jun</v>
      </c>
      <c r="L144" s="35" t="str">
        <f>IF(certifications[[#This Row],[ISSUE DATE]]="", "", TEXT(certifications[[#This Row],[ISSUE DATE]], "YYYY"))</f>
        <v>2018</v>
      </c>
    </row>
    <row r="145" spans="1:12" s="29" customFormat="1" ht="23.95" customHeight="1" x14ac:dyDescent="0.3">
      <c r="A145" s="31"/>
      <c r="B145" s="24">
        <v>132</v>
      </c>
      <c r="C145" s="24" t="s">
        <v>192</v>
      </c>
      <c r="D145" s="24" t="s">
        <v>99</v>
      </c>
      <c r="E145" s="24" t="s">
        <v>9</v>
      </c>
      <c r="F145" s="24">
        <v>12965</v>
      </c>
      <c r="G145" s="25">
        <v>44372</v>
      </c>
      <c r="H145" s="25">
        <v>45102</v>
      </c>
      <c r="I145" s="24" t="s">
        <v>16</v>
      </c>
      <c r="J145" s="24" t="s">
        <v>30</v>
      </c>
      <c r="K145" s="24" t="str">
        <f>IF(certifications[[#This Row],[ISSUE DATE]]="", "", TEXT(certifications[[#This Row],[ISSUE DATE]], "MMM"))</f>
        <v>Jun</v>
      </c>
      <c r="L145" s="35" t="str">
        <f>IF(certifications[[#This Row],[ISSUE DATE]]="", "", TEXT(certifications[[#This Row],[ISSUE DATE]], "YYYY"))</f>
        <v>2021</v>
      </c>
    </row>
    <row r="146" spans="1:12" s="29" customFormat="1" ht="23.95" customHeight="1" x14ac:dyDescent="0.3">
      <c r="A146" s="31"/>
      <c r="B146" s="24">
        <v>133</v>
      </c>
      <c r="C146" s="24" t="s">
        <v>193</v>
      </c>
      <c r="D146" s="24" t="s">
        <v>32</v>
      </c>
      <c r="E146" s="24" t="s">
        <v>9</v>
      </c>
      <c r="F146" s="24">
        <v>8447</v>
      </c>
      <c r="G146" s="25">
        <v>41412</v>
      </c>
      <c r="H146" s="25">
        <v>42142</v>
      </c>
      <c r="I146" s="24" t="s">
        <v>16</v>
      </c>
      <c r="J146" s="24" t="s">
        <v>33</v>
      </c>
      <c r="K146" s="24" t="str">
        <f>IF(certifications[[#This Row],[ISSUE DATE]]="", "", TEXT(certifications[[#This Row],[ISSUE DATE]], "MMM"))</f>
        <v>May</v>
      </c>
      <c r="L146" s="35" t="str">
        <f>IF(certifications[[#This Row],[ISSUE DATE]]="", "", TEXT(certifications[[#This Row],[ISSUE DATE]], "YYYY"))</f>
        <v>2013</v>
      </c>
    </row>
    <row r="147" spans="1:12" s="29" customFormat="1" ht="23.95" customHeight="1" x14ac:dyDescent="0.3">
      <c r="A147" s="31"/>
      <c r="B147" s="24">
        <v>134</v>
      </c>
      <c r="C147" s="24" t="s">
        <v>194</v>
      </c>
      <c r="D147" s="24" t="s">
        <v>158</v>
      </c>
      <c r="E147" s="24" t="s">
        <v>9</v>
      </c>
      <c r="F147" s="24">
        <v>16242</v>
      </c>
      <c r="G147" s="25">
        <v>44329</v>
      </c>
      <c r="H147" s="25">
        <v>45059</v>
      </c>
      <c r="I147" s="24" t="s">
        <v>16</v>
      </c>
      <c r="J147" s="24" t="s">
        <v>30</v>
      </c>
      <c r="K147" s="24" t="str">
        <f>IF(certifications[[#This Row],[ISSUE DATE]]="", "", TEXT(certifications[[#This Row],[ISSUE DATE]], "MMM"))</f>
        <v>May</v>
      </c>
      <c r="L147" s="35" t="str">
        <f>IF(certifications[[#This Row],[ISSUE DATE]]="", "", TEXT(certifications[[#This Row],[ISSUE DATE]], "YYYY"))</f>
        <v>2021</v>
      </c>
    </row>
    <row r="148" spans="1:12" s="29" customFormat="1" ht="23.95" customHeight="1" x14ac:dyDescent="0.3">
      <c r="A148" s="31"/>
      <c r="B148" s="24">
        <v>135</v>
      </c>
      <c r="C148" s="24" t="s">
        <v>195</v>
      </c>
      <c r="D148" s="24" t="s">
        <v>32</v>
      </c>
      <c r="E148" s="24" t="s">
        <v>9</v>
      </c>
      <c r="F148" s="24">
        <v>20851</v>
      </c>
      <c r="G148" s="25">
        <v>45553</v>
      </c>
      <c r="H148" s="25">
        <v>46283</v>
      </c>
      <c r="I148" s="24" t="s">
        <v>10</v>
      </c>
      <c r="J148" s="24" t="s">
        <v>33</v>
      </c>
      <c r="K148" s="24" t="str">
        <f>IF(certifications[[#This Row],[ISSUE DATE]]="", "", TEXT(certifications[[#This Row],[ISSUE DATE]], "MMM"))</f>
        <v>Sep</v>
      </c>
      <c r="L148" s="35" t="str">
        <f>IF(certifications[[#This Row],[ISSUE DATE]]="", "", TEXT(certifications[[#This Row],[ISSUE DATE]], "YYYY"))</f>
        <v>2024</v>
      </c>
    </row>
    <row r="149" spans="1:12" s="29" customFormat="1" ht="23.95" customHeight="1" x14ac:dyDescent="0.3">
      <c r="A149" s="31"/>
      <c r="B149" s="24">
        <v>136</v>
      </c>
      <c r="C149" s="24" t="s">
        <v>196</v>
      </c>
      <c r="D149" s="24" t="s">
        <v>46</v>
      </c>
      <c r="E149" s="24" t="s">
        <v>9</v>
      </c>
      <c r="F149" s="24">
        <v>9724</v>
      </c>
      <c r="G149" s="25">
        <v>42571</v>
      </c>
      <c r="H149" s="25">
        <v>43301</v>
      </c>
      <c r="I149" s="24" t="s">
        <v>16</v>
      </c>
      <c r="J149" s="24" t="s">
        <v>38</v>
      </c>
      <c r="K149" s="24" t="str">
        <f>IF(certifications[[#This Row],[ISSUE DATE]]="", "", TEXT(certifications[[#This Row],[ISSUE DATE]], "MMM"))</f>
        <v>Jul</v>
      </c>
      <c r="L149" s="35" t="str">
        <f>IF(certifications[[#This Row],[ISSUE DATE]]="", "", TEXT(certifications[[#This Row],[ISSUE DATE]], "YYYY"))</f>
        <v>2016</v>
      </c>
    </row>
    <row r="150" spans="1:12" s="29" customFormat="1" ht="23.95" customHeight="1" x14ac:dyDescent="0.3">
      <c r="A150" s="31"/>
      <c r="B150" s="24">
        <v>137</v>
      </c>
      <c r="C150" s="24" t="s">
        <v>197</v>
      </c>
      <c r="D150" s="24" t="s">
        <v>198</v>
      </c>
      <c r="E150" s="24" t="s">
        <v>9</v>
      </c>
      <c r="F150" s="24">
        <v>14943</v>
      </c>
      <c r="G150" s="25">
        <v>43818</v>
      </c>
      <c r="H150" s="25">
        <v>44549</v>
      </c>
      <c r="I150" s="24" t="s">
        <v>16</v>
      </c>
      <c r="J150" s="24" t="s">
        <v>38</v>
      </c>
      <c r="K150" s="24" t="str">
        <f>IF(certifications[[#This Row],[ISSUE DATE]]="", "", TEXT(certifications[[#This Row],[ISSUE DATE]], "MMM"))</f>
        <v>Dec</v>
      </c>
      <c r="L150" s="35" t="str">
        <f>IF(certifications[[#This Row],[ISSUE DATE]]="", "", TEXT(certifications[[#This Row],[ISSUE DATE]], "YYYY"))</f>
        <v>2019</v>
      </c>
    </row>
    <row r="151" spans="1:12" s="29" customFormat="1" ht="23.95" customHeight="1" x14ac:dyDescent="0.3">
      <c r="A151" s="31"/>
      <c r="B151" s="24">
        <v>138</v>
      </c>
      <c r="C151" s="24" t="s">
        <v>199</v>
      </c>
      <c r="D151" s="24" t="s">
        <v>200</v>
      </c>
      <c r="E151" s="24" t="s">
        <v>9</v>
      </c>
      <c r="F151" s="24">
        <v>11999</v>
      </c>
      <c r="G151" s="25">
        <v>43313</v>
      </c>
      <c r="H151" s="25">
        <v>45505</v>
      </c>
      <c r="I151" s="24" t="s">
        <v>82</v>
      </c>
      <c r="J151" s="24" t="s">
        <v>30</v>
      </c>
      <c r="K151" s="24" t="str">
        <f>IF(certifications[[#This Row],[ISSUE DATE]]="", "", TEXT(certifications[[#This Row],[ISSUE DATE]], "MMM"))</f>
        <v>Aug</v>
      </c>
      <c r="L151" s="35" t="str">
        <f>IF(certifications[[#This Row],[ISSUE DATE]]="", "", TEXT(certifications[[#This Row],[ISSUE DATE]], "YYYY"))</f>
        <v>2018</v>
      </c>
    </row>
    <row r="152" spans="1:12" s="29" customFormat="1" ht="23.95" customHeight="1" x14ac:dyDescent="0.3">
      <c r="A152" s="31"/>
      <c r="B152" s="24">
        <v>139</v>
      </c>
      <c r="C152" s="24" t="s">
        <v>201</v>
      </c>
      <c r="D152" s="24" t="s">
        <v>202</v>
      </c>
      <c r="E152" s="24" t="s">
        <v>9</v>
      </c>
      <c r="F152" s="24">
        <v>13715</v>
      </c>
      <c r="G152" s="25">
        <v>43640</v>
      </c>
      <c r="H152" s="25">
        <v>45832</v>
      </c>
      <c r="I152" s="24" t="s">
        <v>10</v>
      </c>
      <c r="J152" s="24" t="s">
        <v>19</v>
      </c>
      <c r="K152" s="24" t="str">
        <f>IF(certifications[[#This Row],[ISSUE DATE]]="", "", TEXT(certifications[[#This Row],[ISSUE DATE]], "MMM"))</f>
        <v>Jun</v>
      </c>
      <c r="L152" s="35" t="str">
        <f>IF(certifications[[#This Row],[ISSUE DATE]]="", "", TEXT(certifications[[#This Row],[ISSUE DATE]], "YYYY"))</f>
        <v>2019</v>
      </c>
    </row>
    <row r="153" spans="1:12" s="29" customFormat="1" ht="23.95" customHeight="1" x14ac:dyDescent="0.3">
      <c r="A153" s="31"/>
      <c r="B153" s="24">
        <v>140</v>
      </c>
      <c r="C153" s="24" t="s">
        <v>203</v>
      </c>
      <c r="D153" s="24" t="s">
        <v>32</v>
      </c>
      <c r="E153" s="24" t="s">
        <v>9</v>
      </c>
      <c r="F153" s="24">
        <v>16984</v>
      </c>
      <c r="G153" s="25">
        <v>44515</v>
      </c>
      <c r="H153" s="25">
        <v>45245</v>
      </c>
      <c r="I153" s="24" t="s">
        <v>16</v>
      </c>
      <c r="J153" s="24" t="s">
        <v>33</v>
      </c>
      <c r="K153" s="24" t="str">
        <f>IF(certifications[[#This Row],[ISSUE DATE]]="", "", TEXT(certifications[[#This Row],[ISSUE DATE]], "MMM"))</f>
        <v>Nov</v>
      </c>
      <c r="L153" s="35" t="str">
        <f>IF(certifications[[#This Row],[ISSUE DATE]]="", "", TEXT(certifications[[#This Row],[ISSUE DATE]], "YYYY"))</f>
        <v>2021</v>
      </c>
    </row>
    <row r="154" spans="1:12" s="29" customFormat="1" ht="23.95" customHeight="1" x14ac:dyDescent="0.3">
      <c r="A154" s="31"/>
      <c r="B154" s="24">
        <v>141</v>
      </c>
      <c r="C154" s="24" t="s">
        <v>204</v>
      </c>
      <c r="D154" s="24" t="s">
        <v>32</v>
      </c>
      <c r="E154" s="24" t="s">
        <v>9</v>
      </c>
      <c r="F154" s="24">
        <v>10000</v>
      </c>
      <c r="G154" s="25">
        <v>42753</v>
      </c>
      <c r="H154" s="25">
        <v>43483</v>
      </c>
      <c r="I154" s="24" t="s">
        <v>16</v>
      </c>
      <c r="J154" s="24" t="s">
        <v>33</v>
      </c>
      <c r="K154" s="24" t="str">
        <f>IF(certifications[[#This Row],[ISSUE DATE]]="", "", TEXT(certifications[[#This Row],[ISSUE DATE]], "MMM"))</f>
        <v>Jan</v>
      </c>
      <c r="L154" s="35" t="str">
        <f>IF(certifications[[#This Row],[ISSUE DATE]]="", "", TEXT(certifications[[#This Row],[ISSUE DATE]], "YYYY"))</f>
        <v>2017</v>
      </c>
    </row>
    <row r="155" spans="1:12" s="29" customFormat="1" ht="23.95" customHeight="1" x14ac:dyDescent="0.3">
      <c r="A155" s="31"/>
      <c r="B155" s="24">
        <v>142</v>
      </c>
      <c r="C155" s="24" t="s">
        <v>205</v>
      </c>
      <c r="D155" s="24" t="s">
        <v>206</v>
      </c>
      <c r="E155" s="24" t="s">
        <v>9</v>
      </c>
      <c r="F155" s="24">
        <v>14945</v>
      </c>
      <c r="G155" s="25">
        <v>43818</v>
      </c>
      <c r="H155" s="25">
        <v>46010</v>
      </c>
      <c r="I155" s="24" t="s">
        <v>10</v>
      </c>
      <c r="J155" s="24" t="s">
        <v>30</v>
      </c>
      <c r="K155" s="24" t="str">
        <f>IF(certifications[[#This Row],[ISSUE DATE]]="", "", TEXT(certifications[[#This Row],[ISSUE DATE]], "MMM"))</f>
        <v>Dec</v>
      </c>
      <c r="L155" s="35" t="str">
        <f>IF(certifications[[#This Row],[ISSUE DATE]]="", "", TEXT(certifications[[#This Row],[ISSUE DATE]], "YYYY"))</f>
        <v>2019</v>
      </c>
    </row>
    <row r="156" spans="1:12" s="29" customFormat="1" ht="23.95" customHeight="1" x14ac:dyDescent="0.3">
      <c r="A156" s="31"/>
      <c r="B156" s="24">
        <v>143</v>
      </c>
      <c r="C156" s="24" t="s">
        <v>207</v>
      </c>
      <c r="D156" s="24" t="s">
        <v>48</v>
      </c>
      <c r="E156" s="24" t="s">
        <v>9</v>
      </c>
      <c r="F156" s="24">
        <v>17186</v>
      </c>
      <c r="G156" s="25">
        <v>44608</v>
      </c>
      <c r="H156" s="25">
        <v>45338</v>
      </c>
      <c r="I156" s="24" t="s">
        <v>16</v>
      </c>
      <c r="J156" s="24" t="s">
        <v>38</v>
      </c>
      <c r="K156" s="24" t="str">
        <f>IF(certifications[[#This Row],[ISSUE DATE]]="", "", TEXT(certifications[[#This Row],[ISSUE DATE]], "MMM"))</f>
        <v>Feb</v>
      </c>
      <c r="L156" s="35" t="str">
        <f>IF(certifications[[#This Row],[ISSUE DATE]]="", "", TEXT(certifications[[#This Row],[ISSUE DATE]], "YYYY"))</f>
        <v>2022</v>
      </c>
    </row>
    <row r="157" spans="1:12" s="29" customFormat="1" ht="23.95" customHeight="1" x14ac:dyDescent="0.3">
      <c r="A157" s="31"/>
      <c r="B157" s="24">
        <v>144</v>
      </c>
      <c r="C157" s="24" t="s">
        <v>208</v>
      </c>
      <c r="D157" s="24" t="s">
        <v>13</v>
      </c>
      <c r="E157" s="24" t="s">
        <v>9</v>
      </c>
      <c r="F157" s="24">
        <v>7392</v>
      </c>
      <c r="G157" s="25">
        <v>40123</v>
      </c>
      <c r="H157" s="25">
        <v>42314</v>
      </c>
      <c r="I157" s="24" t="s">
        <v>16</v>
      </c>
      <c r="J157" s="24" t="s">
        <v>14</v>
      </c>
      <c r="K157" s="24" t="str">
        <f>IF(certifications[[#This Row],[ISSUE DATE]]="", "", TEXT(certifications[[#This Row],[ISSUE DATE]], "MMM"))</f>
        <v>Nov</v>
      </c>
      <c r="L157" s="35" t="str">
        <f>IF(certifications[[#This Row],[ISSUE DATE]]="", "", TEXT(certifications[[#This Row],[ISSUE DATE]], "YYYY"))</f>
        <v>2009</v>
      </c>
    </row>
    <row r="158" spans="1:12" s="29" customFormat="1" ht="23.95" customHeight="1" x14ac:dyDescent="0.3">
      <c r="A158" s="31"/>
      <c r="B158" s="24">
        <v>145</v>
      </c>
      <c r="C158" s="24" t="s">
        <v>209</v>
      </c>
      <c r="D158" s="24" t="s">
        <v>210</v>
      </c>
      <c r="E158" s="24" t="s">
        <v>9</v>
      </c>
      <c r="F158" s="24">
        <v>18419</v>
      </c>
      <c r="G158" s="25">
        <v>45022</v>
      </c>
      <c r="H158" s="25">
        <v>46483</v>
      </c>
      <c r="I158" s="24" t="s">
        <v>10</v>
      </c>
      <c r="J158" s="24" t="s">
        <v>19</v>
      </c>
      <c r="K158" s="24" t="str">
        <f>IF(certifications[[#This Row],[ISSUE DATE]]="", "", TEXT(certifications[[#This Row],[ISSUE DATE]], "MMM"))</f>
        <v>Apr</v>
      </c>
      <c r="L158" s="35" t="str">
        <f>IF(certifications[[#This Row],[ISSUE DATE]]="", "", TEXT(certifications[[#This Row],[ISSUE DATE]], "YYYY"))</f>
        <v>2023</v>
      </c>
    </row>
    <row r="159" spans="1:12" s="29" customFormat="1" ht="23.95" customHeight="1" x14ac:dyDescent="0.3">
      <c r="A159" s="31"/>
      <c r="B159" s="24">
        <v>146</v>
      </c>
      <c r="C159" s="24" t="s">
        <v>209</v>
      </c>
      <c r="D159" s="24" t="s">
        <v>210</v>
      </c>
      <c r="E159" s="24" t="s">
        <v>26</v>
      </c>
      <c r="F159" s="24">
        <v>18419</v>
      </c>
      <c r="G159" s="25">
        <v>44999</v>
      </c>
      <c r="H159" s="25">
        <v>46460</v>
      </c>
      <c r="I159" s="24" t="s">
        <v>10</v>
      </c>
      <c r="J159" s="24" t="s">
        <v>19</v>
      </c>
      <c r="K159" s="24" t="str">
        <f>IF(certifications[[#This Row],[ISSUE DATE]]="", "", TEXT(certifications[[#This Row],[ISSUE DATE]], "MMM"))</f>
        <v>Mar</v>
      </c>
      <c r="L159" s="35" t="str">
        <f>IF(certifications[[#This Row],[ISSUE DATE]]="", "", TEXT(certifications[[#This Row],[ISSUE DATE]], "YYYY"))</f>
        <v>2023</v>
      </c>
    </row>
    <row r="160" spans="1:12" s="29" customFormat="1" ht="23.95" customHeight="1" x14ac:dyDescent="0.3">
      <c r="A160" s="31"/>
      <c r="B160" s="24">
        <v>147</v>
      </c>
      <c r="C160" s="24" t="s">
        <v>211</v>
      </c>
      <c r="D160" s="24" t="s">
        <v>46</v>
      </c>
      <c r="E160" s="24" t="s">
        <v>9</v>
      </c>
      <c r="F160" s="24">
        <v>8274</v>
      </c>
      <c r="G160" s="25">
        <v>41255</v>
      </c>
      <c r="H160" s="25">
        <v>41985</v>
      </c>
      <c r="I160" s="24" t="s">
        <v>16</v>
      </c>
      <c r="J160" s="24" t="s">
        <v>38</v>
      </c>
      <c r="K160" s="24" t="str">
        <f>IF(certifications[[#This Row],[ISSUE DATE]]="", "", TEXT(certifications[[#This Row],[ISSUE DATE]], "MMM"))</f>
        <v>Dec</v>
      </c>
      <c r="L160" s="35" t="str">
        <f>IF(certifications[[#This Row],[ISSUE DATE]]="", "", TEXT(certifications[[#This Row],[ISSUE DATE]], "YYYY"))</f>
        <v>2012</v>
      </c>
    </row>
    <row r="161" spans="1:12" s="29" customFormat="1" ht="23.95" customHeight="1" x14ac:dyDescent="0.3">
      <c r="A161" s="31"/>
      <c r="B161" s="24">
        <v>148</v>
      </c>
      <c r="C161" s="24" t="s">
        <v>212</v>
      </c>
      <c r="D161" s="24" t="s">
        <v>32</v>
      </c>
      <c r="E161" s="24" t="s">
        <v>9</v>
      </c>
      <c r="F161" s="24">
        <v>15696</v>
      </c>
      <c r="G161" s="25">
        <v>44172</v>
      </c>
      <c r="H161" s="25">
        <v>46363</v>
      </c>
      <c r="I161" s="24" t="s">
        <v>10</v>
      </c>
      <c r="J161" s="24" t="s">
        <v>33</v>
      </c>
      <c r="K161" s="24" t="str">
        <f>IF(certifications[[#This Row],[ISSUE DATE]]="", "", TEXT(certifications[[#This Row],[ISSUE DATE]], "MMM"))</f>
        <v>Dec</v>
      </c>
      <c r="L161" s="35" t="str">
        <f>IF(certifications[[#This Row],[ISSUE DATE]]="", "", TEXT(certifications[[#This Row],[ISSUE DATE]], "YYYY"))</f>
        <v>2020</v>
      </c>
    </row>
    <row r="162" spans="1:12" s="29" customFormat="1" ht="23.95" customHeight="1" x14ac:dyDescent="0.3">
      <c r="A162" s="31"/>
      <c r="B162" s="24">
        <v>149</v>
      </c>
      <c r="C162" s="24" t="s">
        <v>213</v>
      </c>
      <c r="D162" s="24" t="s">
        <v>13</v>
      </c>
      <c r="E162" s="24" t="s">
        <v>9</v>
      </c>
      <c r="F162" s="24">
        <v>12773</v>
      </c>
      <c r="G162" s="25">
        <v>43490</v>
      </c>
      <c r="H162" s="25">
        <v>44221</v>
      </c>
      <c r="I162" s="24" t="s">
        <v>16</v>
      </c>
      <c r="J162" s="24" t="s">
        <v>14</v>
      </c>
      <c r="K162" s="24" t="str">
        <f>IF(certifications[[#This Row],[ISSUE DATE]]="", "", TEXT(certifications[[#This Row],[ISSUE DATE]], "MMM"))</f>
        <v>Jan</v>
      </c>
      <c r="L162" s="35" t="str">
        <f>IF(certifications[[#This Row],[ISSUE DATE]]="", "", TEXT(certifications[[#This Row],[ISSUE DATE]], "YYYY"))</f>
        <v>2019</v>
      </c>
    </row>
    <row r="163" spans="1:12" s="29" customFormat="1" ht="23.95" customHeight="1" x14ac:dyDescent="0.3">
      <c r="A163" s="31"/>
      <c r="B163" s="24">
        <v>150</v>
      </c>
      <c r="C163" s="24" t="s">
        <v>214</v>
      </c>
      <c r="D163" s="24" t="s">
        <v>215</v>
      </c>
      <c r="E163" s="24" t="s">
        <v>9</v>
      </c>
      <c r="F163" s="24">
        <v>12572</v>
      </c>
      <c r="G163" s="25">
        <v>43445</v>
      </c>
      <c r="H163" s="25">
        <v>44176</v>
      </c>
      <c r="I163" s="24" t="s">
        <v>16</v>
      </c>
      <c r="J163" s="24" t="s">
        <v>14</v>
      </c>
      <c r="K163" s="24" t="str">
        <f>IF(certifications[[#This Row],[ISSUE DATE]]="", "", TEXT(certifications[[#This Row],[ISSUE DATE]], "MMM"))</f>
        <v>Dec</v>
      </c>
      <c r="L163" s="35" t="str">
        <f>IF(certifications[[#This Row],[ISSUE DATE]]="", "", TEXT(certifications[[#This Row],[ISSUE DATE]], "YYYY"))</f>
        <v>2018</v>
      </c>
    </row>
    <row r="164" spans="1:12" s="29" customFormat="1" ht="23.95" customHeight="1" x14ac:dyDescent="0.3">
      <c r="A164" s="31"/>
      <c r="B164" s="24">
        <v>151</v>
      </c>
      <c r="C164" s="24" t="s">
        <v>216</v>
      </c>
      <c r="D164" s="24" t="s">
        <v>32</v>
      </c>
      <c r="E164" s="24" t="s">
        <v>9</v>
      </c>
      <c r="F164" s="24">
        <v>14806</v>
      </c>
      <c r="G164" s="25">
        <v>43787</v>
      </c>
      <c r="H164" s="25">
        <v>44518</v>
      </c>
      <c r="I164" s="24" t="s">
        <v>16</v>
      </c>
      <c r="J164" s="24" t="s">
        <v>33</v>
      </c>
      <c r="K164" s="24" t="str">
        <f>IF(certifications[[#This Row],[ISSUE DATE]]="", "", TEXT(certifications[[#This Row],[ISSUE DATE]], "MMM"))</f>
        <v>Nov</v>
      </c>
      <c r="L164" s="35" t="str">
        <f>IF(certifications[[#This Row],[ISSUE DATE]]="", "", TEXT(certifications[[#This Row],[ISSUE DATE]], "YYYY"))</f>
        <v>2019</v>
      </c>
    </row>
    <row r="165" spans="1:12" s="29" customFormat="1" ht="23.95" customHeight="1" x14ac:dyDescent="0.3">
      <c r="A165" s="31"/>
      <c r="B165" s="24">
        <v>152</v>
      </c>
      <c r="C165" s="24" t="s">
        <v>217</v>
      </c>
      <c r="D165" s="24" t="s">
        <v>32</v>
      </c>
      <c r="E165" s="24" t="s">
        <v>9</v>
      </c>
      <c r="F165" s="24">
        <v>10012</v>
      </c>
      <c r="G165" s="25">
        <v>42753</v>
      </c>
      <c r="H165" s="25">
        <v>44214</v>
      </c>
      <c r="I165" s="24" t="s">
        <v>16</v>
      </c>
      <c r="J165" s="24" t="s">
        <v>33</v>
      </c>
      <c r="K165" s="24" t="str">
        <f>IF(certifications[[#This Row],[ISSUE DATE]]="", "", TEXT(certifications[[#This Row],[ISSUE DATE]], "MMM"))</f>
        <v>Jan</v>
      </c>
      <c r="L165" s="35" t="str">
        <f>IF(certifications[[#This Row],[ISSUE DATE]]="", "", TEXT(certifications[[#This Row],[ISSUE DATE]], "YYYY"))</f>
        <v>2017</v>
      </c>
    </row>
    <row r="166" spans="1:12" s="29" customFormat="1" ht="23.95" customHeight="1" x14ac:dyDescent="0.3">
      <c r="A166" s="31"/>
      <c r="B166" s="24">
        <v>153</v>
      </c>
      <c r="C166" s="24" t="s">
        <v>218</v>
      </c>
      <c r="D166" s="24" t="s">
        <v>32</v>
      </c>
      <c r="E166" s="24" t="s">
        <v>9</v>
      </c>
      <c r="F166" s="24">
        <v>21717</v>
      </c>
      <c r="G166" s="25">
        <v>45728</v>
      </c>
      <c r="H166" s="25">
        <v>46458</v>
      </c>
      <c r="I166" s="24" t="s">
        <v>10</v>
      </c>
      <c r="J166" s="24" t="s">
        <v>33</v>
      </c>
      <c r="K166" s="24" t="str">
        <f>IF(certifications[[#This Row],[ISSUE DATE]]="", "", TEXT(certifications[[#This Row],[ISSUE DATE]], "MMM"))</f>
        <v>Mar</v>
      </c>
      <c r="L166" s="35" t="str">
        <f>IF(certifications[[#This Row],[ISSUE DATE]]="", "", TEXT(certifications[[#This Row],[ISSUE DATE]], "YYYY"))</f>
        <v>2025</v>
      </c>
    </row>
    <row r="167" spans="1:12" s="29" customFormat="1" ht="23.95" customHeight="1" x14ac:dyDescent="0.3">
      <c r="A167" s="31"/>
      <c r="B167" s="24">
        <v>154</v>
      </c>
      <c r="C167" s="24" t="s">
        <v>219</v>
      </c>
      <c r="D167" s="24" t="s">
        <v>13</v>
      </c>
      <c r="E167" s="24" t="s">
        <v>9</v>
      </c>
      <c r="F167" s="24">
        <v>21067</v>
      </c>
      <c r="G167" s="25">
        <v>45596</v>
      </c>
      <c r="H167" s="25">
        <v>46326</v>
      </c>
      <c r="I167" s="24" t="s">
        <v>10</v>
      </c>
      <c r="J167" s="24" t="s">
        <v>14</v>
      </c>
      <c r="K167" s="24" t="str">
        <f>IF(certifications[[#This Row],[ISSUE DATE]]="", "", TEXT(certifications[[#This Row],[ISSUE DATE]], "MMM"))</f>
        <v>Oct</v>
      </c>
      <c r="L167" s="35" t="str">
        <f>IF(certifications[[#This Row],[ISSUE DATE]]="", "", TEXT(certifications[[#This Row],[ISSUE DATE]], "YYYY"))</f>
        <v>2024</v>
      </c>
    </row>
    <row r="168" spans="1:12" s="29" customFormat="1" ht="23.95" customHeight="1" x14ac:dyDescent="0.3">
      <c r="A168" s="31"/>
      <c r="B168" s="24">
        <v>155</v>
      </c>
      <c r="C168" s="24" t="s">
        <v>220</v>
      </c>
      <c r="D168" s="24" t="s">
        <v>32</v>
      </c>
      <c r="E168" s="24" t="s">
        <v>9</v>
      </c>
      <c r="F168" s="24">
        <v>7314</v>
      </c>
      <c r="G168" s="25">
        <v>40029</v>
      </c>
      <c r="H168" s="25">
        <v>42220</v>
      </c>
      <c r="I168" s="24" t="s">
        <v>16</v>
      </c>
      <c r="J168" s="24" t="s">
        <v>33</v>
      </c>
      <c r="K168" s="24" t="str">
        <f>IF(certifications[[#This Row],[ISSUE DATE]]="", "", TEXT(certifications[[#This Row],[ISSUE DATE]], "MMM"))</f>
        <v>Aug</v>
      </c>
      <c r="L168" s="35" t="str">
        <f>IF(certifications[[#This Row],[ISSUE DATE]]="", "", TEXT(certifications[[#This Row],[ISSUE DATE]], "YYYY"))</f>
        <v>2009</v>
      </c>
    </row>
    <row r="169" spans="1:12" s="29" customFormat="1" ht="23.95" customHeight="1" x14ac:dyDescent="0.3">
      <c r="A169" s="31"/>
      <c r="B169" s="24">
        <v>156</v>
      </c>
      <c r="C169" s="24" t="s">
        <v>221</v>
      </c>
      <c r="D169" s="24" t="s">
        <v>18</v>
      </c>
      <c r="E169" s="24" t="s">
        <v>9</v>
      </c>
      <c r="F169" s="24">
        <v>15140</v>
      </c>
      <c r="G169" s="25">
        <v>43887</v>
      </c>
      <c r="H169" s="25">
        <v>44618</v>
      </c>
      <c r="I169" s="24" t="s">
        <v>16</v>
      </c>
      <c r="J169" s="24" t="s">
        <v>19</v>
      </c>
      <c r="K169" s="24" t="str">
        <f>IF(certifications[[#This Row],[ISSUE DATE]]="", "", TEXT(certifications[[#This Row],[ISSUE DATE]], "MMM"))</f>
        <v>Feb</v>
      </c>
      <c r="L169" s="35" t="str">
        <f>IF(certifications[[#This Row],[ISSUE DATE]]="", "", TEXT(certifications[[#This Row],[ISSUE DATE]], "YYYY"))</f>
        <v>2020</v>
      </c>
    </row>
    <row r="170" spans="1:12" s="29" customFormat="1" ht="23.95" customHeight="1" x14ac:dyDescent="0.3">
      <c r="A170" s="31"/>
      <c r="B170" s="24">
        <v>157</v>
      </c>
      <c r="C170" s="24" t="s">
        <v>222</v>
      </c>
      <c r="D170" s="24" t="s">
        <v>13</v>
      </c>
      <c r="E170" s="24" t="s">
        <v>9</v>
      </c>
      <c r="F170" s="24">
        <v>15023</v>
      </c>
      <c r="G170" s="25">
        <v>43840</v>
      </c>
      <c r="H170" s="25">
        <v>44571</v>
      </c>
      <c r="I170" s="24" t="s">
        <v>16</v>
      </c>
      <c r="J170" s="24" t="s">
        <v>14</v>
      </c>
      <c r="K170" s="24" t="str">
        <f>IF(certifications[[#This Row],[ISSUE DATE]]="", "", TEXT(certifications[[#This Row],[ISSUE DATE]], "MMM"))</f>
        <v>Jan</v>
      </c>
      <c r="L170" s="35" t="str">
        <f>IF(certifications[[#This Row],[ISSUE DATE]]="", "", TEXT(certifications[[#This Row],[ISSUE DATE]], "YYYY"))</f>
        <v>2020</v>
      </c>
    </row>
    <row r="171" spans="1:12" s="29" customFormat="1" ht="23.95" customHeight="1" x14ac:dyDescent="0.3">
      <c r="A171" s="31"/>
      <c r="B171" s="24">
        <v>158</v>
      </c>
      <c r="C171" s="24" t="s">
        <v>223</v>
      </c>
      <c r="D171" s="24" t="s">
        <v>13</v>
      </c>
      <c r="E171" s="24" t="s">
        <v>9</v>
      </c>
      <c r="F171" s="24">
        <v>8865</v>
      </c>
      <c r="G171" s="25">
        <v>41774</v>
      </c>
      <c r="H171" s="25">
        <v>46157</v>
      </c>
      <c r="I171" s="24" t="s">
        <v>10</v>
      </c>
      <c r="J171" s="24" t="s">
        <v>14</v>
      </c>
      <c r="K171" s="24" t="str">
        <f>IF(certifications[[#This Row],[ISSUE DATE]]="", "", TEXT(certifications[[#This Row],[ISSUE DATE]], "MMM"))</f>
        <v>May</v>
      </c>
      <c r="L171" s="35" t="str">
        <f>IF(certifications[[#This Row],[ISSUE DATE]]="", "", TEXT(certifications[[#This Row],[ISSUE DATE]], "YYYY"))</f>
        <v>2014</v>
      </c>
    </row>
    <row r="172" spans="1:12" s="29" customFormat="1" ht="23.95" customHeight="1" x14ac:dyDescent="0.3">
      <c r="A172" s="31"/>
      <c r="B172" s="24">
        <v>159</v>
      </c>
      <c r="C172" s="24" t="s">
        <v>224</v>
      </c>
      <c r="D172" s="24" t="s">
        <v>80</v>
      </c>
      <c r="E172" s="24" t="s">
        <v>9</v>
      </c>
      <c r="F172" s="24">
        <v>18534</v>
      </c>
      <c r="G172" s="25">
        <v>45039</v>
      </c>
      <c r="H172" s="25">
        <v>46500</v>
      </c>
      <c r="I172" s="24" t="s">
        <v>10</v>
      </c>
      <c r="J172" s="24" t="s">
        <v>38</v>
      </c>
      <c r="K172" s="24" t="str">
        <f>IF(certifications[[#This Row],[ISSUE DATE]]="", "", TEXT(certifications[[#This Row],[ISSUE DATE]], "MMM"))</f>
        <v>Apr</v>
      </c>
      <c r="L172" s="35" t="str">
        <f>IF(certifications[[#This Row],[ISSUE DATE]]="", "", TEXT(certifications[[#This Row],[ISSUE DATE]], "YYYY"))</f>
        <v>2023</v>
      </c>
    </row>
    <row r="173" spans="1:12" s="29" customFormat="1" ht="23.95" customHeight="1" x14ac:dyDescent="0.3">
      <c r="A173" s="31"/>
      <c r="B173" s="24">
        <v>160</v>
      </c>
      <c r="C173" s="24" t="s">
        <v>225</v>
      </c>
      <c r="D173" s="24" t="s">
        <v>226</v>
      </c>
      <c r="E173" s="24" t="s">
        <v>26</v>
      </c>
      <c r="F173" s="24">
        <v>12657</v>
      </c>
      <c r="G173" s="25">
        <v>43470</v>
      </c>
      <c r="H173" s="25">
        <v>44201</v>
      </c>
      <c r="I173" s="24" t="s">
        <v>16</v>
      </c>
      <c r="J173" s="24" t="s">
        <v>30</v>
      </c>
      <c r="K173" s="24" t="str">
        <f>IF(certifications[[#This Row],[ISSUE DATE]]="", "", TEXT(certifications[[#This Row],[ISSUE DATE]], "MMM"))</f>
        <v>Jan</v>
      </c>
      <c r="L173" s="35" t="str">
        <f>IF(certifications[[#This Row],[ISSUE DATE]]="", "", TEXT(certifications[[#This Row],[ISSUE DATE]], "YYYY"))</f>
        <v>2019</v>
      </c>
    </row>
    <row r="174" spans="1:12" s="29" customFormat="1" ht="23.95" customHeight="1" x14ac:dyDescent="0.3">
      <c r="A174" s="31"/>
      <c r="B174" s="24">
        <v>161</v>
      </c>
      <c r="C174" s="24" t="s">
        <v>227</v>
      </c>
      <c r="D174" s="24" t="s">
        <v>190</v>
      </c>
      <c r="E174" s="24" t="s">
        <v>9</v>
      </c>
      <c r="F174" s="24">
        <v>8863</v>
      </c>
      <c r="G174" s="25">
        <v>41774</v>
      </c>
      <c r="H174" s="25">
        <v>42505</v>
      </c>
      <c r="I174" s="24" t="s">
        <v>16</v>
      </c>
      <c r="J174" s="24" t="s">
        <v>14</v>
      </c>
      <c r="K174" s="24" t="str">
        <f>IF(certifications[[#This Row],[ISSUE DATE]]="", "", TEXT(certifications[[#This Row],[ISSUE DATE]], "MMM"))</f>
        <v>May</v>
      </c>
      <c r="L174" s="35" t="str">
        <f>IF(certifications[[#This Row],[ISSUE DATE]]="", "", TEXT(certifications[[#This Row],[ISSUE DATE]], "YYYY"))</f>
        <v>2014</v>
      </c>
    </row>
    <row r="175" spans="1:12" s="29" customFormat="1" ht="23.95" customHeight="1" x14ac:dyDescent="0.3">
      <c r="A175" s="31"/>
      <c r="B175" s="24">
        <v>162</v>
      </c>
      <c r="C175" s="24" t="s">
        <v>228</v>
      </c>
      <c r="D175" s="24" t="s">
        <v>202</v>
      </c>
      <c r="E175" s="24" t="s">
        <v>9</v>
      </c>
      <c r="F175" s="24">
        <v>15025</v>
      </c>
      <c r="G175" s="25">
        <v>43840</v>
      </c>
      <c r="H175" s="25">
        <v>44571</v>
      </c>
      <c r="I175" s="24" t="s">
        <v>16</v>
      </c>
      <c r="J175" s="24" t="s">
        <v>19</v>
      </c>
      <c r="K175" s="24" t="str">
        <f>IF(certifications[[#This Row],[ISSUE DATE]]="", "", TEXT(certifications[[#This Row],[ISSUE DATE]], "MMM"))</f>
        <v>Jan</v>
      </c>
      <c r="L175" s="35" t="str">
        <f>IF(certifications[[#This Row],[ISSUE DATE]]="", "", TEXT(certifications[[#This Row],[ISSUE DATE]], "YYYY"))</f>
        <v>2020</v>
      </c>
    </row>
    <row r="176" spans="1:12" s="29" customFormat="1" ht="23.95" customHeight="1" x14ac:dyDescent="0.3">
      <c r="A176" s="31"/>
      <c r="B176" s="24">
        <v>163</v>
      </c>
      <c r="C176" s="24" t="s">
        <v>229</v>
      </c>
      <c r="D176" s="24" t="s">
        <v>46</v>
      </c>
      <c r="E176" s="24" t="s">
        <v>9</v>
      </c>
      <c r="F176" s="24">
        <v>10788</v>
      </c>
      <c r="G176" s="25">
        <v>43168</v>
      </c>
      <c r="H176" s="25">
        <v>46090</v>
      </c>
      <c r="I176" s="24" t="s">
        <v>10</v>
      </c>
      <c r="J176" s="24" t="s">
        <v>38</v>
      </c>
      <c r="K176" s="24" t="str">
        <f>IF(certifications[[#This Row],[ISSUE DATE]]="", "", TEXT(certifications[[#This Row],[ISSUE DATE]], "MMM"))</f>
        <v>Mar</v>
      </c>
      <c r="L176" s="35" t="str">
        <f>IF(certifications[[#This Row],[ISSUE DATE]]="", "", TEXT(certifications[[#This Row],[ISSUE DATE]], "YYYY"))</f>
        <v>2018</v>
      </c>
    </row>
    <row r="177" spans="1:12" s="29" customFormat="1" ht="23.95" customHeight="1" x14ac:dyDescent="0.3">
      <c r="A177" s="31"/>
      <c r="B177" s="24">
        <v>164</v>
      </c>
      <c r="C177" s="24" t="s">
        <v>230</v>
      </c>
      <c r="D177" s="24" t="s">
        <v>78</v>
      </c>
      <c r="E177" s="24" t="s">
        <v>9</v>
      </c>
      <c r="F177" s="24">
        <v>12690</v>
      </c>
      <c r="G177" s="25">
        <v>43474</v>
      </c>
      <c r="H177" s="25">
        <v>46396</v>
      </c>
      <c r="I177" s="24" t="s">
        <v>10</v>
      </c>
      <c r="J177" s="24" t="s">
        <v>25</v>
      </c>
      <c r="K177" s="24" t="str">
        <f>IF(certifications[[#This Row],[ISSUE DATE]]="", "", TEXT(certifications[[#This Row],[ISSUE DATE]], "MMM"))</f>
        <v>Jan</v>
      </c>
      <c r="L177" s="35" t="str">
        <f>IF(certifications[[#This Row],[ISSUE DATE]]="", "", TEXT(certifications[[#This Row],[ISSUE DATE]], "YYYY"))</f>
        <v>2019</v>
      </c>
    </row>
    <row r="178" spans="1:12" s="29" customFormat="1" ht="23.95" customHeight="1" x14ac:dyDescent="0.3">
      <c r="A178" s="31"/>
      <c r="B178" s="24">
        <v>165</v>
      </c>
      <c r="C178" s="24" t="s">
        <v>230</v>
      </c>
      <c r="D178" s="24" t="s">
        <v>78</v>
      </c>
      <c r="E178" s="24" t="s">
        <v>26</v>
      </c>
      <c r="F178" s="24">
        <v>12690</v>
      </c>
      <c r="G178" s="25">
        <v>44249</v>
      </c>
      <c r="H178" s="25">
        <v>46396</v>
      </c>
      <c r="I178" s="24" t="s">
        <v>10</v>
      </c>
      <c r="J178" s="24" t="s">
        <v>25</v>
      </c>
      <c r="K178" s="24" t="str">
        <f>IF(certifications[[#This Row],[ISSUE DATE]]="", "", TEXT(certifications[[#This Row],[ISSUE DATE]], "MMM"))</f>
        <v>Feb</v>
      </c>
      <c r="L178" s="35" t="str">
        <f>IF(certifications[[#This Row],[ISSUE DATE]]="", "", TEXT(certifications[[#This Row],[ISSUE DATE]], "YYYY"))</f>
        <v>2021</v>
      </c>
    </row>
    <row r="179" spans="1:12" s="29" customFormat="1" ht="23.95" customHeight="1" x14ac:dyDescent="0.3">
      <c r="A179" s="31"/>
      <c r="B179" s="24">
        <v>166</v>
      </c>
      <c r="C179" s="24" t="s">
        <v>231</v>
      </c>
      <c r="D179" s="24" t="s">
        <v>32</v>
      </c>
      <c r="E179" s="24" t="s">
        <v>9</v>
      </c>
      <c r="F179" s="24">
        <v>9175</v>
      </c>
      <c r="G179" s="25">
        <v>42132</v>
      </c>
      <c r="H179" s="25">
        <v>46515</v>
      </c>
      <c r="I179" s="24" t="s">
        <v>10</v>
      </c>
      <c r="J179" s="24" t="s">
        <v>33</v>
      </c>
      <c r="K179" s="24" t="str">
        <f>IF(certifications[[#This Row],[ISSUE DATE]]="", "", TEXT(certifications[[#This Row],[ISSUE DATE]], "MMM"))</f>
        <v>May</v>
      </c>
      <c r="L179" s="35" t="str">
        <f>IF(certifications[[#This Row],[ISSUE DATE]]="", "", TEXT(certifications[[#This Row],[ISSUE DATE]], "YYYY"))</f>
        <v>2015</v>
      </c>
    </row>
    <row r="180" spans="1:12" s="29" customFormat="1" ht="23.95" customHeight="1" x14ac:dyDescent="0.3">
      <c r="A180" s="31"/>
      <c r="B180" s="24">
        <v>167</v>
      </c>
      <c r="C180" s="24" t="s">
        <v>232</v>
      </c>
      <c r="D180" s="24" t="s">
        <v>210</v>
      </c>
      <c r="E180" s="24" t="s">
        <v>9</v>
      </c>
      <c r="F180" s="24">
        <v>16164</v>
      </c>
      <c r="G180" s="25">
        <v>44293</v>
      </c>
      <c r="H180" s="25">
        <v>46484</v>
      </c>
      <c r="I180" s="24" t="s">
        <v>10</v>
      </c>
      <c r="J180" s="24" t="s">
        <v>19</v>
      </c>
      <c r="K180" s="24" t="str">
        <f>IF(certifications[[#This Row],[ISSUE DATE]]="", "", TEXT(certifications[[#This Row],[ISSUE DATE]], "MMM"))</f>
        <v>Apr</v>
      </c>
      <c r="L180" s="35" t="str">
        <f>IF(certifications[[#This Row],[ISSUE DATE]]="", "", TEXT(certifications[[#This Row],[ISSUE DATE]], "YYYY"))</f>
        <v>2021</v>
      </c>
    </row>
    <row r="181" spans="1:12" s="29" customFormat="1" ht="23.95" customHeight="1" x14ac:dyDescent="0.3">
      <c r="A181" s="31"/>
      <c r="B181" s="24">
        <v>168</v>
      </c>
      <c r="C181" s="24" t="s">
        <v>233</v>
      </c>
      <c r="D181" s="24" t="s">
        <v>32</v>
      </c>
      <c r="E181" s="24" t="s">
        <v>9</v>
      </c>
      <c r="F181" s="24">
        <v>20328</v>
      </c>
      <c r="G181" s="25">
        <v>45434</v>
      </c>
      <c r="H181" s="25">
        <v>46164</v>
      </c>
      <c r="I181" s="24" t="s">
        <v>10</v>
      </c>
      <c r="J181" s="24" t="s">
        <v>33</v>
      </c>
      <c r="K181" s="24" t="str">
        <f>IF(certifications[[#This Row],[ISSUE DATE]]="", "", TEXT(certifications[[#This Row],[ISSUE DATE]], "MMM"))</f>
        <v>May</v>
      </c>
      <c r="L181" s="35" t="str">
        <f>IF(certifications[[#This Row],[ISSUE DATE]]="", "", TEXT(certifications[[#This Row],[ISSUE DATE]], "YYYY"))</f>
        <v>2024</v>
      </c>
    </row>
    <row r="182" spans="1:12" s="29" customFormat="1" ht="23.95" customHeight="1" x14ac:dyDescent="0.3">
      <c r="A182" s="31"/>
      <c r="B182" s="24">
        <v>169</v>
      </c>
      <c r="C182" s="24" t="s">
        <v>234</v>
      </c>
      <c r="D182" s="24" t="s">
        <v>235</v>
      </c>
      <c r="E182" s="24" t="s">
        <v>9</v>
      </c>
      <c r="F182" s="24">
        <v>20866</v>
      </c>
      <c r="G182" s="25">
        <v>45555</v>
      </c>
      <c r="H182" s="25">
        <v>46285</v>
      </c>
      <c r="I182" s="24" t="s">
        <v>10</v>
      </c>
      <c r="J182" s="24" t="s">
        <v>22</v>
      </c>
      <c r="K182" s="24" t="str">
        <f>IF(certifications[[#This Row],[ISSUE DATE]]="", "", TEXT(certifications[[#This Row],[ISSUE DATE]], "MMM"))</f>
        <v>Sep</v>
      </c>
      <c r="L182" s="35" t="str">
        <f>IF(certifications[[#This Row],[ISSUE DATE]]="", "", TEXT(certifications[[#This Row],[ISSUE DATE]], "YYYY"))</f>
        <v>2024</v>
      </c>
    </row>
    <row r="183" spans="1:12" s="29" customFormat="1" ht="23.95" customHeight="1" x14ac:dyDescent="0.3">
      <c r="A183" s="31"/>
      <c r="B183" s="24">
        <v>170</v>
      </c>
      <c r="C183" s="24" t="s">
        <v>236</v>
      </c>
      <c r="D183" s="24" t="s">
        <v>32</v>
      </c>
      <c r="E183" s="24" t="s">
        <v>9</v>
      </c>
      <c r="F183" s="24">
        <v>20337</v>
      </c>
      <c r="G183" s="25">
        <v>45435</v>
      </c>
      <c r="H183" s="25">
        <v>46165</v>
      </c>
      <c r="I183" s="24" t="s">
        <v>10</v>
      </c>
      <c r="J183" s="24" t="s">
        <v>33</v>
      </c>
      <c r="K183" s="24" t="str">
        <f>IF(certifications[[#This Row],[ISSUE DATE]]="", "", TEXT(certifications[[#This Row],[ISSUE DATE]], "MMM"))</f>
        <v>May</v>
      </c>
      <c r="L183" s="35" t="str">
        <f>IF(certifications[[#This Row],[ISSUE DATE]]="", "", TEXT(certifications[[#This Row],[ISSUE DATE]], "YYYY"))</f>
        <v>2024</v>
      </c>
    </row>
    <row r="184" spans="1:12" s="29" customFormat="1" ht="23.95" customHeight="1" x14ac:dyDescent="0.3">
      <c r="A184" s="31"/>
      <c r="B184" s="24">
        <v>171</v>
      </c>
      <c r="C184" s="24" t="s">
        <v>236</v>
      </c>
      <c r="D184" s="24" t="s">
        <v>32</v>
      </c>
      <c r="E184" s="24" t="s">
        <v>26</v>
      </c>
      <c r="F184" s="24">
        <v>20337</v>
      </c>
      <c r="G184" s="25">
        <v>45562</v>
      </c>
      <c r="H184" s="25">
        <v>46292</v>
      </c>
      <c r="I184" s="24" t="s">
        <v>10</v>
      </c>
      <c r="J184" s="24" t="s">
        <v>33</v>
      </c>
      <c r="K184" s="24" t="str">
        <f>IF(certifications[[#This Row],[ISSUE DATE]]="", "", TEXT(certifications[[#This Row],[ISSUE DATE]], "MMM"))</f>
        <v>Sep</v>
      </c>
      <c r="L184" s="35" t="str">
        <f>IF(certifications[[#This Row],[ISSUE DATE]]="", "", TEXT(certifications[[#This Row],[ISSUE DATE]], "YYYY"))</f>
        <v>2024</v>
      </c>
    </row>
    <row r="185" spans="1:12" s="29" customFormat="1" ht="23.95" customHeight="1" x14ac:dyDescent="0.3">
      <c r="A185" s="31"/>
      <c r="B185" s="24">
        <v>172</v>
      </c>
      <c r="C185" s="24" t="s">
        <v>237</v>
      </c>
      <c r="D185" s="24" t="s">
        <v>238</v>
      </c>
      <c r="E185" s="24" t="s">
        <v>9</v>
      </c>
      <c r="F185" s="24">
        <v>8555</v>
      </c>
      <c r="G185" s="25">
        <v>41485</v>
      </c>
      <c r="H185" s="25">
        <v>42215</v>
      </c>
      <c r="I185" s="24" t="s">
        <v>16</v>
      </c>
      <c r="J185" s="24" t="s">
        <v>38</v>
      </c>
      <c r="K185" s="24" t="str">
        <f>IF(certifications[[#This Row],[ISSUE DATE]]="", "", TEXT(certifications[[#This Row],[ISSUE DATE]], "MMM"))</f>
        <v>Jul</v>
      </c>
      <c r="L185" s="35" t="str">
        <f>IF(certifications[[#This Row],[ISSUE DATE]]="", "", TEXT(certifications[[#This Row],[ISSUE DATE]], "YYYY"))</f>
        <v>2013</v>
      </c>
    </row>
    <row r="186" spans="1:12" s="29" customFormat="1" ht="23.95" customHeight="1" x14ac:dyDescent="0.3">
      <c r="A186" s="31"/>
      <c r="B186" s="24">
        <v>173</v>
      </c>
      <c r="C186" s="24" t="s">
        <v>239</v>
      </c>
      <c r="D186" s="24" t="s">
        <v>141</v>
      </c>
      <c r="E186" s="24" t="s">
        <v>9</v>
      </c>
      <c r="F186" s="24">
        <v>10026</v>
      </c>
      <c r="G186" s="25">
        <v>42766</v>
      </c>
      <c r="H186" s="25">
        <v>43496</v>
      </c>
      <c r="I186" s="24" t="s">
        <v>16</v>
      </c>
      <c r="J186" s="24" t="s">
        <v>38</v>
      </c>
      <c r="K186" s="24" t="str">
        <f>IF(certifications[[#This Row],[ISSUE DATE]]="", "", TEXT(certifications[[#This Row],[ISSUE DATE]], "MMM"))</f>
        <v>Jan</v>
      </c>
      <c r="L186" s="35" t="str">
        <f>IF(certifications[[#This Row],[ISSUE DATE]]="", "", TEXT(certifications[[#This Row],[ISSUE DATE]], "YYYY"))</f>
        <v>2017</v>
      </c>
    </row>
    <row r="187" spans="1:12" s="29" customFormat="1" ht="23.95" customHeight="1" x14ac:dyDescent="0.3">
      <c r="A187" s="31"/>
      <c r="B187" s="24">
        <v>174</v>
      </c>
      <c r="C187" s="24" t="s">
        <v>240</v>
      </c>
      <c r="D187" s="24" t="s">
        <v>241</v>
      </c>
      <c r="E187" s="24" t="s">
        <v>9</v>
      </c>
      <c r="F187" s="24">
        <v>11341</v>
      </c>
      <c r="G187" s="25">
        <v>43227</v>
      </c>
      <c r="H187" s="25">
        <v>44688</v>
      </c>
      <c r="I187" s="24" t="s">
        <v>16</v>
      </c>
      <c r="J187" s="24" t="s">
        <v>22</v>
      </c>
      <c r="K187" s="24" t="str">
        <f>IF(certifications[[#This Row],[ISSUE DATE]]="", "", TEXT(certifications[[#This Row],[ISSUE DATE]], "MMM"))</f>
        <v>May</v>
      </c>
      <c r="L187" s="35" t="str">
        <f>IF(certifications[[#This Row],[ISSUE DATE]]="", "", TEXT(certifications[[#This Row],[ISSUE DATE]], "YYYY"))</f>
        <v>2018</v>
      </c>
    </row>
    <row r="188" spans="1:12" s="29" customFormat="1" ht="23.95" customHeight="1" x14ac:dyDescent="0.3">
      <c r="A188" s="31"/>
      <c r="B188" s="24">
        <v>175</v>
      </c>
      <c r="C188" s="24" t="s">
        <v>242</v>
      </c>
      <c r="D188" s="24" t="s">
        <v>57</v>
      </c>
      <c r="E188" s="24" t="s">
        <v>9</v>
      </c>
      <c r="F188" s="24">
        <v>16527</v>
      </c>
      <c r="G188" s="25">
        <v>44372</v>
      </c>
      <c r="H188" s="25">
        <v>46563</v>
      </c>
      <c r="I188" s="24" t="s">
        <v>10</v>
      </c>
      <c r="J188" s="24" t="s">
        <v>38</v>
      </c>
      <c r="K188" s="24" t="str">
        <f>IF(certifications[[#This Row],[ISSUE DATE]]="", "", TEXT(certifications[[#This Row],[ISSUE DATE]], "MMM"))</f>
        <v>Jun</v>
      </c>
      <c r="L188" s="35" t="str">
        <f>IF(certifications[[#This Row],[ISSUE DATE]]="", "", TEXT(certifications[[#This Row],[ISSUE DATE]], "YYYY"))</f>
        <v>2021</v>
      </c>
    </row>
    <row r="189" spans="1:12" s="29" customFormat="1" ht="23.95" customHeight="1" x14ac:dyDescent="0.3">
      <c r="A189" s="31"/>
      <c r="B189" s="24">
        <v>176</v>
      </c>
      <c r="C189" s="24" t="s">
        <v>242</v>
      </c>
      <c r="D189" s="24" t="s">
        <v>57</v>
      </c>
      <c r="E189" s="24" t="s">
        <v>26</v>
      </c>
      <c r="F189" s="24">
        <v>16527</v>
      </c>
      <c r="G189" s="25">
        <v>44588</v>
      </c>
      <c r="H189" s="25">
        <v>46563</v>
      </c>
      <c r="I189" s="24" t="s">
        <v>10</v>
      </c>
      <c r="J189" s="24" t="s">
        <v>38</v>
      </c>
      <c r="K189" s="24" t="str">
        <f>IF(certifications[[#This Row],[ISSUE DATE]]="", "", TEXT(certifications[[#This Row],[ISSUE DATE]], "MMM"))</f>
        <v>Jan</v>
      </c>
      <c r="L189" s="35" t="str">
        <f>IF(certifications[[#This Row],[ISSUE DATE]]="", "", TEXT(certifications[[#This Row],[ISSUE DATE]], "YYYY"))</f>
        <v>2022</v>
      </c>
    </row>
    <row r="190" spans="1:12" s="29" customFormat="1" ht="23.95" customHeight="1" x14ac:dyDescent="0.3">
      <c r="A190" s="31"/>
      <c r="B190" s="24">
        <v>177</v>
      </c>
      <c r="C190" s="24" t="s">
        <v>243</v>
      </c>
      <c r="D190" s="24" t="s">
        <v>53</v>
      </c>
      <c r="E190" s="24" t="s">
        <v>9</v>
      </c>
      <c r="F190" s="24">
        <v>17605</v>
      </c>
      <c r="G190" s="25">
        <v>44765</v>
      </c>
      <c r="H190" s="25">
        <v>46226</v>
      </c>
      <c r="I190" s="24" t="s">
        <v>10</v>
      </c>
      <c r="J190" s="24" t="s">
        <v>25</v>
      </c>
      <c r="K190" s="24" t="str">
        <f>IF(certifications[[#This Row],[ISSUE DATE]]="", "", TEXT(certifications[[#This Row],[ISSUE DATE]], "MMM"))</f>
        <v>Jul</v>
      </c>
      <c r="L190" s="35" t="str">
        <f>IF(certifications[[#This Row],[ISSUE DATE]]="", "", TEXT(certifications[[#This Row],[ISSUE DATE]], "YYYY"))</f>
        <v>2022</v>
      </c>
    </row>
    <row r="191" spans="1:12" s="29" customFormat="1" ht="23.95" customHeight="1" x14ac:dyDescent="0.3">
      <c r="A191" s="31"/>
      <c r="B191" s="24">
        <v>178</v>
      </c>
      <c r="C191" s="24" t="s">
        <v>243</v>
      </c>
      <c r="D191" s="24" t="s">
        <v>53</v>
      </c>
      <c r="E191" s="24" t="s">
        <v>26</v>
      </c>
      <c r="F191" s="24">
        <v>17605</v>
      </c>
      <c r="G191" s="25">
        <v>44745</v>
      </c>
      <c r="H191" s="25">
        <v>46206</v>
      </c>
      <c r="I191" s="24" t="s">
        <v>10</v>
      </c>
      <c r="J191" s="24" t="s">
        <v>25</v>
      </c>
      <c r="K191" s="24" t="str">
        <f>IF(certifications[[#This Row],[ISSUE DATE]]="", "", TEXT(certifications[[#This Row],[ISSUE DATE]], "MMM"))</f>
        <v>Jul</v>
      </c>
      <c r="L191" s="35" t="str">
        <f>IF(certifications[[#This Row],[ISSUE DATE]]="", "", TEXT(certifications[[#This Row],[ISSUE DATE]], "YYYY"))</f>
        <v>2022</v>
      </c>
    </row>
    <row r="192" spans="1:12" s="29" customFormat="1" ht="23.95" customHeight="1" x14ac:dyDescent="0.3">
      <c r="A192" s="31"/>
      <c r="B192" s="24">
        <v>179</v>
      </c>
      <c r="C192" s="24" t="s">
        <v>244</v>
      </c>
      <c r="D192" s="24" t="s">
        <v>111</v>
      </c>
      <c r="E192" s="24" t="s">
        <v>9</v>
      </c>
      <c r="F192" s="24">
        <v>13741</v>
      </c>
      <c r="G192" s="25">
        <v>43641</v>
      </c>
      <c r="H192" s="25">
        <v>44372</v>
      </c>
      <c r="I192" s="24" t="s">
        <v>16</v>
      </c>
      <c r="J192" s="24" t="s">
        <v>38</v>
      </c>
      <c r="K192" s="24" t="str">
        <f>IF(certifications[[#This Row],[ISSUE DATE]]="", "", TEXT(certifications[[#This Row],[ISSUE DATE]], "MMM"))</f>
        <v>Jun</v>
      </c>
      <c r="L192" s="35" t="str">
        <f>IF(certifications[[#This Row],[ISSUE DATE]]="", "", TEXT(certifications[[#This Row],[ISSUE DATE]], "YYYY"))</f>
        <v>2019</v>
      </c>
    </row>
    <row r="193" spans="1:12" s="29" customFormat="1" ht="23.95" customHeight="1" x14ac:dyDescent="0.3">
      <c r="A193" s="31"/>
      <c r="B193" s="24">
        <v>180</v>
      </c>
      <c r="C193" s="24" t="s">
        <v>245</v>
      </c>
      <c r="D193" s="24" t="s">
        <v>32</v>
      </c>
      <c r="E193" s="24" t="s">
        <v>9</v>
      </c>
      <c r="F193" s="24">
        <v>21008</v>
      </c>
      <c r="G193" s="25">
        <v>45600</v>
      </c>
      <c r="H193" s="25">
        <v>46330</v>
      </c>
      <c r="I193" s="24" t="s">
        <v>10</v>
      </c>
      <c r="J193" s="24" t="s">
        <v>33</v>
      </c>
      <c r="K193" s="24" t="str">
        <f>IF(certifications[[#This Row],[ISSUE DATE]]="", "", TEXT(certifications[[#This Row],[ISSUE DATE]], "MMM"))</f>
        <v>Nov</v>
      </c>
      <c r="L193" s="35" t="str">
        <f>IF(certifications[[#This Row],[ISSUE DATE]]="", "", TEXT(certifications[[#This Row],[ISSUE DATE]], "YYYY"))</f>
        <v>2024</v>
      </c>
    </row>
    <row r="194" spans="1:12" s="29" customFormat="1" ht="23.95" customHeight="1" x14ac:dyDescent="0.3">
      <c r="A194" s="31"/>
      <c r="B194" s="24">
        <v>181</v>
      </c>
      <c r="C194" s="24" t="s">
        <v>245</v>
      </c>
      <c r="D194" s="24" t="s">
        <v>32</v>
      </c>
      <c r="E194" s="24" t="s">
        <v>26</v>
      </c>
      <c r="F194" s="24">
        <v>21008</v>
      </c>
      <c r="G194" s="25">
        <v>45581</v>
      </c>
      <c r="H194" s="25">
        <v>46311</v>
      </c>
      <c r="I194" s="24" t="s">
        <v>10</v>
      </c>
      <c r="J194" s="24" t="s">
        <v>33</v>
      </c>
      <c r="K194" s="24" t="str">
        <f>IF(certifications[[#This Row],[ISSUE DATE]]="", "", TEXT(certifications[[#This Row],[ISSUE DATE]], "MMM"))</f>
        <v>Oct</v>
      </c>
      <c r="L194" s="35" t="str">
        <f>IF(certifications[[#This Row],[ISSUE DATE]]="", "", TEXT(certifications[[#This Row],[ISSUE DATE]], "YYYY"))</f>
        <v>2024</v>
      </c>
    </row>
    <row r="195" spans="1:12" s="29" customFormat="1" ht="23.95" customHeight="1" x14ac:dyDescent="0.3">
      <c r="A195" s="31"/>
      <c r="B195" s="24">
        <v>182</v>
      </c>
      <c r="C195" s="24" t="s">
        <v>246</v>
      </c>
      <c r="D195" s="24" t="s">
        <v>13</v>
      </c>
      <c r="E195" s="24" t="s">
        <v>9</v>
      </c>
      <c r="F195" s="24">
        <v>8875</v>
      </c>
      <c r="G195" s="25">
        <v>41774</v>
      </c>
      <c r="H195" s="25">
        <v>42505</v>
      </c>
      <c r="I195" s="24" t="s">
        <v>16</v>
      </c>
      <c r="J195" s="24" t="s">
        <v>14</v>
      </c>
      <c r="K195" s="24" t="str">
        <f>IF(certifications[[#This Row],[ISSUE DATE]]="", "", TEXT(certifications[[#This Row],[ISSUE DATE]], "MMM"))</f>
        <v>May</v>
      </c>
      <c r="L195" s="35" t="str">
        <f>IF(certifications[[#This Row],[ISSUE DATE]]="", "", TEXT(certifications[[#This Row],[ISSUE DATE]], "YYYY"))</f>
        <v>2014</v>
      </c>
    </row>
    <row r="196" spans="1:12" s="29" customFormat="1" ht="23.95" customHeight="1" x14ac:dyDescent="0.3">
      <c r="A196" s="31"/>
      <c r="B196" s="24">
        <v>183</v>
      </c>
      <c r="C196" s="24" t="s">
        <v>247</v>
      </c>
      <c r="D196" s="24" t="s">
        <v>32</v>
      </c>
      <c r="E196" s="24" t="s">
        <v>9</v>
      </c>
      <c r="F196" s="24">
        <v>16672</v>
      </c>
      <c r="G196" s="25">
        <v>45227</v>
      </c>
      <c r="H196" s="25">
        <v>45958</v>
      </c>
      <c r="I196" s="24" t="s">
        <v>10</v>
      </c>
      <c r="J196" s="24" t="s">
        <v>33</v>
      </c>
      <c r="K196" s="24" t="str">
        <f>IF(certifications[[#This Row],[ISSUE DATE]]="", "", TEXT(certifications[[#This Row],[ISSUE DATE]], "MMM"))</f>
        <v>Oct</v>
      </c>
      <c r="L196" s="35" t="str">
        <f>IF(certifications[[#This Row],[ISSUE DATE]]="", "", TEXT(certifications[[#This Row],[ISSUE DATE]], "YYYY"))</f>
        <v>2023</v>
      </c>
    </row>
    <row r="197" spans="1:12" s="29" customFormat="1" ht="23.95" customHeight="1" x14ac:dyDescent="0.3">
      <c r="A197" s="31"/>
      <c r="B197" s="24">
        <v>184</v>
      </c>
      <c r="C197" s="24" t="s">
        <v>248</v>
      </c>
      <c r="D197" s="24" t="s">
        <v>249</v>
      </c>
      <c r="E197" s="24" t="s">
        <v>9</v>
      </c>
      <c r="F197" s="24">
        <v>15133</v>
      </c>
      <c r="G197" s="25">
        <v>43887</v>
      </c>
      <c r="H197" s="25">
        <v>44618</v>
      </c>
      <c r="I197" s="24" t="s">
        <v>16</v>
      </c>
      <c r="J197" s="24" t="s">
        <v>30</v>
      </c>
      <c r="K197" s="24" t="str">
        <f>IF(certifications[[#This Row],[ISSUE DATE]]="", "", TEXT(certifications[[#This Row],[ISSUE DATE]], "MMM"))</f>
        <v>Feb</v>
      </c>
      <c r="L197" s="35" t="str">
        <f>IF(certifications[[#This Row],[ISSUE DATE]]="", "", TEXT(certifications[[#This Row],[ISSUE DATE]], "YYYY"))</f>
        <v>2020</v>
      </c>
    </row>
    <row r="198" spans="1:12" s="29" customFormat="1" ht="23.95" customHeight="1" x14ac:dyDescent="0.3">
      <c r="A198" s="31"/>
      <c r="B198" s="24">
        <v>185</v>
      </c>
      <c r="C198" s="24" t="s">
        <v>250</v>
      </c>
      <c r="D198" s="24" t="s">
        <v>65</v>
      </c>
      <c r="E198" s="24" t="s">
        <v>9</v>
      </c>
      <c r="F198" s="24">
        <v>8394</v>
      </c>
      <c r="G198" s="25">
        <v>41393</v>
      </c>
      <c r="H198" s="25">
        <v>42123</v>
      </c>
      <c r="I198" s="24" t="s">
        <v>16</v>
      </c>
      <c r="J198" s="24" t="s">
        <v>19</v>
      </c>
      <c r="K198" s="24" t="str">
        <f>IF(certifications[[#This Row],[ISSUE DATE]]="", "", TEXT(certifications[[#This Row],[ISSUE DATE]], "MMM"))</f>
        <v>Apr</v>
      </c>
      <c r="L198" s="35" t="str">
        <f>IF(certifications[[#This Row],[ISSUE DATE]]="", "", TEXT(certifications[[#This Row],[ISSUE DATE]], "YYYY"))</f>
        <v>2013</v>
      </c>
    </row>
    <row r="199" spans="1:12" s="29" customFormat="1" ht="23.95" customHeight="1" x14ac:dyDescent="0.3">
      <c r="A199" s="31"/>
      <c r="B199" s="24">
        <v>186</v>
      </c>
      <c r="C199" s="24" t="s">
        <v>251</v>
      </c>
      <c r="D199" s="24" t="s">
        <v>252</v>
      </c>
      <c r="E199" s="24" t="s">
        <v>9</v>
      </c>
      <c r="F199" s="24">
        <v>8048</v>
      </c>
      <c r="G199" s="25">
        <v>40977</v>
      </c>
      <c r="H199" s="25">
        <v>43899</v>
      </c>
      <c r="I199" s="24" t="s">
        <v>16</v>
      </c>
      <c r="J199" s="24" t="s">
        <v>38</v>
      </c>
      <c r="K199" s="24" t="str">
        <f>IF(certifications[[#This Row],[ISSUE DATE]]="", "", TEXT(certifications[[#This Row],[ISSUE DATE]], "MMM"))</f>
        <v>Mar</v>
      </c>
      <c r="L199" s="35" t="str">
        <f>IF(certifications[[#This Row],[ISSUE DATE]]="", "", TEXT(certifications[[#This Row],[ISSUE DATE]], "YYYY"))</f>
        <v>2012</v>
      </c>
    </row>
    <row r="200" spans="1:12" s="29" customFormat="1" ht="23.95" customHeight="1" x14ac:dyDescent="0.3">
      <c r="A200" s="31"/>
      <c r="B200" s="24">
        <v>187</v>
      </c>
      <c r="C200" s="24" t="s">
        <v>253</v>
      </c>
      <c r="D200" s="24" t="s">
        <v>32</v>
      </c>
      <c r="E200" s="24" t="s">
        <v>9</v>
      </c>
      <c r="F200" s="24">
        <v>14837</v>
      </c>
      <c r="G200" s="25">
        <v>45812</v>
      </c>
      <c r="H200" s="25">
        <v>46542</v>
      </c>
      <c r="I200" s="24" t="s">
        <v>10</v>
      </c>
      <c r="J200" s="24" t="s">
        <v>33</v>
      </c>
      <c r="K200" s="24" t="str">
        <f>IF(certifications[[#This Row],[ISSUE DATE]]="", "", TEXT(certifications[[#This Row],[ISSUE DATE]], "MMM"))</f>
        <v>Jun</v>
      </c>
      <c r="L200" s="35" t="str">
        <f>IF(certifications[[#This Row],[ISSUE DATE]]="", "", TEXT(certifications[[#This Row],[ISSUE DATE]], "YYYY"))</f>
        <v>2025</v>
      </c>
    </row>
    <row r="201" spans="1:12" s="29" customFormat="1" ht="23.95" customHeight="1" x14ac:dyDescent="0.3">
      <c r="A201" s="31"/>
      <c r="B201" s="24">
        <v>188</v>
      </c>
      <c r="C201" s="24" t="s">
        <v>254</v>
      </c>
      <c r="D201" s="24" t="s">
        <v>13</v>
      </c>
      <c r="E201" s="24" t="s">
        <v>9</v>
      </c>
      <c r="F201" s="24">
        <v>12568</v>
      </c>
      <c r="G201" s="25">
        <v>43445</v>
      </c>
      <c r="H201" s="25">
        <v>45637</v>
      </c>
      <c r="I201" s="24" t="s">
        <v>82</v>
      </c>
      <c r="J201" s="24" t="s">
        <v>14</v>
      </c>
      <c r="K201" s="24" t="str">
        <f>IF(certifications[[#This Row],[ISSUE DATE]]="", "", TEXT(certifications[[#This Row],[ISSUE DATE]], "MMM"))</f>
        <v>Dec</v>
      </c>
      <c r="L201" s="35" t="str">
        <f>IF(certifications[[#This Row],[ISSUE DATE]]="", "", TEXT(certifications[[#This Row],[ISSUE DATE]], "YYYY"))</f>
        <v>2018</v>
      </c>
    </row>
    <row r="202" spans="1:12" s="29" customFormat="1" ht="23.95" customHeight="1" x14ac:dyDescent="0.3">
      <c r="A202" s="31"/>
      <c r="B202" s="24">
        <v>189</v>
      </c>
      <c r="C202" s="24" t="s">
        <v>255</v>
      </c>
      <c r="D202" s="24" t="s">
        <v>256</v>
      </c>
      <c r="E202" s="24" t="s">
        <v>9</v>
      </c>
      <c r="F202" s="24">
        <v>6708</v>
      </c>
      <c r="G202" s="25">
        <v>43118</v>
      </c>
      <c r="H202" s="25">
        <v>43848</v>
      </c>
      <c r="I202" s="24" t="s">
        <v>16</v>
      </c>
      <c r="J202" s="24" t="s">
        <v>14</v>
      </c>
      <c r="K202" s="24" t="str">
        <f>IF(certifications[[#This Row],[ISSUE DATE]]="", "", TEXT(certifications[[#This Row],[ISSUE DATE]], "MMM"))</f>
        <v>Jan</v>
      </c>
      <c r="L202" s="35" t="str">
        <f>IF(certifications[[#This Row],[ISSUE DATE]]="", "", TEXT(certifications[[#This Row],[ISSUE DATE]], "YYYY"))</f>
        <v>2018</v>
      </c>
    </row>
    <row r="203" spans="1:12" s="29" customFormat="1" ht="23.95" customHeight="1" x14ac:dyDescent="0.3">
      <c r="A203" s="31"/>
      <c r="B203" s="24">
        <v>190</v>
      </c>
      <c r="C203" s="24" t="s">
        <v>257</v>
      </c>
      <c r="D203" s="24" t="s">
        <v>258</v>
      </c>
      <c r="E203" s="24" t="s">
        <v>9</v>
      </c>
      <c r="F203" s="24">
        <v>10793</v>
      </c>
      <c r="G203" s="25">
        <v>43168</v>
      </c>
      <c r="H203" s="25">
        <v>43899</v>
      </c>
      <c r="I203" s="24" t="s">
        <v>16</v>
      </c>
      <c r="J203" s="24" t="s">
        <v>30</v>
      </c>
      <c r="K203" s="24" t="str">
        <f>IF(certifications[[#This Row],[ISSUE DATE]]="", "", TEXT(certifications[[#This Row],[ISSUE DATE]], "MMM"))</f>
        <v>Mar</v>
      </c>
      <c r="L203" s="35" t="str">
        <f>IF(certifications[[#This Row],[ISSUE DATE]]="", "", TEXT(certifications[[#This Row],[ISSUE DATE]], "YYYY"))</f>
        <v>2018</v>
      </c>
    </row>
    <row r="204" spans="1:12" s="29" customFormat="1" ht="23.95" customHeight="1" x14ac:dyDescent="0.3">
      <c r="A204" s="31"/>
      <c r="B204" s="24">
        <v>191</v>
      </c>
      <c r="C204" s="24" t="s">
        <v>259</v>
      </c>
      <c r="D204" s="24" t="s">
        <v>260</v>
      </c>
      <c r="E204" s="24" t="s">
        <v>26</v>
      </c>
      <c r="F204" s="24">
        <v>18522</v>
      </c>
      <c r="G204" s="25">
        <v>45035</v>
      </c>
      <c r="H204" s="25">
        <v>46496</v>
      </c>
      <c r="I204" s="24" t="s">
        <v>10</v>
      </c>
      <c r="J204" s="24" t="s">
        <v>14</v>
      </c>
      <c r="K204" s="24" t="str">
        <f>IF(certifications[[#This Row],[ISSUE DATE]]="", "", TEXT(certifications[[#This Row],[ISSUE DATE]], "MMM"))</f>
        <v>Apr</v>
      </c>
      <c r="L204" s="35" t="str">
        <f>IF(certifications[[#This Row],[ISSUE DATE]]="", "", TEXT(certifications[[#This Row],[ISSUE DATE]], "YYYY"))</f>
        <v>2023</v>
      </c>
    </row>
    <row r="205" spans="1:12" s="29" customFormat="1" ht="23.95" customHeight="1" x14ac:dyDescent="0.3">
      <c r="A205" s="31"/>
      <c r="B205" s="24">
        <v>192</v>
      </c>
      <c r="C205" s="24" t="s">
        <v>261</v>
      </c>
      <c r="D205" s="24" t="s">
        <v>238</v>
      </c>
      <c r="E205" s="24" t="s">
        <v>9</v>
      </c>
      <c r="F205" s="24">
        <v>18035</v>
      </c>
      <c r="G205" s="25">
        <v>44880</v>
      </c>
      <c r="H205" s="25">
        <v>45611</v>
      </c>
      <c r="I205" s="24" t="s">
        <v>82</v>
      </c>
      <c r="J205" s="24" t="s">
        <v>38</v>
      </c>
      <c r="K205" s="24" t="str">
        <f>IF(certifications[[#This Row],[ISSUE DATE]]="", "", TEXT(certifications[[#This Row],[ISSUE DATE]], "MMM"))</f>
        <v>Nov</v>
      </c>
      <c r="L205" s="35" t="str">
        <f>IF(certifications[[#This Row],[ISSUE DATE]]="", "", TEXT(certifications[[#This Row],[ISSUE DATE]], "YYYY"))</f>
        <v>2022</v>
      </c>
    </row>
    <row r="206" spans="1:12" s="29" customFormat="1" ht="23.95" customHeight="1" x14ac:dyDescent="0.3">
      <c r="A206" s="31"/>
      <c r="B206" s="24">
        <v>193</v>
      </c>
      <c r="C206" s="24" t="s">
        <v>262</v>
      </c>
      <c r="D206" s="24" t="s">
        <v>32</v>
      </c>
      <c r="E206" s="24" t="s">
        <v>9</v>
      </c>
      <c r="F206" s="24">
        <v>8937</v>
      </c>
      <c r="G206" s="25">
        <v>43697</v>
      </c>
      <c r="H206" s="25">
        <v>45889</v>
      </c>
      <c r="I206" s="24" t="s">
        <v>10</v>
      </c>
      <c r="J206" s="24" t="s">
        <v>33</v>
      </c>
      <c r="K206" s="24" t="str">
        <f>IF(certifications[[#This Row],[ISSUE DATE]]="", "", TEXT(certifications[[#This Row],[ISSUE DATE]], "MMM"))</f>
        <v>Aug</v>
      </c>
      <c r="L206" s="35" t="str">
        <f>IF(certifications[[#This Row],[ISSUE DATE]]="", "", TEXT(certifications[[#This Row],[ISSUE DATE]], "YYYY"))</f>
        <v>2019</v>
      </c>
    </row>
    <row r="207" spans="1:12" s="29" customFormat="1" ht="23.95" customHeight="1" x14ac:dyDescent="0.3">
      <c r="A207" s="31"/>
      <c r="B207" s="24">
        <v>194</v>
      </c>
      <c r="C207" s="24" t="s">
        <v>263</v>
      </c>
      <c r="D207" s="24" t="s">
        <v>264</v>
      </c>
      <c r="E207" s="24" t="s">
        <v>9</v>
      </c>
      <c r="F207" s="24">
        <v>17730</v>
      </c>
      <c r="G207" s="25">
        <v>44784</v>
      </c>
      <c r="H207" s="25">
        <v>46245</v>
      </c>
      <c r="I207" s="24" t="s">
        <v>10</v>
      </c>
      <c r="J207" s="24" t="s">
        <v>22</v>
      </c>
      <c r="K207" s="24" t="str">
        <f>IF(certifications[[#This Row],[ISSUE DATE]]="", "", TEXT(certifications[[#This Row],[ISSUE DATE]], "MMM"))</f>
        <v>Aug</v>
      </c>
      <c r="L207" s="35" t="str">
        <f>IF(certifications[[#This Row],[ISSUE DATE]]="", "", TEXT(certifications[[#This Row],[ISSUE DATE]], "YYYY"))</f>
        <v>2022</v>
      </c>
    </row>
    <row r="208" spans="1:12" s="29" customFormat="1" ht="23.95" customHeight="1" x14ac:dyDescent="0.3">
      <c r="A208" s="31"/>
      <c r="B208" s="24">
        <v>195</v>
      </c>
      <c r="C208" s="24" t="s">
        <v>265</v>
      </c>
      <c r="D208" s="24" t="s">
        <v>32</v>
      </c>
      <c r="E208" s="24" t="s">
        <v>9</v>
      </c>
      <c r="F208" s="24">
        <v>17676</v>
      </c>
      <c r="G208" s="25">
        <v>44840</v>
      </c>
      <c r="H208" s="25">
        <v>46301</v>
      </c>
      <c r="I208" s="24" t="s">
        <v>10</v>
      </c>
      <c r="J208" s="24" t="s">
        <v>33</v>
      </c>
      <c r="K208" s="24" t="str">
        <f>IF(certifications[[#This Row],[ISSUE DATE]]="", "", TEXT(certifications[[#This Row],[ISSUE DATE]], "MMM"))</f>
        <v>Oct</v>
      </c>
      <c r="L208" s="35" t="str">
        <f>IF(certifications[[#This Row],[ISSUE DATE]]="", "", TEXT(certifications[[#This Row],[ISSUE DATE]], "YYYY"))</f>
        <v>2022</v>
      </c>
    </row>
    <row r="209" spans="1:12" s="29" customFormat="1" ht="23.95" customHeight="1" x14ac:dyDescent="0.3">
      <c r="A209" s="31"/>
      <c r="B209" s="24">
        <v>196</v>
      </c>
      <c r="C209" s="24" t="s">
        <v>265</v>
      </c>
      <c r="D209" s="24" t="s">
        <v>32</v>
      </c>
      <c r="E209" s="24" t="s">
        <v>26</v>
      </c>
      <c r="F209" s="24">
        <v>17676</v>
      </c>
      <c r="G209" s="25">
        <v>44767</v>
      </c>
      <c r="H209" s="25">
        <v>46228</v>
      </c>
      <c r="I209" s="24" t="s">
        <v>10</v>
      </c>
      <c r="J209" s="24" t="s">
        <v>33</v>
      </c>
      <c r="K209" s="24" t="str">
        <f>IF(certifications[[#This Row],[ISSUE DATE]]="", "", TEXT(certifications[[#This Row],[ISSUE DATE]], "MMM"))</f>
        <v>Jul</v>
      </c>
      <c r="L209" s="35" t="str">
        <f>IF(certifications[[#This Row],[ISSUE DATE]]="", "", TEXT(certifications[[#This Row],[ISSUE DATE]], "YYYY"))</f>
        <v>2022</v>
      </c>
    </row>
    <row r="210" spans="1:12" s="29" customFormat="1" ht="23.95" customHeight="1" x14ac:dyDescent="0.3">
      <c r="A210" s="31"/>
      <c r="B210" s="24">
        <v>197</v>
      </c>
      <c r="C210" s="24" t="s">
        <v>266</v>
      </c>
      <c r="D210" s="24" t="s">
        <v>18</v>
      </c>
      <c r="E210" s="24" t="s">
        <v>26</v>
      </c>
      <c r="F210" s="24">
        <v>13021</v>
      </c>
      <c r="G210" s="25">
        <v>43541</v>
      </c>
      <c r="H210" s="25">
        <v>46463</v>
      </c>
      <c r="I210" s="24" t="s">
        <v>10</v>
      </c>
      <c r="J210" s="24" t="s">
        <v>19</v>
      </c>
      <c r="K210" s="24" t="str">
        <f>IF(certifications[[#This Row],[ISSUE DATE]]="", "", TEXT(certifications[[#This Row],[ISSUE DATE]], "MMM"))</f>
        <v>Mar</v>
      </c>
      <c r="L210" s="35" t="str">
        <f>IF(certifications[[#This Row],[ISSUE DATE]]="", "", TEXT(certifications[[#This Row],[ISSUE DATE]], "YYYY"))</f>
        <v>2019</v>
      </c>
    </row>
    <row r="211" spans="1:12" s="29" customFormat="1" ht="23.95" customHeight="1" x14ac:dyDescent="0.3">
      <c r="A211" s="31"/>
      <c r="B211" s="24">
        <v>198</v>
      </c>
      <c r="C211" s="24" t="s">
        <v>267</v>
      </c>
      <c r="D211" s="24" t="s">
        <v>260</v>
      </c>
      <c r="E211" s="24" t="s">
        <v>9</v>
      </c>
      <c r="F211" s="24">
        <v>7153</v>
      </c>
      <c r="G211" s="25">
        <v>42915</v>
      </c>
      <c r="H211" s="25">
        <v>45837</v>
      </c>
      <c r="I211" s="24" t="s">
        <v>10</v>
      </c>
      <c r="J211" s="24" t="s">
        <v>14</v>
      </c>
      <c r="K211" s="24" t="str">
        <f>IF(certifications[[#This Row],[ISSUE DATE]]="", "", TEXT(certifications[[#This Row],[ISSUE DATE]], "MMM"))</f>
        <v>Jun</v>
      </c>
      <c r="L211" s="35" t="str">
        <f>IF(certifications[[#This Row],[ISSUE DATE]]="", "", TEXT(certifications[[#This Row],[ISSUE DATE]], "YYYY"))</f>
        <v>2017</v>
      </c>
    </row>
    <row r="212" spans="1:12" s="29" customFormat="1" ht="23.95" customHeight="1" x14ac:dyDescent="0.3">
      <c r="A212" s="31"/>
      <c r="B212" s="24">
        <v>199</v>
      </c>
      <c r="C212" s="24" t="s">
        <v>268</v>
      </c>
      <c r="D212" s="24" t="s">
        <v>269</v>
      </c>
      <c r="E212" s="24" t="s">
        <v>9</v>
      </c>
      <c r="F212" s="24">
        <v>9449</v>
      </c>
      <c r="G212" s="25">
        <v>42346</v>
      </c>
      <c r="H212" s="25">
        <v>43077</v>
      </c>
      <c r="I212" s="24" t="s">
        <v>16</v>
      </c>
      <c r="J212" s="24" t="s">
        <v>25</v>
      </c>
      <c r="K212" s="24" t="str">
        <f>IF(certifications[[#This Row],[ISSUE DATE]]="", "", TEXT(certifications[[#This Row],[ISSUE DATE]], "MMM"))</f>
        <v>Dec</v>
      </c>
      <c r="L212" s="35" t="str">
        <f>IF(certifications[[#This Row],[ISSUE DATE]]="", "", TEXT(certifications[[#This Row],[ISSUE DATE]], "YYYY"))</f>
        <v>2015</v>
      </c>
    </row>
    <row r="213" spans="1:12" s="29" customFormat="1" ht="23.95" customHeight="1" x14ac:dyDescent="0.3">
      <c r="A213" s="31"/>
      <c r="B213" s="24">
        <v>200</v>
      </c>
      <c r="C213" s="24" t="s">
        <v>270</v>
      </c>
      <c r="D213" s="24" t="s">
        <v>32</v>
      </c>
      <c r="E213" s="24" t="s">
        <v>9</v>
      </c>
      <c r="F213" s="24">
        <v>12218</v>
      </c>
      <c r="G213" s="25">
        <v>43350</v>
      </c>
      <c r="H213" s="25">
        <v>46272</v>
      </c>
      <c r="I213" s="24" t="s">
        <v>10</v>
      </c>
      <c r="J213" s="24" t="s">
        <v>33</v>
      </c>
      <c r="K213" s="24" t="str">
        <f>IF(certifications[[#This Row],[ISSUE DATE]]="", "", TEXT(certifications[[#This Row],[ISSUE DATE]], "MMM"))</f>
        <v>Sep</v>
      </c>
      <c r="L213" s="35" t="str">
        <f>IF(certifications[[#This Row],[ISSUE DATE]]="", "", TEXT(certifications[[#This Row],[ISSUE DATE]], "YYYY"))</f>
        <v>2018</v>
      </c>
    </row>
    <row r="214" spans="1:12" s="29" customFormat="1" ht="23.95" customHeight="1" x14ac:dyDescent="0.3">
      <c r="A214" s="31"/>
      <c r="B214" s="24">
        <v>201</v>
      </c>
      <c r="C214" s="24" t="s">
        <v>271</v>
      </c>
      <c r="D214" s="24" t="s">
        <v>141</v>
      </c>
      <c r="E214" s="24" t="s">
        <v>9</v>
      </c>
      <c r="F214" s="24">
        <v>16786</v>
      </c>
      <c r="G214" s="25">
        <v>45457</v>
      </c>
      <c r="H214" s="25">
        <v>46187</v>
      </c>
      <c r="I214" s="24" t="s">
        <v>10</v>
      </c>
      <c r="J214" s="24" t="s">
        <v>38</v>
      </c>
      <c r="K214" s="24" t="str">
        <f>IF(certifications[[#This Row],[ISSUE DATE]]="", "", TEXT(certifications[[#This Row],[ISSUE DATE]], "MMM"))</f>
        <v>Jun</v>
      </c>
      <c r="L214" s="35" t="str">
        <f>IF(certifications[[#This Row],[ISSUE DATE]]="", "", TEXT(certifications[[#This Row],[ISSUE DATE]], "YYYY"))</f>
        <v>2024</v>
      </c>
    </row>
    <row r="215" spans="1:12" s="29" customFormat="1" ht="23.95" customHeight="1" x14ac:dyDescent="0.3">
      <c r="A215" s="31"/>
      <c r="B215" s="24">
        <v>202</v>
      </c>
      <c r="C215" s="24" t="s">
        <v>271</v>
      </c>
      <c r="D215" s="24" t="s">
        <v>141</v>
      </c>
      <c r="E215" s="24" t="s">
        <v>26</v>
      </c>
      <c r="F215" s="24">
        <v>16786</v>
      </c>
      <c r="G215" s="25">
        <v>45440</v>
      </c>
      <c r="H215" s="25">
        <v>46170</v>
      </c>
      <c r="I215" s="24" t="s">
        <v>10</v>
      </c>
      <c r="J215" s="24" t="s">
        <v>38</v>
      </c>
      <c r="K215" s="24" t="str">
        <f>IF(certifications[[#This Row],[ISSUE DATE]]="", "", TEXT(certifications[[#This Row],[ISSUE DATE]], "MMM"))</f>
        <v>May</v>
      </c>
      <c r="L215" s="35" t="str">
        <f>IF(certifications[[#This Row],[ISSUE DATE]]="", "", TEXT(certifications[[#This Row],[ISSUE DATE]], "YYYY"))</f>
        <v>2024</v>
      </c>
    </row>
    <row r="216" spans="1:12" s="29" customFormat="1" ht="23.95" customHeight="1" x14ac:dyDescent="0.3">
      <c r="A216" s="31"/>
      <c r="B216" s="24">
        <v>203</v>
      </c>
      <c r="C216" s="24" t="s">
        <v>272</v>
      </c>
      <c r="D216" s="24" t="s">
        <v>273</v>
      </c>
      <c r="E216" s="24" t="s">
        <v>9</v>
      </c>
      <c r="F216" s="24">
        <v>15711</v>
      </c>
      <c r="G216" s="25">
        <v>44172</v>
      </c>
      <c r="H216" s="25">
        <v>44902</v>
      </c>
      <c r="I216" s="24" t="s">
        <v>16</v>
      </c>
      <c r="J216" s="24" t="s">
        <v>30</v>
      </c>
      <c r="K216" s="24" t="str">
        <f>IF(certifications[[#This Row],[ISSUE DATE]]="", "", TEXT(certifications[[#This Row],[ISSUE DATE]], "MMM"))</f>
        <v>Dec</v>
      </c>
      <c r="L216" s="35" t="str">
        <f>IF(certifications[[#This Row],[ISSUE DATE]]="", "", TEXT(certifications[[#This Row],[ISSUE DATE]], "YYYY"))</f>
        <v>2020</v>
      </c>
    </row>
    <row r="217" spans="1:12" s="29" customFormat="1" ht="23.95" customHeight="1" x14ac:dyDescent="0.3">
      <c r="A217" s="31"/>
      <c r="B217" s="24">
        <v>204</v>
      </c>
      <c r="C217" s="24" t="s">
        <v>274</v>
      </c>
      <c r="D217" s="24" t="s">
        <v>32</v>
      </c>
      <c r="E217" s="24" t="s">
        <v>9</v>
      </c>
      <c r="F217" s="24">
        <v>10010</v>
      </c>
      <c r="G217" s="25">
        <v>42753</v>
      </c>
      <c r="H217" s="25">
        <v>44214</v>
      </c>
      <c r="I217" s="24" t="s">
        <v>16</v>
      </c>
      <c r="J217" s="24" t="s">
        <v>33</v>
      </c>
      <c r="K217" s="24" t="str">
        <f>IF(certifications[[#This Row],[ISSUE DATE]]="", "", TEXT(certifications[[#This Row],[ISSUE DATE]], "MMM"))</f>
        <v>Jan</v>
      </c>
      <c r="L217" s="35" t="str">
        <f>IF(certifications[[#This Row],[ISSUE DATE]]="", "", TEXT(certifications[[#This Row],[ISSUE DATE]], "YYYY"))</f>
        <v>2017</v>
      </c>
    </row>
    <row r="218" spans="1:12" s="29" customFormat="1" ht="23.95" customHeight="1" x14ac:dyDescent="0.3">
      <c r="A218" s="31"/>
      <c r="B218" s="24">
        <v>205</v>
      </c>
      <c r="C218" s="24" t="s">
        <v>275</v>
      </c>
      <c r="D218" s="24" t="s">
        <v>32</v>
      </c>
      <c r="E218" s="24" t="s">
        <v>9</v>
      </c>
      <c r="F218" s="24">
        <v>9600</v>
      </c>
      <c r="G218" s="25">
        <v>42514</v>
      </c>
      <c r="H218" s="25">
        <v>43244</v>
      </c>
      <c r="I218" s="24" t="s">
        <v>16</v>
      </c>
      <c r="J218" s="24" t="s">
        <v>33</v>
      </c>
      <c r="K218" s="24" t="str">
        <f>IF(certifications[[#This Row],[ISSUE DATE]]="", "", TEXT(certifications[[#This Row],[ISSUE DATE]], "MMM"))</f>
        <v>May</v>
      </c>
      <c r="L218" s="35" t="str">
        <f>IF(certifications[[#This Row],[ISSUE DATE]]="", "", TEXT(certifications[[#This Row],[ISSUE DATE]], "YYYY"))</f>
        <v>2016</v>
      </c>
    </row>
    <row r="219" spans="1:12" s="29" customFormat="1" ht="23.95" customHeight="1" x14ac:dyDescent="0.3">
      <c r="A219" s="31"/>
      <c r="B219" s="24">
        <v>206</v>
      </c>
      <c r="C219" s="24" t="s">
        <v>276</v>
      </c>
      <c r="D219" s="24" t="s">
        <v>46</v>
      </c>
      <c r="E219" s="24" t="s">
        <v>9</v>
      </c>
      <c r="F219" s="24">
        <v>12376</v>
      </c>
      <c r="G219" s="25">
        <v>43474</v>
      </c>
      <c r="H219" s="25">
        <v>46297</v>
      </c>
      <c r="I219" s="24" t="s">
        <v>10</v>
      </c>
      <c r="J219" s="24" t="s">
        <v>38</v>
      </c>
      <c r="K219" s="24" t="str">
        <f>IF(certifications[[#This Row],[ISSUE DATE]]="", "", TEXT(certifications[[#This Row],[ISSUE DATE]], "MMM"))</f>
        <v>Jan</v>
      </c>
      <c r="L219" s="35" t="str">
        <f>IF(certifications[[#This Row],[ISSUE DATE]]="", "", TEXT(certifications[[#This Row],[ISSUE DATE]], "YYYY"))</f>
        <v>2019</v>
      </c>
    </row>
    <row r="220" spans="1:12" s="29" customFormat="1" ht="23.95" customHeight="1" x14ac:dyDescent="0.3">
      <c r="A220" s="31"/>
      <c r="B220" s="24">
        <v>207</v>
      </c>
      <c r="C220" s="24" t="s">
        <v>277</v>
      </c>
      <c r="D220" s="24" t="s">
        <v>48</v>
      </c>
      <c r="E220" s="24" t="s">
        <v>9</v>
      </c>
      <c r="F220" s="24">
        <v>17946</v>
      </c>
      <c r="G220" s="25">
        <v>44846</v>
      </c>
      <c r="H220" s="25">
        <v>45577</v>
      </c>
      <c r="I220" s="24" t="s">
        <v>82</v>
      </c>
      <c r="J220" s="24" t="s">
        <v>38</v>
      </c>
      <c r="K220" s="24" t="str">
        <f>IF(certifications[[#This Row],[ISSUE DATE]]="", "", TEXT(certifications[[#This Row],[ISSUE DATE]], "MMM"))</f>
        <v>Oct</v>
      </c>
      <c r="L220" s="35" t="str">
        <f>IF(certifications[[#This Row],[ISSUE DATE]]="", "", TEXT(certifications[[#This Row],[ISSUE DATE]], "YYYY"))</f>
        <v>2022</v>
      </c>
    </row>
    <row r="221" spans="1:12" s="29" customFormat="1" ht="23.95" customHeight="1" x14ac:dyDescent="0.3">
      <c r="A221" s="31"/>
      <c r="B221" s="24">
        <v>208</v>
      </c>
      <c r="C221" s="24" t="s">
        <v>278</v>
      </c>
      <c r="D221" s="24" t="s">
        <v>32</v>
      </c>
      <c r="E221" s="24" t="s">
        <v>9</v>
      </c>
      <c r="F221" s="24">
        <v>21254</v>
      </c>
      <c r="G221" s="25">
        <v>45638</v>
      </c>
      <c r="H221" s="25">
        <v>46368</v>
      </c>
      <c r="I221" s="24" t="s">
        <v>10</v>
      </c>
      <c r="J221" s="24" t="s">
        <v>33</v>
      </c>
      <c r="K221" s="24" t="str">
        <f>IF(certifications[[#This Row],[ISSUE DATE]]="", "", TEXT(certifications[[#This Row],[ISSUE DATE]], "MMM"))</f>
        <v>Dec</v>
      </c>
      <c r="L221" s="35" t="str">
        <f>IF(certifications[[#This Row],[ISSUE DATE]]="", "", TEXT(certifications[[#This Row],[ISSUE DATE]], "YYYY"))</f>
        <v>2024</v>
      </c>
    </row>
    <row r="222" spans="1:12" s="29" customFormat="1" ht="23.95" customHeight="1" x14ac:dyDescent="0.3">
      <c r="A222" s="31"/>
      <c r="B222" s="24">
        <v>209</v>
      </c>
      <c r="C222" s="24" t="s">
        <v>279</v>
      </c>
      <c r="D222" s="24" t="s">
        <v>32</v>
      </c>
      <c r="E222" s="24" t="s">
        <v>9</v>
      </c>
      <c r="F222" s="24">
        <v>11061</v>
      </c>
      <c r="G222" s="25">
        <v>43203</v>
      </c>
      <c r="H222" s="25">
        <v>44664</v>
      </c>
      <c r="I222" s="24" t="s">
        <v>16</v>
      </c>
      <c r="J222" s="24" t="s">
        <v>33</v>
      </c>
      <c r="K222" s="24" t="str">
        <f>IF(certifications[[#This Row],[ISSUE DATE]]="", "", TEXT(certifications[[#This Row],[ISSUE DATE]], "MMM"))</f>
        <v>Apr</v>
      </c>
      <c r="L222" s="35" t="str">
        <f>IF(certifications[[#This Row],[ISSUE DATE]]="", "", TEXT(certifications[[#This Row],[ISSUE DATE]], "YYYY"))</f>
        <v>2018</v>
      </c>
    </row>
    <row r="223" spans="1:12" s="29" customFormat="1" ht="23.95" customHeight="1" x14ac:dyDescent="0.3">
      <c r="A223" s="31"/>
      <c r="B223" s="24">
        <v>210</v>
      </c>
      <c r="C223" s="24" t="s">
        <v>280</v>
      </c>
      <c r="D223" s="24" t="s">
        <v>32</v>
      </c>
      <c r="E223" s="24" t="s">
        <v>9</v>
      </c>
      <c r="F223" s="24">
        <v>17304</v>
      </c>
      <c r="G223" s="25">
        <v>44656</v>
      </c>
      <c r="H223" s="25">
        <v>45387</v>
      </c>
      <c r="I223" s="24" t="s">
        <v>16</v>
      </c>
      <c r="J223" s="24" t="s">
        <v>33</v>
      </c>
      <c r="K223" s="24" t="str">
        <f>IF(certifications[[#This Row],[ISSUE DATE]]="", "", TEXT(certifications[[#This Row],[ISSUE DATE]], "MMM"))</f>
        <v>Apr</v>
      </c>
      <c r="L223" s="35" t="str">
        <f>IF(certifications[[#This Row],[ISSUE DATE]]="", "", TEXT(certifications[[#This Row],[ISSUE DATE]], "YYYY"))</f>
        <v>2022</v>
      </c>
    </row>
    <row r="224" spans="1:12" s="29" customFormat="1" ht="23.95" customHeight="1" x14ac:dyDescent="0.3">
      <c r="A224" s="31"/>
      <c r="B224" s="24">
        <v>211</v>
      </c>
      <c r="C224" s="24" t="s">
        <v>281</v>
      </c>
      <c r="D224" s="24" t="s">
        <v>141</v>
      </c>
      <c r="E224" s="24" t="s">
        <v>9</v>
      </c>
      <c r="F224" s="24">
        <v>11711</v>
      </c>
      <c r="G224" s="25">
        <v>43272</v>
      </c>
      <c r="H224" s="25">
        <v>44003</v>
      </c>
      <c r="I224" s="24" t="s">
        <v>16</v>
      </c>
      <c r="J224" s="24" t="s">
        <v>38</v>
      </c>
      <c r="K224" s="24" t="str">
        <f>IF(certifications[[#This Row],[ISSUE DATE]]="", "", TEXT(certifications[[#This Row],[ISSUE DATE]], "MMM"))</f>
        <v>Jun</v>
      </c>
      <c r="L224" s="35" t="str">
        <f>IF(certifications[[#This Row],[ISSUE DATE]]="", "", TEXT(certifications[[#This Row],[ISSUE DATE]], "YYYY"))</f>
        <v>2018</v>
      </c>
    </row>
    <row r="225" spans="1:12" s="29" customFormat="1" ht="23.95" customHeight="1" x14ac:dyDescent="0.3">
      <c r="A225" s="31"/>
      <c r="B225" s="24">
        <v>212</v>
      </c>
      <c r="C225" s="24" t="s">
        <v>281</v>
      </c>
      <c r="D225" s="24" t="s">
        <v>141</v>
      </c>
      <c r="E225" s="24" t="s">
        <v>26</v>
      </c>
      <c r="F225" s="24">
        <v>11711</v>
      </c>
      <c r="G225" s="25">
        <v>43322</v>
      </c>
      <c r="H225" s="25">
        <v>44053</v>
      </c>
      <c r="I225" s="24" t="s">
        <v>16</v>
      </c>
      <c r="J225" s="24" t="s">
        <v>38</v>
      </c>
      <c r="K225" s="24" t="str">
        <f>IF(certifications[[#This Row],[ISSUE DATE]]="", "", TEXT(certifications[[#This Row],[ISSUE DATE]], "MMM"))</f>
        <v>Aug</v>
      </c>
      <c r="L225" s="35" t="str">
        <f>IF(certifications[[#This Row],[ISSUE DATE]]="", "", TEXT(certifications[[#This Row],[ISSUE DATE]], "YYYY"))</f>
        <v>2018</v>
      </c>
    </row>
    <row r="226" spans="1:12" s="29" customFormat="1" ht="23.95" customHeight="1" x14ac:dyDescent="0.3">
      <c r="A226" s="31"/>
      <c r="B226" s="24">
        <v>213</v>
      </c>
      <c r="C226" s="24" t="s">
        <v>282</v>
      </c>
      <c r="D226" s="24" t="s">
        <v>190</v>
      </c>
      <c r="E226" s="24" t="s">
        <v>9</v>
      </c>
      <c r="F226" s="24">
        <v>21046</v>
      </c>
      <c r="G226" s="25">
        <v>45590</v>
      </c>
      <c r="H226" s="25">
        <v>46320</v>
      </c>
      <c r="I226" s="24" t="s">
        <v>10</v>
      </c>
      <c r="J226" s="24" t="s">
        <v>14</v>
      </c>
      <c r="K226" s="24" t="str">
        <f>IF(certifications[[#This Row],[ISSUE DATE]]="", "", TEXT(certifications[[#This Row],[ISSUE DATE]], "MMM"))</f>
        <v>Oct</v>
      </c>
      <c r="L226" s="35" t="str">
        <f>IF(certifications[[#This Row],[ISSUE DATE]]="", "", TEXT(certifications[[#This Row],[ISSUE DATE]], "YYYY"))</f>
        <v>2024</v>
      </c>
    </row>
    <row r="227" spans="1:12" s="29" customFormat="1" ht="23.95" customHeight="1" x14ac:dyDescent="0.3">
      <c r="A227" s="31"/>
      <c r="B227" s="24">
        <v>214</v>
      </c>
      <c r="C227" s="24" t="s">
        <v>283</v>
      </c>
      <c r="D227" s="24" t="s">
        <v>32</v>
      </c>
      <c r="E227" s="24" t="s">
        <v>9</v>
      </c>
      <c r="F227" s="24">
        <v>14953</v>
      </c>
      <c r="G227" s="25">
        <v>43818</v>
      </c>
      <c r="H227" s="25">
        <v>44549</v>
      </c>
      <c r="I227" s="24" t="s">
        <v>16</v>
      </c>
      <c r="J227" s="24" t="s">
        <v>33</v>
      </c>
      <c r="K227" s="24" t="str">
        <f>IF(certifications[[#This Row],[ISSUE DATE]]="", "", TEXT(certifications[[#This Row],[ISSUE DATE]], "MMM"))</f>
        <v>Dec</v>
      </c>
      <c r="L227" s="35" t="str">
        <f>IF(certifications[[#This Row],[ISSUE DATE]]="", "", TEXT(certifications[[#This Row],[ISSUE DATE]], "YYYY"))</f>
        <v>2019</v>
      </c>
    </row>
    <row r="228" spans="1:12" s="29" customFormat="1" ht="23.95" customHeight="1" x14ac:dyDescent="0.3">
      <c r="A228" s="31"/>
      <c r="B228" s="24">
        <v>215</v>
      </c>
      <c r="C228" s="24" t="s">
        <v>284</v>
      </c>
      <c r="D228" s="24" t="s">
        <v>88</v>
      </c>
      <c r="E228" s="24" t="s">
        <v>26</v>
      </c>
      <c r="F228" s="24">
        <v>13355</v>
      </c>
      <c r="G228" s="25">
        <v>43605</v>
      </c>
      <c r="H228" s="25">
        <v>44336</v>
      </c>
      <c r="I228" s="24" t="s">
        <v>16</v>
      </c>
      <c r="J228" s="24" t="s">
        <v>19</v>
      </c>
      <c r="K228" s="24" t="str">
        <f>IF(certifications[[#This Row],[ISSUE DATE]]="", "", TEXT(certifications[[#This Row],[ISSUE DATE]], "MMM"))</f>
        <v>May</v>
      </c>
      <c r="L228" s="35" t="str">
        <f>IF(certifications[[#This Row],[ISSUE DATE]]="", "", TEXT(certifications[[#This Row],[ISSUE DATE]], "YYYY"))</f>
        <v>2019</v>
      </c>
    </row>
    <row r="229" spans="1:12" s="29" customFormat="1" ht="23.95" customHeight="1" x14ac:dyDescent="0.3">
      <c r="A229" s="31"/>
      <c r="B229" s="24">
        <v>216</v>
      </c>
      <c r="C229" s="24" t="s">
        <v>285</v>
      </c>
      <c r="D229" s="24" t="s">
        <v>13</v>
      </c>
      <c r="E229" s="24" t="s">
        <v>9</v>
      </c>
      <c r="F229" s="24">
        <v>15021</v>
      </c>
      <c r="G229" s="25">
        <v>43840</v>
      </c>
      <c r="H229" s="25">
        <v>44571</v>
      </c>
      <c r="I229" s="24" t="s">
        <v>16</v>
      </c>
      <c r="J229" s="24" t="s">
        <v>14</v>
      </c>
      <c r="K229" s="24" t="str">
        <f>IF(certifications[[#This Row],[ISSUE DATE]]="", "", TEXT(certifications[[#This Row],[ISSUE DATE]], "MMM"))</f>
        <v>Jan</v>
      </c>
      <c r="L229" s="35" t="str">
        <f>IF(certifications[[#This Row],[ISSUE DATE]]="", "", TEXT(certifications[[#This Row],[ISSUE DATE]], "YYYY"))</f>
        <v>2020</v>
      </c>
    </row>
    <row r="230" spans="1:12" s="29" customFormat="1" ht="23.95" customHeight="1" x14ac:dyDescent="0.3">
      <c r="A230" s="31"/>
      <c r="B230" s="24">
        <v>217</v>
      </c>
      <c r="C230" s="24" t="s">
        <v>286</v>
      </c>
      <c r="D230" s="24" t="s">
        <v>148</v>
      </c>
      <c r="E230" s="24" t="s">
        <v>9</v>
      </c>
      <c r="F230" s="24">
        <v>8934</v>
      </c>
      <c r="G230" s="25">
        <v>41817</v>
      </c>
      <c r="H230" s="25">
        <v>46200</v>
      </c>
      <c r="I230" s="24" t="s">
        <v>10</v>
      </c>
      <c r="J230" s="24" t="s">
        <v>14</v>
      </c>
      <c r="K230" s="24" t="str">
        <f>IF(certifications[[#This Row],[ISSUE DATE]]="", "", TEXT(certifications[[#This Row],[ISSUE DATE]], "MMM"))</f>
        <v>Jun</v>
      </c>
      <c r="L230" s="35" t="str">
        <f>IF(certifications[[#This Row],[ISSUE DATE]]="", "", TEXT(certifications[[#This Row],[ISSUE DATE]], "YYYY"))</f>
        <v>2014</v>
      </c>
    </row>
    <row r="231" spans="1:12" s="29" customFormat="1" ht="23.95" customHeight="1" x14ac:dyDescent="0.3">
      <c r="A231" s="31"/>
      <c r="B231" s="24">
        <v>218</v>
      </c>
      <c r="C231" s="3" t="s">
        <v>286</v>
      </c>
      <c r="D231" s="3" t="s">
        <v>148</v>
      </c>
      <c r="E231" s="3" t="s">
        <v>27</v>
      </c>
      <c r="F231" s="3">
        <v>8934</v>
      </c>
      <c r="G231" s="4">
        <v>44315</v>
      </c>
      <c r="H231" s="4">
        <v>46200</v>
      </c>
      <c r="I231" s="3" t="s">
        <v>10</v>
      </c>
      <c r="J231" s="3" t="s">
        <v>14</v>
      </c>
      <c r="K231" s="3" t="str">
        <f>IF(certifications[[#This Row],[ISSUE DATE]]="", "", TEXT(certifications[[#This Row],[ISSUE DATE]], "MMM"))</f>
        <v>Apr</v>
      </c>
      <c r="L231" s="36" t="str">
        <f>IF(certifications[[#This Row],[ISSUE DATE]]="", "", TEXT(certifications[[#This Row],[ISSUE DATE]], "YYYY"))</f>
        <v>2021</v>
      </c>
    </row>
    <row r="232" spans="1:12" s="29" customFormat="1" ht="23.95" customHeight="1" x14ac:dyDescent="0.3">
      <c r="A232" s="31"/>
      <c r="B232" s="24">
        <v>219</v>
      </c>
      <c r="C232" s="24" t="s">
        <v>287</v>
      </c>
      <c r="D232" s="24" t="s">
        <v>32</v>
      </c>
      <c r="E232" s="24" t="s">
        <v>9</v>
      </c>
      <c r="F232" s="24">
        <v>12693</v>
      </c>
      <c r="G232" s="25">
        <v>43474</v>
      </c>
      <c r="H232" s="25">
        <v>44205</v>
      </c>
      <c r="I232" s="24" t="s">
        <v>16</v>
      </c>
      <c r="J232" s="24" t="s">
        <v>33</v>
      </c>
      <c r="K232" s="24" t="str">
        <f>IF(certifications[[#This Row],[ISSUE DATE]]="", "", TEXT(certifications[[#This Row],[ISSUE DATE]], "MMM"))</f>
        <v>Jan</v>
      </c>
      <c r="L232" s="35" t="str">
        <f>IF(certifications[[#This Row],[ISSUE DATE]]="", "", TEXT(certifications[[#This Row],[ISSUE DATE]], "YYYY"))</f>
        <v>2019</v>
      </c>
    </row>
    <row r="233" spans="1:12" s="29" customFormat="1" ht="23.95" customHeight="1" x14ac:dyDescent="0.3">
      <c r="A233" s="31"/>
      <c r="B233" s="24">
        <v>220</v>
      </c>
      <c r="C233" s="24" t="s">
        <v>288</v>
      </c>
      <c r="D233" s="24" t="s">
        <v>133</v>
      </c>
      <c r="E233" s="24" t="s">
        <v>9</v>
      </c>
      <c r="F233" s="24">
        <v>7504</v>
      </c>
      <c r="G233" s="25">
        <v>40255</v>
      </c>
      <c r="H233" s="25">
        <v>40986</v>
      </c>
      <c r="I233" s="24" t="s">
        <v>16</v>
      </c>
      <c r="J233" s="24" t="s">
        <v>14</v>
      </c>
      <c r="K233" s="24" t="str">
        <f>IF(certifications[[#This Row],[ISSUE DATE]]="", "", TEXT(certifications[[#This Row],[ISSUE DATE]], "MMM"))</f>
        <v>Mar</v>
      </c>
      <c r="L233" s="35" t="str">
        <f>IF(certifications[[#This Row],[ISSUE DATE]]="", "", TEXT(certifications[[#This Row],[ISSUE DATE]], "YYYY"))</f>
        <v>2010</v>
      </c>
    </row>
    <row r="234" spans="1:12" s="29" customFormat="1" ht="23.95" customHeight="1" x14ac:dyDescent="0.3">
      <c r="A234" s="31"/>
      <c r="B234" s="24">
        <v>221</v>
      </c>
      <c r="C234" s="24" t="s">
        <v>289</v>
      </c>
      <c r="D234" s="24" t="s">
        <v>290</v>
      </c>
      <c r="E234" s="24" t="s">
        <v>9</v>
      </c>
      <c r="F234" s="24">
        <v>17163</v>
      </c>
      <c r="G234" s="25">
        <v>44605</v>
      </c>
      <c r="H234" s="25">
        <v>46066</v>
      </c>
      <c r="I234" s="24" t="s">
        <v>10</v>
      </c>
      <c r="J234" s="24" t="s">
        <v>25</v>
      </c>
      <c r="K234" s="24" t="str">
        <f>IF(certifications[[#This Row],[ISSUE DATE]]="", "", TEXT(certifications[[#This Row],[ISSUE DATE]], "MMM"))</f>
        <v>Feb</v>
      </c>
      <c r="L234" s="35" t="str">
        <f>IF(certifications[[#This Row],[ISSUE DATE]]="", "", TEXT(certifications[[#This Row],[ISSUE DATE]], "YYYY"))</f>
        <v>2022</v>
      </c>
    </row>
    <row r="235" spans="1:12" s="29" customFormat="1" ht="23.95" customHeight="1" x14ac:dyDescent="0.3">
      <c r="A235" s="31"/>
      <c r="B235" s="24">
        <v>222</v>
      </c>
      <c r="C235" s="24" t="s">
        <v>291</v>
      </c>
      <c r="D235" s="24" t="s">
        <v>80</v>
      </c>
      <c r="E235" s="24" t="s">
        <v>9</v>
      </c>
      <c r="F235" s="24">
        <v>17307</v>
      </c>
      <c r="G235" s="25">
        <v>44656</v>
      </c>
      <c r="H235" s="25">
        <v>46117</v>
      </c>
      <c r="I235" s="24" t="s">
        <v>10</v>
      </c>
      <c r="J235" s="24" t="s">
        <v>38</v>
      </c>
      <c r="K235" s="24" t="str">
        <f>IF(certifications[[#This Row],[ISSUE DATE]]="", "", TEXT(certifications[[#This Row],[ISSUE DATE]], "MMM"))</f>
        <v>Apr</v>
      </c>
      <c r="L235" s="35" t="str">
        <f>IF(certifications[[#This Row],[ISSUE DATE]]="", "", TEXT(certifications[[#This Row],[ISSUE DATE]], "YYYY"))</f>
        <v>2022</v>
      </c>
    </row>
    <row r="236" spans="1:12" s="29" customFormat="1" ht="23.95" customHeight="1" x14ac:dyDescent="0.3">
      <c r="A236" s="31"/>
      <c r="B236" s="24">
        <v>223</v>
      </c>
      <c r="C236" s="24" t="s">
        <v>292</v>
      </c>
      <c r="D236" s="24" t="s">
        <v>13</v>
      </c>
      <c r="E236" s="24" t="s">
        <v>9</v>
      </c>
      <c r="F236" s="24">
        <v>15076</v>
      </c>
      <c r="G236" s="25">
        <v>43857</v>
      </c>
      <c r="H236" s="25">
        <v>44588</v>
      </c>
      <c r="I236" s="24" t="s">
        <v>16</v>
      </c>
      <c r="J236" s="24" t="s">
        <v>14</v>
      </c>
      <c r="K236" s="24" t="str">
        <f>IF(certifications[[#This Row],[ISSUE DATE]]="", "", TEXT(certifications[[#This Row],[ISSUE DATE]], "MMM"))</f>
        <v>Jan</v>
      </c>
      <c r="L236" s="35" t="str">
        <f>IF(certifications[[#This Row],[ISSUE DATE]]="", "", TEXT(certifications[[#This Row],[ISSUE DATE]], "YYYY"))</f>
        <v>2020</v>
      </c>
    </row>
    <row r="237" spans="1:12" s="29" customFormat="1" ht="23.95" customHeight="1" x14ac:dyDescent="0.3">
      <c r="A237" s="31"/>
      <c r="B237" s="24">
        <v>224</v>
      </c>
      <c r="C237" s="24" t="s">
        <v>293</v>
      </c>
      <c r="D237" s="24" t="s">
        <v>13</v>
      </c>
      <c r="E237" s="24" t="s">
        <v>9</v>
      </c>
      <c r="F237" s="24">
        <v>12775</v>
      </c>
      <c r="G237" s="25">
        <v>43490</v>
      </c>
      <c r="H237" s="25">
        <v>44221</v>
      </c>
      <c r="I237" s="24" t="s">
        <v>16</v>
      </c>
      <c r="J237" s="24" t="s">
        <v>14</v>
      </c>
      <c r="K237" s="24" t="str">
        <f>IF(certifications[[#This Row],[ISSUE DATE]]="", "", TEXT(certifications[[#This Row],[ISSUE DATE]], "MMM"))</f>
        <v>Jan</v>
      </c>
      <c r="L237" s="35" t="str">
        <f>IF(certifications[[#This Row],[ISSUE DATE]]="", "", TEXT(certifications[[#This Row],[ISSUE DATE]], "YYYY"))</f>
        <v>2019</v>
      </c>
    </row>
    <row r="238" spans="1:12" s="29" customFormat="1" ht="23.95" customHeight="1" x14ac:dyDescent="0.3">
      <c r="A238" s="31"/>
      <c r="B238" s="24">
        <v>225</v>
      </c>
      <c r="C238" s="24" t="s">
        <v>294</v>
      </c>
      <c r="D238" s="24" t="s">
        <v>88</v>
      </c>
      <c r="E238" s="24" t="s">
        <v>9</v>
      </c>
      <c r="F238" s="24">
        <v>12729</v>
      </c>
      <c r="G238" s="25">
        <v>43479</v>
      </c>
      <c r="H238" s="25">
        <v>44210</v>
      </c>
      <c r="I238" s="24" t="s">
        <v>16</v>
      </c>
      <c r="J238" s="24" t="s">
        <v>19</v>
      </c>
      <c r="K238" s="24" t="str">
        <f>IF(certifications[[#This Row],[ISSUE DATE]]="", "", TEXT(certifications[[#This Row],[ISSUE DATE]], "MMM"))</f>
        <v>Jan</v>
      </c>
      <c r="L238" s="35" t="str">
        <f>IF(certifications[[#This Row],[ISSUE DATE]]="", "", TEXT(certifications[[#This Row],[ISSUE DATE]], "YYYY"))</f>
        <v>2019</v>
      </c>
    </row>
    <row r="239" spans="1:12" s="29" customFormat="1" ht="23.95" customHeight="1" x14ac:dyDescent="0.3">
      <c r="A239" s="31"/>
      <c r="B239" s="24">
        <v>226</v>
      </c>
      <c r="C239" s="24" t="s">
        <v>295</v>
      </c>
      <c r="D239" s="24" t="s">
        <v>29</v>
      </c>
      <c r="E239" s="24" t="s">
        <v>9</v>
      </c>
      <c r="F239" s="24">
        <v>14017</v>
      </c>
      <c r="G239" s="25">
        <v>43670</v>
      </c>
      <c r="H239" s="25">
        <v>44401</v>
      </c>
      <c r="I239" s="24" t="s">
        <v>16</v>
      </c>
      <c r="J239" s="24" t="s">
        <v>30</v>
      </c>
      <c r="K239" s="24" t="str">
        <f>IF(certifications[[#This Row],[ISSUE DATE]]="", "", TEXT(certifications[[#This Row],[ISSUE DATE]], "MMM"))</f>
        <v>Jul</v>
      </c>
      <c r="L239" s="35" t="str">
        <f>IF(certifications[[#This Row],[ISSUE DATE]]="", "", TEXT(certifications[[#This Row],[ISSUE DATE]], "YYYY"))</f>
        <v>2019</v>
      </c>
    </row>
    <row r="240" spans="1:12" s="29" customFormat="1" ht="23.95" customHeight="1" x14ac:dyDescent="0.3">
      <c r="A240" s="31"/>
      <c r="B240" s="24">
        <v>227</v>
      </c>
      <c r="C240" s="24" t="s">
        <v>296</v>
      </c>
      <c r="D240" s="24" t="s">
        <v>32</v>
      </c>
      <c r="E240" s="24" t="s">
        <v>9</v>
      </c>
      <c r="F240" s="24">
        <v>8659</v>
      </c>
      <c r="G240" s="25">
        <v>41577</v>
      </c>
      <c r="H240" s="25">
        <v>43038</v>
      </c>
      <c r="I240" s="24" t="s">
        <v>16</v>
      </c>
      <c r="J240" s="24" t="s">
        <v>33</v>
      </c>
      <c r="K240" s="24" t="str">
        <f>IF(certifications[[#This Row],[ISSUE DATE]]="", "", TEXT(certifications[[#This Row],[ISSUE DATE]], "MMM"))</f>
        <v>Oct</v>
      </c>
      <c r="L240" s="35" t="str">
        <f>IF(certifications[[#This Row],[ISSUE DATE]]="", "", TEXT(certifications[[#This Row],[ISSUE DATE]], "YYYY"))</f>
        <v>2013</v>
      </c>
    </row>
    <row r="241" spans="1:12" s="29" customFormat="1" ht="23.95" customHeight="1" x14ac:dyDescent="0.3">
      <c r="A241" s="31"/>
      <c r="B241" s="24">
        <v>228</v>
      </c>
      <c r="C241" s="24" t="s">
        <v>297</v>
      </c>
      <c r="D241" s="24" t="s">
        <v>298</v>
      </c>
      <c r="E241" s="24" t="s">
        <v>9</v>
      </c>
      <c r="F241" s="24">
        <v>8786</v>
      </c>
      <c r="G241" s="25">
        <v>41710</v>
      </c>
      <c r="H241" s="25">
        <v>43171</v>
      </c>
      <c r="I241" s="24" t="s">
        <v>16</v>
      </c>
      <c r="J241" s="24" t="s">
        <v>30</v>
      </c>
      <c r="K241" s="24" t="str">
        <f>IF(certifications[[#This Row],[ISSUE DATE]]="", "", TEXT(certifications[[#This Row],[ISSUE DATE]], "MMM"))</f>
        <v>Mar</v>
      </c>
      <c r="L241" s="35" t="str">
        <f>IF(certifications[[#This Row],[ISSUE DATE]]="", "", TEXT(certifications[[#This Row],[ISSUE DATE]], "YYYY"))</f>
        <v>2014</v>
      </c>
    </row>
    <row r="242" spans="1:12" s="29" customFormat="1" ht="23.95" customHeight="1" x14ac:dyDescent="0.3">
      <c r="A242" s="31"/>
      <c r="B242" s="24">
        <v>229</v>
      </c>
      <c r="C242" s="24" t="s">
        <v>299</v>
      </c>
      <c r="D242" s="24" t="s">
        <v>24</v>
      </c>
      <c r="E242" s="24" t="s">
        <v>9</v>
      </c>
      <c r="F242" s="24">
        <v>14552</v>
      </c>
      <c r="G242" s="25">
        <v>44605</v>
      </c>
      <c r="H242" s="25">
        <v>46066</v>
      </c>
      <c r="I242" s="24" t="s">
        <v>10</v>
      </c>
      <c r="J242" s="24" t="s">
        <v>25</v>
      </c>
      <c r="K242" s="24" t="str">
        <f>IF(certifications[[#This Row],[ISSUE DATE]]="", "", TEXT(certifications[[#This Row],[ISSUE DATE]], "MMM"))</f>
        <v>Feb</v>
      </c>
      <c r="L242" s="35" t="str">
        <f>IF(certifications[[#This Row],[ISSUE DATE]]="", "", TEXT(certifications[[#This Row],[ISSUE DATE]], "YYYY"))</f>
        <v>2022</v>
      </c>
    </row>
    <row r="243" spans="1:12" s="29" customFormat="1" ht="23.95" customHeight="1" x14ac:dyDescent="0.3">
      <c r="A243" s="31"/>
      <c r="B243" s="24">
        <v>230</v>
      </c>
      <c r="C243" s="24" t="s">
        <v>300</v>
      </c>
      <c r="D243" s="24" t="s">
        <v>67</v>
      </c>
      <c r="E243" s="24" t="s">
        <v>26</v>
      </c>
      <c r="F243" s="24">
        <v>20936</v>
      </c>
      <c r="G243" s="25">
        <v>45572</v>
      </c>
      <c r="H243" s="25">
        <v>46302</v>
      </c>
      <c r="I243" s="24" t="s">
        <v>10</v>
      </c>
      <c r="J243" s="24" t="s">
        <v>25</v>
      </c>
      <c r="K243" s="24" t="str">
        <f>IF(certifications[[#This Row],[ISSUE DATE]]="", "", TEXT(certifications[[#This Row],[ISSUE DATE]], "MMM"))</f>
        <v>Oct</v>
      </c>
      <c r="L243" s="35" t="str">
        <f>IF(certifications[[#This Row],[ISSUE DATE]]="", "", TEXT(certifications[[#This Row],[ISSUE DATE]], "YYYY"))</f>
        <v>2024</v>
      </c>
    </row>
    <row r="244" spans="1:12" s="29" customFormat="1" ht="23.95" customHeight="1" x14ac:dyDescent="0.3">
      <c r="A244" s="31"/>
      <c r="B244" s="24">
        <v>231</v>
      </c>
      <c r="C244" s="24" t="s">
        <v>301</v>
      </c>
      <c r="D244" s="24" t="s">
        <v>206</v>
      </c>
      <c r="E244" s="24" t="s">
        <v>9</v>
      </c>
      <c r="F244" s="24">
        <v>20610</v>
      </c>
      <c r="G244" s="25">
        <v>45516</v>
      </c>
      <c r="H244" s="25">
        <v>46246</v>
      </c>
      <c r="I244" s="24" t="s">
        <v>10</v>
      </c>
      <c r="J244" s="24" t="s">
        <v>30</v>
      </c>
      <c r="K244" s="24" t="str">
        <f>IF(certifications[[#This Row],[ISSUE DATE]]="", "", TEXT(certifications[[#This Row],[ISSUE DATE]], "MMM"))</f>
        <v>Aug</v>
      </c>
      <c r="L244" s="35" t="str">
        <f>IF(certifications[[#This Row],[ISSUE DATE]]="", "", TEXT(certifications[[#This Row],[ISSUE DATE]], "YYYY"))</f>
        <v>2024</v>
      </c>
    </row>
    <row r="245" spans="1:12" s="29" customFormat="1" ht="23.95" customHeight="1" x14ac:dyDescent="0.3">
      <c r="A245" s="31"/>
      <c r="B245" s="24">
        <v>232</v>
      </c>
      <c r="C245" s="24" t="s">
        <v>301</v>
      </c>
      <c r="D245" s="24" t="s">
        <v>206</v>
      </c>
      <c r="E245" s="24" t="s">
        <v>26</v>
      </c>
      <c r="F245" s="24">
        <v>20610</v>
      </c>
      <c r="G245" s="25">
        <v>45496</v>
      </c>
      <c r="H245" s="25">
        <v>46226</v>
      </c>
      <c r="I245" s="24" t="s">
        <v>10</v>
      </c>
      <c r="J245" s="24" t="s">
        <v>30</v>
      </c>
      <c r="K245" s="24" t="str">
        <f>IF(certifications[[#This Row],[ISSUE DATE]]="", "", TEXT(certifications[[#This Row],[ISSUE DATE]], "MMM"))</f>
        <v>Jul</v>
      </c>
      <c r="L245" s="35" t="str">
        <f>IF(certifications[[#This Row],[ISSUE DATE]]="", "", TEXT(certifications[[#This Row],[ISSUE DATE]], "YYYY"))</f>
        <v>2024</v>
      </c>
    </row>
    <row r="246" spans="1:12" s="29" customFormat="1" ht="23.95" customHeight="1" x14ac:dyDescent="0.3">
      <c r="A246" s="31"/>
      <c r="B246" s="24">
        <v>233</v>
      </c>
      <c r="C246" s="24" t="s">
        <v>302</v>
      </c>
      <c r="D246" s="24" t="s">
        <v>18</v>
      </c>
      <c r="E246" s="24" t="s">
        <v>9</v>
      </c>
      <c r="F246" s="24">
        <v>11683</v>
      </c>
      <c r="G246" s="25">
        <v>43269</v>
      </c>
      <c r="H246" s="25">
        <v>44730</v>
      </c>
      <c r="I246" s="24" t="s">
        <v>16</v>
      </c>
      <c r="J246" s="24" t="s">
        <v>19</v>
      </c>
      <c r="K246" s="24" t="str">
        <f>IF(certifications[[#This Row],[ISSUE DATE]]="", "", TEXT(certifications[[#This Row],[ISSUE DATE]], "MMM"))</f>
        <v>Jun</v>
      </c>
      <c r="L246" s="35" t="str">
        <f>IF(certifications[[#This Row],[ISSUE DATE]]="", "", TEXT(certifications[[#This Row],[ISSUE DATE]], "YYYY"))</f>
        <v>2018</v>
      </c>
    </row>
    <row r="247" spans="1:12" s="29" customFormat="1" ht="23.95" customHeight="1" x14ac:dyDescent="0.3">
      <c r="A247" s="31"/>
      <c r="B247" s="24">
        <v>234</v>
      </c>
      <c r="C247" s="24" t="s">
        <v>303</v>
      </c>
      <c r="D247" s="24" t="s">
        <v>63</v>
      </c>
      <c r="E247" s="24" t="s">
        <v>9</v>
      </c>
      <c r="F247" s="24">
        <v>14688</v>
      </c>
      <c r="G247" s="25">
        <v>43718</v>
      </c>
      <c r="H247" s="25">
        <v>44449</v>
      </c>
      <c r="I247" s="24" t="s">
        <v>16</v>
      </c>
      <c r="J247" s="24" t="s">
        <v>22</v>
      </c>
      <c r="K247" s="24" t="str">
        <f>IF(certifications[[#This Row],[ISSUE DATE]]="", "", TEXT(certifications[[#This Row],[ISSUE DATE]], "MMM"))</f>
        <v>Sep</v>
      </c>
      <c r="L247" s="35" t="str">
        <f>IF(certifications[[#This Row],[ISSUE DATE]]="", "", TEXT(certifications[[#This Row],[ISSUE DATE]], "YYYY"))</f>
        <v>2019</v>
      </c>
    </row>
    <row r="248" spans="1:12" s="29" customFormat="1" ht="23.95" customHeight="1" x14ac:dyDescent="0.3">
      <c r="A248" s="31"/>
      <c r="B248" s="24">
        <v>235</v>
      </c>
      <c r="C248" s="24" t="s">
        <v>304</v>
      </c>
      <c r="D248" s="24" t="s">
        <v>305</v>
      </c>
      <c r="E248" s="24" t="s">
        <v>9</v>
      </c>
      <c r="F248" s="24">
        <v>9608</v>
      </c>
      <c r="G248" s="25">
        <v>42513</v>
      </c>
      <c r="H248" s="25">
        <v>43243</v>
      </c>
      <c r="I248" s="24" t="s">
        <v>16</v>
      </c>
      <c r="J248" s="24" t="s">
        <v>22</v>
      </c>
      <c r="K248" s="24" t="str">
        <f>IF(certifications[[#This Row],[ISSUE DATE]]="", "", TEXT(certifications[[#This Row],[ISSUE DATE]], "MMM"))</f>
        <v>May</v>
      </c>
      <c r="L248" s="35" t="str">
        <f>IF(certifications[[#This Row],[ISSUE DATE]]="", "", TEXT(certifications[[#This Row],[ISSUE DATE]], "YYYY"))</f>
        <v>2016</v>
      </c>
    </row>
    <row r="249" spans="1:12" s="29" customFormat="1" ht="23.95" customHeight="1" x14ac:dyDescent="0.3">
      <c r="A249" s="31"/>
      <c r="B249" s="24">
        <v>236</v>
      </c>
      <c r="C249" s="24" t="s">
        <v>306</v>
      </c>
      <c r="D249" s="24" t="s">
        <v>32</v>
      </c>
      <c r="E249" s="24" t="s">
        <v>9</v>
      </c>
      <c r="F249" s="24">
        <v>16111</v>
      </c>
      <c r="G249" s="25">
        <v>44293</v>
      </c>
      <c r="H249" s="25">
        <v>46471</v>
      </c>
      <c r="I249" s="24" t="s">
        <v>10</v>
      </c>
      <c r="J249" s="24" t="s">
        <v>33</v>
      </c>
      <c r="K249" s="24" t="str">
        <f>IF(certifications[[#This Row],[ISSUE DATE]]="", "", TEXT(certifications[[#This Row],[ISSUE DATE]], "MMM"))</f>
        <v>Apr</v>
      </c>
      <c r="L249" s="35" t="str">
        <f>IF(certifications[[#This Row],[ISSUE DATE]]="", "", TEXT(certifications[[#This Row],[ISSUE DATE]], "YYYY"))</f>
        <v>2021</v>
      </c>
    </row>
    <row r="250" spans="1:12" s="29" customFormat="1" ht="23.95" customHeight="1" x14ac:dyDescent="0.3">
      <c r="A250" s="31"/>
      <c r="B250" s="24">
        <v>237</v>
      </c>
      <c r="C250" s="24" t="s">
        <v>306</v>
      </c>
      <c r="D250" s="24" t="s">
        <v>32</v>
      </c>
      <c r="E250" s="24" t="s">
        <v>26</v>
      </c>
      <c r="F250" s="24">
        <v>16111</v>
      </c>
      <c r="G250" s="25">
        <v>44280</v>
      </c>
      <c r="H250" s="25">
        <v>46471</v>
      </c>
      <c r="I250" s="24" t="s">
        <v>10</v>
      </c>
      <c r="J250" s="24" t="s">
        <v>33</v>
      </c>
      <c r="K250" s="24" t="str">
        <f>IF(certifications[[#This Row],[ISSUE DATE]]="", "", TEXT(certifications[[#This Row],[ISSUE DATE]], "MMM"))</f>
        <v>Mar</v>
      </c>
      <c r="L250" s="35" t="str">
        <f>IF(certifications[[#This Row],[ISSUE DATE]]="", "", TEXT(certifications[[#This Row],[ISSUE DATE]], "YYYY"))</f>
        <v>2021</v>
      </c>
    </row>
    <row r="251" spans="1:12" s="29" customFormat="1" ht="23.95" customHeight="1" x14ac:dyDescent="0.3">
      <c r="A251" s="31"/>
      <c r="B251" s="24">
        <v>238</v>
      </c>
      <c r="C251" s="24" t="s">
        <v>307</v>
      </c>
      <c r="D251" s="24" t="s">
        <v>13</v>
      </c>
      <c r="E251" s="24" t="s">
        <v>9</v>
      </c>
      <c r="F251" s="24">
        <v>10300</v>
      </c>
      <c r="G251" s="25">
        <v>42915</v>
      </c>
      <c r="H251" s="25">
        <v>43645</v>
      </c>
      <c r="I251" s="24" t="s">
        <v>16</v>
      </c>
      <c r="J251" s="24" t="s">
        <v>14</v>
      </c>
      <c r="K251" s="24" t="str">
        <f>IF(certifications[[#This Row],[ISSUE DATE]]="", "", TEXT(certifications[[#This Row],[ISSUE DATE]], "MMM"))</f>
        <v>Jun</v>
      </c>
      <c r="L251" s="35" t="str">
        <f>IF(certifications[[#This Row],[ISSUE DATE]]="", "", TEXT(certifications[[#This Row],[ISSUE DATE]], "YYYY"))</f>
        <v>2017</v>
      </c>
    </row>
    <row r="252" spans="1:12" s="29" customFormat="1" ht="23.95" customHeight="1" x14ac:dyDescent="0.3">
      <c r="A252" s="31"/>
      <c r="B252" s="24">
        <v>239</v>
      </c>
      <c r="C252" s="24" t="s">
        <v>308</v>
      </c>
      <c r="D252" s="24" t="s">
        <v>309</v>
      </c>
      <c r="E252" s="24" t="s">
        <v>9</v>
      </c>
      <c r="F252" s="24">
        <v>20323</v>
      </c>
      <c r="G252" s="25">
        <v>45433</v>
      </c>
      <c r="H252" s="25">
        <v>46163</v>
      </c>
      <c r="I252" s="24" t="s">
        <v>10</v>
      </c>
      <c r="J252" s="24" t="s">
        <v>11</v>
      </c>
      <c r="K252" s="24" t="str">
        <f>IF(certifications[[#This Row],[ISSUE DATE]]="", "", TEXT(certifications[[#This Row],[ISSUE DATE]], "MMM"))</f>
        <v>May</v>
      </c>
      <c r="L252" s="35" t="str">
        <f>IF(certifications[[#This Row],[ISSUE DATE]]="", "", TEXT(certifications[[#This Row],[ISSUE DATE]], "YYYY"))</f>
        <v>2024</v>
      </c>
    </row>
    <row r="253" spans="1:12" s="29" customFormat="1" ht="23.95" customHeight="1" x14ac:dyDescent="0.3">
      <c r="A253" s="31"/>
      <c r="B253" s="24">
        <v>240</v>
      </c>
      <c r="C253" s="24" t="s">
        <v>310</v>
      </c>
      <c r="D253" s="24" t="s">
        <v>32</v>
      </c>
      <c r="E253" s="24" t="s">
        <v>9</v>
      </c>
      <c r="F253" s="24">
        <v>22094</v>
      </c>
      <c r="G253" s="25">
        <v>45812</v>
      </c>
      <c r="H253" s="25">
        <v>46542</v>
      </c>
      <c r="I253" s="24" t="s">
        <v>10</v>
      </c>
      <c r="J253" s="24" t="s">
        <v>33</v>
      </c>
      <c r="K253" s="24" t="str">
        <f>IF(certifications[[#This Row],[ISSUE DATE]]="", "", TEXT(certifications[[#This Row],[ISSUE DATE]], "MMM"))</f>
        <v>Jun</v>
      </c>
      <c r="L253" s="35" t="str">
        <f>IF(certifications[[#This Row],[ISSUE DATE]]="", "", TEXT(certifications[[#This Row],[ISSUE DATE]], "YYYY"))</f>
        <v>2025</v>
      </c>
    </row>
    <row r="254" spans="1:12" s="29" customFormat="1" ht="23.95" customHeight="1" x14ac:dyDescent="0.3">
      <c r="A254" s="31"/>
      <c r="B254" s="24">
        <v>241</v>
      </c>
      <c r="C254" s="24" t="s">
        <v>311</v>
      </c>
      <c r="D254" s="24" t="s">
        <v>13</v>
      </c>
      <c r="E254" s="24" t="s">
        <v>9</v>
      </c>
      <c r="F254" s="24">
        <v>16833</v>
      </c>
      <c r="G254" s="25">
        <v>44453</v>
      </c>
      <c r="H254" s="25">
        <v>45183</v>
      </c>
      <c r="I254" s="24" t="s">
        <v>16</v>
      </c>
      <c r="J254" s="24" t="s">
        <v>14</v>
      </c>
      <c r="K254" s="24" t="str">
        <f>IF(certifications[[#This Row],[ISSUE DATE]]="", "", TEXT(certifications[[#This Row],[ISSUE DATE]], "MMM"))</f>
        <v>Sep</v>
      </c>
      <c r="L254" s="35" t="str">
        <f>IF(certifications[[#This Row],[ISSUE DATE]]="", "", TEXT(certifications[[#This Row],[ISSUE DATE]], "YYYY"))</f>
        <v>2021</v>
      </c>
    </row>
    <row r="255" spans="1:12" s="29" customFormat="1" ht="23.95" customHeight="1" x14ac:dyDescent="0.3">
      <c r="A255" s="31"/>
      <c r="B255" s="24">
        <v>242</v>
      </c>
      <c r="C255" s="24" t="s">
        <v>312</v>
      </c>
      <c r="D255" s="24" t="s">
        <v>215</v>
      </c>
      <c r="E255" s="24" t="s">
        <v>9</v>
      </c>
      <c r="F255" s="24">
        <v>12725</v>
      </c>
      <c r="G255" s="25">
        <v>43479</v>
      </c>
      <c r="H255" s="25">
        <v>44210</v>
      </c>
      <c r="I255" s="24" t="s">
        <v>16</v>
      </c>
      <c r="J255" s="24" t="s">
        <v>14</v>
      </c>
      <c r="K255" s="24" t="str">
        <f>IF(certifications[[#This Row],[ISSUE DATE]]="", "", TEXT(certifications[[#This Row],[ISSUE DATE]], "MMM"))</f>
        <v>Jan</v>
      </c>
      <c r="L255" s="35" t="str">
        <f>IF(certifications[[#This Row],[ISSUE DATE]]="", "", TEXT(certifications[[#This Row],[ISSUE DATE]], "YYYY"))</f>
        <v>2019</v>
      </c>
    </row>
    <row r="256" spans="1:12" s="29" customFormat="1" ht="23.95" customHeight="1" x14ac:dyDescent="0.3">
      <c r="A256" s="31"/>
      <c r="B256" s="24">
        <v>243</v>
      </c>
      <c r="C256" s="24" t="s">
        <v>313</v>
      </c>
      <c r="D256" s="24" t="s">
        <v>80</v>
      </c>
      <c r="E256" s="24" t="s">
        <v>9</v>
      </c>
      <c r="F256" s="24">
        <v>10253</v>
      </c>
      <c r="G256" s="25">
        <v>42908</v>
      </c>
      <c r="H256" s="25">
        <v>43638</v>
      </c>
      <c r="I256" s="24" t="s">
        <v>16</v>
      </c>
      <c r="J256" s="24" t="s">
        <v>38</v>
      </c>
      <c r="K256" s="24" t="str">
        <f>IF(certifications[[#This Row],[ISSUE DATE]]="", "", TEXT(certifications[[#This Row],[ISSUE DATE]], "MMM"))</f>
        <v>Jun</v>
      </c>
      <c r="L256" s="35" t="str">
        <f>IF(certifications[[#This Row],[ISSUE DATE]]="", "", TEXT(certifications[[#This Row],[ISSUE DATE]], "YYYY"))</f>
        <v>2017</v>
      </c>
    </row>
    <row r="257" spans="1:12" s="29" customFormat="1" ht="23.95" customHeight="1" x14ac:dyDescent="0.3">
      <c r="A257" s="31"/>
      <c r="B257" s="24">
        <v>244</v>
      </c>
      <c r="C257" s="24" t="s">
        <v>314</v>
      </c>
      <c r="D257" s="24" t="s">
        <v>315</v>
      </c>
      <c r="E257" s="24" t="s">
        <v>9</v>
      </c>
      <c r="F257" s="24">
        <v>12564</v>
      </c>
      <c r="G257" s="25">
        <v>43445</v>
      </c>
      <c r="H257" s="25">
        <v>44176</v>
      </c>
      <c r="I257" s="24" t="s">
        <v>16</v>
      </c>
      <c r="J257" s="24" t="s">
        <v>30</v>
      </c>
      <c r="K257" s="24" t="str">
        <f>IF(certifications[[#This Row],[ISSUE DATE]]="", "", TEXT(certifications[[#This Row],[ISSUE DATE]], "MMM"))</f>
        <v>Dec</v>
      </c>
      <c r="L257" s="35" t="str">
        <f>IF(certifications[[#This Row],[ISSUE DATE]]="", "", TEXT(certifications[[#This Row],[ISSUE DATE]], "YYYY"))</f>
        <v>2018</v>
      </c>
    </row>
    <row r="258" spans="1:12" s="29" customFormat="1" ht="23.95" customHeight="1" x14ac:dyDescent="0.3">
      <c r="A258" s="31"/>
      <c r="B258" s="24">
        <v>245</v>
      </c>
      <c r="C258" s="24" t="s">
        <v>316</v>
      </c>
      <c r="D258" s="24" t="s">
        <v>13</v>
      </c>
      <c r="E258" s="24" t="s">
        <v>9</v>
      </c>
      <c r="F258" s="24">
        <v>7741</v>
      </c>
      <c r="G258" s="25">
        <v>43504</v>
      </c>
      <c r="H258" s="25">
        <v>45696</v>
      </c>
      <c r="I258" s="24" t="s">
        <v>82</v>
      </c>
      <c r="J258" s="24" t="s">
        <v>14</v>
      </c>
      <c r="K258" s="24" t="str">
        <f>IF(certifications[[#This Row],[ISSUE DATE]]="", "", TEXT(certifications[[#This Row],[ISSUE DATE]], "MMM"))</f>
        <v>Feb</v>
      </c>
      <c r="L258" s="35" t="str">
        <f>IF(certifications[[#This Row],[ISSUE DATE]]="", "", TEXT(certifications[[#This Row],[ISSUE DATE]], "YYYY"))</f>
        <v>2019</v>
      </c>
    </row>
    <row r="259" spans="1:12" s="29" customFormat="1" ht="23.95" customHeight="1" x14ac:dyDescent="0.3">
      <c r="A259" s="31"/>
      <c r="B259" s="24">
        <v>246</v>
      </c>
      <c r="C259" s="24" t="s">
        <v>317</v>
      </c>
      <c r="D259" s="24" t="s">
        <v>238</v>
      </c>
      <c r="E259" s="24" t="s">
        <v>9</v>
      </c>
      <c r="F259" s="24">
        <v>10256</v>
      </c>
      <c r="G259" s="25">
        <v>42908</v>
      </c>
      <c r="H259" s="25">
        <v>45830</v>
      </c>
      <c r="I259" s="24" t="s">
        <v>10</v>
      </c>
      <c r="J259" s="24" t="s">
        <v>38</v>
      </c>
      <c r="K259" s="24" t="str">
        <f>IF(certifications[[#This Row],[ISSUE DATE]]="", "", TEXT(certifications[[#This Row],[ISSUE DATE]], "MMM"))</f>
        <v>Jun</v>
      </c>
      <c r="L259" s="35" t="str">
        <f>IF(certifications[[#This Row],[ISSUE DATE]]="", "", TEXT(certifications[[#This Row],[ISSUE DATE]], "YYYY"))</f>
        <v>2017</v>
      </c>
    </row>
    <row r="260" spans="1:12" s="29" customFormat="1" ht="23.95" customHeight="1" x14ac:dyDescent="0.3">
      <c r="A260" s="31"/>
      <c r="B260" s="24">
        <v>247</v>
      </c>
      <c r="C260" s="24" t="s">
        <v>318</v>
      </c>
      <c r="D260" s="24" t="s">
        <v>32</v>
      </c>
      <c r="E260" s="24" t="s">
        <v>9</v>
      </c>
      <c r="F260" s="24">
        <v>8161</v>
      </c>
      <c r="G260" s="25">
        <v>41111</v>
      </c>
      <c r="H260" s="25">
        <v>41841</v>
      </c>
      <c r="I260" s="24" t="s">
        <v>16</v>
      </c>
      <c r="J260" s="24" t="s">
        <v>33</v>
      </c>
      <c r="K260" s="24" t="str">
        <f>IF(certifications[[#This Row],[ISSUE DATE]]="", "", TEXT(certifications[[#This Row],[ISSUE DATE]], "MMM"))</f>
        <v>Jul</v>
      </c>
      <c r="L260" s="35" t="str">
        <f>IF(certifications[[#This Row],[ISSUE DATE]]="", "", TEXT(certifications[[#This Row],[ISSUE DATE]], "YYYY"))</f>
        <v>2012</v>
      </c>
    </row>
    <row r="261" spans="1:12" s="29" customFormat="1" ht="23.95" customHeight="1" x14ac:dyDescent="0.3">
      <c r="A261" s="31"/>
      <c r="B261" s="24">
        <v>248</v>
      </c>
      <c r="C261" s="24" t="s">
        <v>319</v>
      </c>
      <c r="D261" s="24" t="s">
        <v>57</v>
      </c>
      <c r="E261" s="24" t="s">
        <v>9</v>
      </c>
      <c r="F261" s="24">
        <v>9024</v>
      </c>
      <c r="G261" s="25">
        <v>41905</v>
      </c>
      <c r="H261" s="25">
        <v>42636</v>
      </c>
      <c r="I261" s="24" t="s">
        <v>16</v>
      </c>
      <c r="J261" s="24" t="s">
        <v>38</v>
      </c>
      <c r="K261" s="24" t="str">
        <f>IF(certifications[[#This Row],[ISSUE DATE]]="", "", TEXT(certifications[[#This Row],[ISSUE DATE]], "MMM"))</f>
        <v>Sep</v>
      </c>
      <c r="L261" s="35" t="str">
        <f>IF(certifications[[#This Row],[ISSUE DATE]]="", "", TEXT(certifications[[#This Row],[ISSUE DATE]], "YYYY"))</f>
        <v>2014</v>
      </c>
    </row>
    <row r="262" spans="1:12" s="29" customFormat="1" ht="23.95" customHeight="1" x14ac:dyDescent="0.3">
      <c r="A262" s="31"/>
      <c r="B262" s="24">
        <v>249</v>
      </c>
      <c r="C262" s="24" t="s">
        <v>320</v>
      </c>
      <c r="D262" s="24" t="s">
        <v>273</v>
      </c>
      <c r="E262" s="24" t="s">
        <v>9</v>
      </c>
      <c r="F262" s="24">
        <v>14950</v>
      </c>
      <c r="G262" s="25">
        <v>43818</v>
      </c>
      <c r="H262" s="25">
        <v>44549</v>
      </c>
      <c r="I262" s="24" t="s">
        <v>321</v>
      </c>
      <c r="J262" s="24" t="s">
        <v>30</v>
      </c>
      <c r="K262" s="24" t="str">
        <f>IF(certifications[[#This Row],[ISSUE DATE]]="", "", TEXT(certifications[[#This Row],[ISSUE DATE]], "MMM"))</f>
        <v>Dec</v>
      </c>
      <c r="L262" s="35" t="str">
        <f>IF(certifications[[#This Row],[ISSUE DATE]]="", "", TEXT(certifications[[#This Row],[ISSUE DATE]], "YYYY"))</f>
        <v>2019</v>
      </c>
    </row>
    <row r="263" spans="1:12" s="29" customFormat="1" ht="23.95" customHeight="1" x14ac:dyDescent="0.3">
      <c r="A263" s="31"/>
      <c r="B263" s="24">
        <v>250</v>
      </c>
      <c r="C263" s="24" t="s">
        <v>322</v>
      </c>
      <c r="D263" s="24" t="s">
        <v>323</v>
      </c>
      <c r="E263" s="24" t="s">
        <v>9</v>
      </c>
      <c r="F263" s="24">
        <v>18568</v>
      </c>
      <c r="G263" s="25">
        <v>45048</v>
      </c>
      <c r="H263" s="25">
        <v>46509</v>
      </c>
      <c r="I263" s="24" t="s">
        <v>10</v>
      </c>
      <c r="J263" s="24" t="s">
        <v>22</v>
      </c>
      <c r="K263" s="24" t="str">
        <f>IF(certifications[[#This Row],[ISSUE DATE]]="", "", TEXT(certifications[[#This Row],[ISSUE DATE]], "MMM"))</f>
        <v>May</v>
      </c>
      <c r="L263" s="35" t="str">
        <f>IF(certifications[[#This Row],[ISSUE DATE]]="", "", TEXT(certifications[[#This Row],[ISSUE DATE]], "YYYY"))</f>
        <v>2023</v>
      </c>
    </row>
    <row r="264" spans="1:12" s="29" customFormat="1" ht="23.95" customHeight="1" x14ac:dyDescent="0.3">
      <c r="A264" s="31"/>
      <c r="B264" s="24">
        <v>251</v>
      </c>
      <c r="C264" s="24" t="s">
        <v>324</v>
      </c>
      <c r="D264" s="24" t="s">
        <v>32</v>
      </c>
      <c r="E264" s="24" t="s">
        <v>9</v>
      </c>
      <c r="F264" s="24">
        <v>20927</v>
      </c>
      <c r="G264" s="25">
        <v>45567</v>
      </c>
      <c r="H264" s="25">
        <v>46297</v>
      </c>
      <c r="I264" s="24" t="s">
        <v>10</v>
      </c>
      <c r="J264" s="24" t="s">
        <v>33</v>
      </c>
      <c r="K264" s="24" t="str">
        <f>IF(certifications[[#This Row],[ISSUE DATE]]="", "", TEXT(certifications[[#This Row],[ISSUE DATE]], "MMM"))</f>
        <v>Oct</v>
      </c>
      <c r="L264" s="35" t="str">
        <f>IF(certifications[[#This Row],[ISSUE DATE]]="", "", TEXT(certifications[[#This Row],[ISSUE DATE]], "YYYY"))</f>
        <v>2024</v>
      </c>
    </row>
    <row r="265" spans="1:12" s="29" customFormat="1" ht="23.95" customHeight="1" x14ac:dyDescent="0.3">
      <c r="A265" s="31"/>
      <c r="B265" s="24">
        <v>252</v>
      </c>
      <c r="C265" s="24" t="s">
        <v>325</v>
      </c>
      <c r="D265" s="24" t="s">
        <v>158</v>
      </c>
      <c r="E265" s="24" t="s">
        <v>9</v>
      </c>
      <c r="F265" s="24">
        <v>15713</v>
      </c>
      <c r="G265" s="25">
        <v>44172</v>
      </c>
      <c r="H265" s="25">
        <v>46363</v>
      </c>
      <c r="I265" s="24" t="s">
        <v>10</v>
      </c>
      <c r="J265" s="24" t="s">
        <v>30</v>
      </c>
      <c r="K265" s="24" t="str">
        <f>IF(certifications[[#This Row],[ISSUE DATE]]="", "", TEXT(certifications[[#This Row],[ISSUE DATE]], "MMM"))</f>
        <v>Dec</v>
      </c>
      <c r="L265" s="35" t="str">
        <f>IF(certifications[[#This Row],[ISSUE DATE]]="", "", TEXT(certifications[[#This Row],[ISSUE DATE]], "YYYY"))</f>
        <v>2020</v>
      </c>
    </row>
    <row r="266" spans="1:12" s="29" customFormat="1" ht="23.95" customHeight="1" x14ac:dyDescent="0.3">
      <c r="A266" s="31"/>
      <c r="B266" s="24">
        <v>253</v>
      </c>
      <c r="C266" s="24" t="s">
        <v>326</v>
      </c>
      <c r="D266" s="24" t="s">
        <v>327</v>
      </c>
      <c r="E266" s="24" t="s">
        <v>9</v>
      </c>
      <c r="F266" s="24">
        <v>15908</v>
      </c>
      <c r="G266" s="25">
        <v>44221</v>
      </c>
      <c r="H266" s="25">
        <v>45682</v>
      </c>
      <c r="I266" s="24" t="s">
        <v>82</v>
      </c>
      <c r="J266" s="24" t="s">
        <v>22</v>
      </c>
      <c r="K266" s="24" t="str">
        <f>IF(certifications[[#This Row],[ISSUE DATE]]="", "", TEXT(certifications[[#This Row],[ISSUE DATE]], "MMM"))</f>
        <v>Jan</v>
      </c>
      <c r="L266" s="35" t="str">
        <f>IF(certifications[[#This Row],[ISSUE DATE]]="", "", TEXT(certifications[[#This Row],[ISSUE DATE]], "YYYY"))</f>
        <v>2021</v>
      </c>
    </row>
    <row r="267" spans="1:12" s="29" customFormat="1" ht="23.95" customHeight="1" x14ac:dyDescent="0.3">
      <c r="A267" s="31"/>
      <c r="B267" s="24">
        <v>254</v>
      </c>
      <c r="C267" s="24" t="s">
        <v>328</v>
      </c>
      <c r="D267" s="24" t="s">
        <v>32</v>
      </c>
      <c r="E267" s="24" t="s">
        <v>9</v>
      </c>
      <c r="F267" s="24">
        <v>21091</v>
      </c>
      <c r="G267" s="25">
        <v>45603</v>
      </c>
      <c r="H267" s="25">
        <v>46333</v>
      </c>
      <c r="I267" s="24" t="s">
        <v>10</v>
      </c>
      <c r="J267" s="24" t="s">
        <v>33</v>
      </c>
      <c r="K267" s="24" t="str">
        <f>IF(certifications[[#This Row],[ISSUE DATE]]="", "", TEXT(certifications[[#This Row],[ISSUE DATE]], "MMM"))</f>
        <v>Nov</v>
      </c>
      <c r="L267" s="35" t="str">
        <f>IF(certifications[[#This Row],[ISSUE DATE]]="", "", TEXT(certifications[[#This Row],[ISSUE DATE]], "YYYY"))</f>
        <v>2024</v>
      </c>
    </row>
    <row r="268" spans="1:12" s="29" customFormat="1" ht="23.95" customHeight="1" x14ac:dyDescent="0.3">
      <c r="A268" s="31"/>
      <c r="B268" s="24">
        <v>255</v>
      </c>
      <c r="C268" s="24" t="s">
        <v>329</v>
      </c>
      <c r="D268" s="24" t="s">
        <v>13</v>
      </c>
      <c r="E268" s="24" t="s">
        <v>9</v>
      </c>
      <c r="F268" s="24">
        <v>13719</v>
      </c>
      <c r="G268" s="25">
        <v>43640</v>
      </c>
      <c r="H268" s="25">
        <v>45832</v>
      </c>
      <c r="I268" s="24" t="s">
        <v>10</v>
      </c>
      <c r="J268" s="24" t="s">
        <v>14</v>
      </c>
      <c r="K268" s="24" t="str">
        <f>IF(certifications[[#This Row],[ISSUE DATE]]="", "", TEXT(certifications[[#This Row],[ISSUE DATE]], "MMM"))</f>
        <v>Jun</v>
      </c>
      <c r="L268" s="35" t="str">
        <f>IF(certifications[[#This Row],[ISSUE DATE]]="", "", TEXT(certifications[[#This Row],[ISSUE DATE]], "YYYY"))</f>
        <v>2019</v>
      </c>
    </row>
    <row r="269" spans="1:12" s="29" customFormat="1" ht="23.95" customHeight="1" x14ac:dyDescent="0.3">
      <c r="A269" s="31"/>
      <c r="B269" s="24">
        <v>256</v>
      </c>
      <c r="C269" s="24" t="s">
        <v>330</v>
      </c>
      <c r="D269" s="24" t="s">
        <v>18</v>
      </c>
      <c r="E269" s="24" t="s">
        <v>9</v>
      </c>
      <c r="F269" s="24">
        <v>10353</v>
      </c>
      <c r="G269" s="25">
        <v>42975</v>
      </c>
      <c r="H269" s="25">
        <v>45897</v>
      </c>
      <c r="I269" s="24" t="s">
        <v>10</v>
      </c>
      <c r="J269" s="24" t="s">
        <v>19</v>
      </c>
      <c r="K269" s="24" t="str">
        <f>IF(certifications[[#This Row],[ISSUE DATE]]="", "", TEXT(certifications[[#This Row],[ISSUE DATE]], "MMM"))</f>
        <v>Aug</v>
      </c>
      <c r="L269" s="35" t="str">
        <f>IF(certifications[[#This Row],[ISSUE DATE]]="", "", TEXT(certifications[[#This Row],[ISSUE DATE]], "YYYY"))</f>
        <v>2017</v>
      </c>
    </row>
    <row r="270" spans="1:12" s="29" customFormat="1" ht="23.95" customHeight="1" x14ac:dyDescent="0.3">
      <c r="A270" s="31"/>
      <c r="B270" s="24">
        <v>257</v>
      </c>
      <c r="C270" s="24" t="s">
        <v>331</v>
      </c>
      <c r="D270" s="24" t="s">
        <v>53</v>
      </c>
      <c r="E270" s="24" t="s">
        <v>9</v>
      </c>
      <c r="F270" s="24">
        <v>12778</v>
      </c>
      <c r="G270" s="25">
        <v>43490</v>
      </c>
      <c r="H270" s="25">
        <v>44221</v>
      </c>
      <c r="I270" s="24" t="s">
        <v>16</v>
      </c>
      <c r="J270" s="24" t="s">
        <v>25</v>
      </c>
      <c r="K270" s="24" t="str">
        <f>IF(certifications[[#This Row],[ISSUE DATE]]="", "", TEXT(certifications[[#This Row],[ISSUE DATE]], "MMM"))</f>
        <v>Jan</v>
      </c>
      <c r="L270" s="35" t="str">
        <f>IF(certifications[[#This Row],[ISSUE DATE]]="", "", TEXT(certifications[[#This Row],[ISSUE DATE]], "YYYY"))</f>
        <v>2019</v>
      </c>
    </row>
    <row r="271" spans="1:12" s="29" customFormat="1" ht="23.95" customHeight="1" x14ac:dyDescent="0.3">
      <c r="A271" s="31"/>
      <c r="B271" s="24">
        <v>258</v>
      </c>
      <c r="C271" s="24" t="s">
        <v>332</v>
      </c>
      <c r="D271" s="24" t="s">
        <v>333</v>
      </c>
      <c r="E271" s="24" t="s">
        <v>9</v>
      </c>
      <c r="F271" s="24">
        <v>15020</v>
      </c>
      <c r="G271" s="25">
        <v>43840</v>
      </c>
      <c r="H271" s="25">
        <v>44571</v>
      </c>
      <c r="I271" s="24" t="s">
        <v>16</v>
      </c>
      <c r="J271" s="24" t="s">
        <v>11</v>
      </c>
      <c r="K271" s="24" t="str">
        <f>IF(certifications[[#This Row],[ISSUE DATE]]="", "", TEXT(certifications[[#This Row],[ISSUE DATE]], "MMM"))</f>
        <v>Jan</v>
      </c>
      <c r="L271" s="35" t="str">
        <f>IF(certifications[[#This Row],[ISSUE DATE]]="", "", TEXT(certifications[[#This Row],[ISSUE DATE]], "YYYY"))</f>
        <v>2020</v>
      </c>
    </row>
    <row r="272" spans="1:12" s="29" customFormat="1" ht="23.95" customHeight="1" x14ac:dyDescent="0.3">
      <c r="A272" s="31"/>
      <c r="B272" s="24">
        <v>259</v>
      </c>
      <c r="C272" s="24" t="s">
        <v>334</v>
      </c>
      <c r="D272" s="24" t="s">
        <v>61</v>
      </c>
      <c r="E272" s="24" t="s">
        <v>9</v>
      </c>
      <c r="F272" s="24">
        <v>10713</v>
      </c>
      <c r="G272" s="25">
        <v>43154</v>
      </c>
      <c r="H272" s="25">
        <v>46076</v>
      </c>
      <c r="I272" s="24" t="s">
        <v>10</v>
      </c>
      <c r="J272" s="24" t="s">
        <v>19</v>
      </c>
      <c r="K272" s="24" t="str">
        <f>IF(certifications[[#This Row],[ISSUE DATE]]="", "", TEXT(certifications[[#This Row],[ISSUE DATE]], "MMM"))</f>
        <v>Feb</v>
      </c>
      <c r="L272" s="35" t="str">
        <f>IF(certifications[[#This Row],[ISSUE DATE]]="", "", TEXT(certifications[[#This Row],[ISSUE DATE]], "YYYY"))</f>
        <v>2018</v>
      </c>
    </row>
    <row r="273" spans="1:12" s="29" customFormat="1" ht="23.95" customHeight="1" x14ac:dyDescent="0.3">
      <c r="A273" s="31"/>
      <c r="B273" s="24">
        <v>260</v>
      </c>
      <c r="C273" s="24" t="s">
        <v>335</v>
      </c>
      <c r="D273" s="24" t="s">
        <v>32</v>
      </c>
      <c r="E273" s="24" t="s">
        <v>9</v>
      </c>
      <c r="F273" s="24">
        <v>7344</v>
      </c>
      <c r="G273" s="25">
        <v>40068</v>
      </c>
      <c r="H273" s="25">
        <v>40798</v>
      </c>
      <c r="I273" s="24" t="s">
        <v>16</v>
      </c>
      <c r="J273" s="24" t="s">
        <v>33</v>
      </c>
      <c r="K273" s="24" t="str">
        <f>IF(certifications[[#This Row],[ISSUE DATE]]="", "", TEXT(certifications[[#This Row],[ISSUE DATE]], "MMM"))</f>
        <v>Sep</v>
      </c>
      <c r="L273" s="35" t="str">
        <f>IF(certifications[[#This Row],[ISSUE DATE]]="", "", TEXT(certifications[[#This Row],[ISSUE DATE]], "YYYY"))</f>
        <v>2009</v>
      </c>
    </row>
    <row r="274" spans="1:12" s="29" customFormat="1" ht="23.95" customHeight="1" x14ac:dyDescent="0.3">
      <c r="A274" s="31"/>
      <c r="B274" s="24">
        <v>261</v>
      </c>
      <c r="C274" s="24" t="s">
        <v>336</v>
      </c>
      <c r="D274" s="24" t="s">
        <v>337</v>
      </c>
      <c r="E274" s="24" t="s">
        <v>9</v>
      </c>
      <c r="F274" s="24">
        <v>17407</v>
      </c>
      <c r="G274" s="25">
        <v>44682</v>
      </c>
      <c r="H274" s="25">
        <v>45413</v>
      </c>
      <c r="I274" s="24" t="s">
        <v>16</v>
      </c>
      <c r="J274" s="24" t="s">
        <v>30</v>
      </c>
      <c r="K274" s="24" t="str">
        <f>IF(certifications[[#This Row],[ISSUE DATE]]="", "", TEXT(certifications[[#This Row],[ISSUE DATE]], "MMM"))</f>
        <v>May</v>
      </c>
      <c r="L274" s="35" t="str">
        <f>IF(certifications[[#This Row],[ISSUE DATE]]="", "", TEXT(certifications[[#This Row],[ISSUE DATE]], "YYYY"))</f>
        <v>2022</v>
      </c>
    </row>
    <row r="275" spans="1:12" s="29" customFormat="1" ht="23.95" customHeight="1" x14ac:dyDescent="0.3">
      <c r="A275" s="31"/>
      <c r="B275" s="24">
        <v>262</v>
      </c>
      <c r="C275" s="24" t="s">
        <v>336</v>
      </c>
      <c r="D275" s="24" t="s">
        <v>337</v>
      </c>
      <c r="E275" s="24" t="s">
        <v>26</v>
      </c>
      <c r="F275" s="24">
        <v>17407</v>
      </c>
      <c r="G275" s="25">
        <v>45055</v>
      </c>
      <c r="H275" s="25">
        <v>45786</v>
      </c>
      <c r="I275" s="24" t="s">
        <v>82</v>
      </c>
      <c r="J275" s="24" t="s">
        <v>30</v>
      </c>
      <c r="K275" s="24" t="str">
        <f>IF(certifications[[#This Row],[ISSUE DATE]]="", "", TEXT(certifications[[#This Row],[ISSUE DATE]], "MMM"))</f>
        <v>May</v>
      </c>
      <c r="L275" s="35" t="str">
        <f>IF(certifications[[#This Row],[ISSUE DATE]]="", "", TEXT(certifications[[#This Row],[ISSUE DATE]], "YYYY"))</f>
        <v>2023</v>
      </c>
    </row>
    <row r="276" spans="1:12" s="29" customFormat="1" ht="23.95" customHeight="1" x14ac:dyDescent="0.3">
      <c r="A276" s="31"/>
      <c r="B276" s="24">
        <v>263</v>
      </c>
      <c r="C276" s="24" t="s">
        <v>338</v>
      </c>
      <c r="D276" s="24" t="s">
        <v>99</v>
      </c>
      <c r="E276" s="24" t="s">
        <v>9</v>
      </c>
      <c r="F276" s="24">
        <v>15524</v>
      </c>
      <c r="G276" s="25">
        <v>44096</v>
      </c>
      <c r="H276" s="25">
        <v>46287</v>
      </c>
      <c r="I276" s="24" t="s">
        <v>10</v>
      </c>
      <c r="J276" s="24" t="s">
        <v>30</v>
      </c>
      <c r="K276" s="24" t="str">
        <f>IF(certifications[[#This Row],[ISSUE DATE]]="", "", TEXT(certifications[[#This Row],[ISSUE DATE]], "MMM"))</f>
        <v>Sep</v>
      </c>
      <c r="L276" s="35" t="str">
        <f>IF(certifications[[#This Row],[ISSUE DATE]]="", "", TEXT(certifications[[#This Row],[ISSUE DATE]], "YYYY"))</f>
        <v>2020</v>
      </c>
    </row>
    <row r="277" spans="1:12" s="29" customFormat="1" ht="23.95" customHeight="1" x14ac:dyDescent="0.3">
      <c r="A277" s="31"/>
      <c r="B277" s="24">
        <v>264</v>
      </c>
      <c r="C277" s="24" t="s">
        <v>339</v>
      </c>
      <c r="D277" s="24" t="s">
        <v>340</v>
      </c>
      <c r="E277" s="24" t="s">
        <v>9</v>
      </c>
      <c r="F277" s="24">
        <v>9441</v>
      </c>
      <c r="G277" s="25">
        <v>42346</v>
      </c>
      <c r="H277" s="25">
        <v>43077</v>
      </c>
      <c r="I277" s="24" t="s">
        <v>16</v>
      </c>
      <c r="J277" s="24" t="s">
        <v>30</v>
      </c>
      <c r="K277" s="24" t="str">
        <f>IF(certifications[[#This Row],[ISSUE DATE]]="", "", TEXT(certifications[[#This Row],[ISSUE DATE]], "MMM"))</f>
        <v>Dec</v>
      </c>
      <c r="L277" s="35" t="str">
        <f>IF(certifications[[#This Row],[ISSUE DATE]]="", "", TEXT(certifications[[#This Row],[ISSUE DATE]], "YYYY"))</f>
        <v>2015</v>
      </c>
    </row>
    <row r="278" spans="1:12" s="29" customFormat="1" ht="23.95" customHeight="1" x14ac:dyDescent="0.3">
      <c r="A278" s="31"/>
      <c r="B278" s="24">
        <v>265</v>
      </c>
      <c r="C278" s="24" t="s">
        <v>341</v>
      </c>
      <c r="D278" s="24" t="s">
        <v>342</v>
      </c>
      <c r="E278" s="24" t="s">
        <v>9</v>
      </c>
      <c r="F278" s="24">
        <v>15719</v>
      </c>
      <c r="G278" s="25">
        <v>44172</v>
      </c>
      <c r="H278" s="25">
        <v>46363</v>
      </c>
      <c r="I278" s="24" t="s">
        <v>10</v>
      </c>
      <c r="J278" s="24" t="s">
        <v>30</v>
      </c>
      <c r="K278" s="24" t="str">
        <f>IF(certifications[[#This Row],[ISSUE DATE]]="", "", TEXT(certifications[[#This Row],[ISSUE DATE]], "MMM"))</f>
        <v>Dec</v>
      </c>
      <c r="L278" s="35" t="str">
        <f>IF(certifications[[#This Row],[ISSUE DATE]]="", "", TEXT(certifications[[#This Row],[ISSUE DATE]], "YYYY"))</f>
        <v>2020</v>
      </c>
    </row>
    <row r="279" spans="1:12" s="29" customFormat="1" ht="23.95" customHeight="1" x14ac:dyDescent="0.3">
      <c r="A279" s="31"/>
      <c r="B279" s="24">
        <v>266</v>
      </c>
      <c r="C279" s="24" t="s">
        <v>343</v>
      </c>
      <c r="D279" s="24" t="s">
        <v>24</v>
      </c>
      <c r="E279" s="24" t="s">
        <v>9</v>
      </c>
      <c r="F279" s="24">
        <v>17131</v>
      </c>
      <c r="G279" s="25">
        <v>44586</v>
      </c>
      <c r="H279" s="25">
        <v>45316</v>
      </c>
      <c r="I279" s="24" t="s">
        <v>16</v>
      </c>
      <c r="J279" s="24" t="s">
        <v>25</v>
      </c>
      <c r="K279" s="24" t="str">
        <f>IF(certifications[[#This Row],[ISSUE DATE]]="", "", TEXT(certifications[[#This Row],[ISSUE DATE]], "MMM"))</f>
        <v>Jan</v>
      </c>
      <c r="L279" s="35" t="str">
        <f>IF(certifications[[#This Row],[ISSUE DATE]]="", "", TEXT(certifications[[#This Row],[ISSUE DATE]], "YYYY"))</f>
        <v>2022</v>
      </c>
    </row>
    <row r="280" spans="1:12" s="29" customFormat="1" ht="23.95" customHeight="1" x14ac:dyDescent="0.3">
      <c r="A280" s="31"/>
      <c r="B280" s="24">
        <v>267</v>
      </c>
      <c r="C280" s="24" t="s">
        <v>344</v>
      </c>
      <c r="D280" s="24" t="s">
        <v>80</v>
      </c>
      <c r="E280" s="24" t="s">
        <v>9</v>
      </c>
      <c r="F280" s="24">
        <v>8554</v>
      </c>
      <c r="G280" s="25">
        <v>41485</v>
      </c>
      <c r="H280" s="25">
        <v>42215</v>
      </c>
      <c r="I280" s="24" t="s">
        <v>16</v>
      </c>
      <c r="J280" s="24" t="s">
        <v>38</v>
      </c>
      <c r="K280" s="24" t="str">
        <f>IF(certifications[[#This Row],[ISSUE DATE]]="", "", TEXT(certifications[[#This Row],[ISSUE DATE]], "MMM"))</f>
        <v>Jul</v>
      </c>
      <c r="L280" s="35" t="str">
        <f>IF(certifications[[#This Row],[ISSUE DATE]]="", "", TEXT(certifications[[#This Row],[ISSUE DATE]], "YYYY"))</f>
        <v>2013</v>
      </c>
    </row>
    <row r="281" spans="1:12" s="29" customFormat="1" ht="23.95" customHeight="1" x14ac:dyDescent="0.3">
      <c r="A281" s="31"/>
      <c r="B281" s="24">
        <v>268</v>
      </c>
      <c r="C281" s="24" t="s">
        <v>345</v>
      </c>
      <c r="D281" s="24" t="s">
        <v>235</v>
      </c>
      <c r="E281" s="24" t="s">
        <v>9</v>
      </c>
      <c r="F281" s="24">
        <v>10159</v>
      </c>
      <c r="G281" s="25">
        <v>42899</v>
      </c>
      <c r="H281" s="25">
        <v>43629</v>
      </c>
      <c r="I281" s="24" t="s">
        <v>16</v>
      </c>
      <c r="J281" s="24" t="s">
        <v>22</v>
      </c>
      <c r="K281" s="24" t="str">
        <f>IF(certifications[[#This Row],[ISSUE DATE]]="", "", TEXT(certifications[[#This Row],[ISSUE DATE]], "MMM"))</f>
        <v>Jun</v>
      </c>
      <c r="L281" s="35" t="str">
        <f>IF(certifications[[#This Row],[ISSUE DATE]]="", "", TEXT(certifications[[#This Row],[ISSUE DATE]], "YYYY"))</f>
        <v>2017</v>
      </c>
    </row>
    <row r="282" spans="1:12" s="29" customFormat="1" ht="23.95" customHeight="1" x14ac:dyDescent="0.3">
      <c r="A282" s="31"/>
      <c r="B282" s="24">
        <v>269</v>
      </c>
      <c r="C282" s="24" t="s">
        <v>346</v>
      </c>
      <c r="D282" s="24" t="s">
        <v>347</v>
      </c>
      <c r="E282" s="24" t="s">
        <v>9</v>
      </c>
      <c r="F282" s="24">
        <v>20637</v>
      </c>
      <c r="G282" s="25">
        <v>45505</v>
      </c>
      <c r="H282" s="25">
        <v>46235</v>
      </c>
      <c r="I282" s="24" t="s">
        <v>10</v>
      </c>
      <c r="J282" s="24" t="s">
        <v>25</v>
      </c>
      <c r="K282" s="24" t="str">
        <f>IF(certifications[[#This Row],[ISSUE DATE]]="", "", TEXT(certifications[[#This Row],[ISSUE DATE]], "MMM"))</f>
        <v>Aug</v>
      </c>
      <c r="L282" s="35" t="str">
        <f>IF(certifications[[#This Row],[ISSUE DATE]]="", "", TEXT(certifications[[#This Row],[ISSUE DATE]], "YYYY"))</f>
        <v>2024</v>
      </c>
    </row>
    <row r="283" spans="1:12" s="29" customFormat="1" ht="23.95" customHeight="1" x14ac:dyDescent="0.3">
      <c r="A283" s="31"/>
      <c r="B283" s="24">
        <v>270</v>
      </c>
      <c r="C283" s="24" t="s">
        <v>348</v>
      </c>
      <c r="D283" s="24" t="s">
        <v>13</v>
      </c>
      <c r="E283" s="24" t="s">
        <v>9</v>
      </c>
      <c r="F283" s="24">
        <v>9185</v>
      </c>
      <c r="G283" s="25">
        <v>42144</v>
      </c>
      <c r="H283" s="25">
        <v>42875</v>
      </c>
      <c r="I283" s="24" t="s">
        <v>16</v>
      </c>
      <c r="J283" s="24" t="s">
        <v>14</v>
      </c>
      <c r="K283" s="24" t="str">
        <f>IF(certifications[[#This Row],[ISSUE DATE]]="", "", TEXT(certifications[[#This Row],[ISSUE DATE]], "MMM"))</f>
        <v>May</v>
      </c>
      <c r="L283" s="35" t="str">
        <f>IF(certifications[[#This Row],[ISSUE DATE]]="", "", TEXT(certifications[[#This Row],[ISSUE DATE]], "YYYY"))</f>
        <v>2015</v>
      </c>
    </row>
    <row r="284" spans="1:12" s="29" customFormat="1" ht="23.95" customHeight="1" x14ac:dyDescent="0.3">
      <c r="A284" s="31"/>
      <c r="B284" s="24">
        <v>271</v>
      </c>
      <c r="C284" s="24" t="s">
        <v>349</v>
      </c>
      <c r="D284" s="24" t="s">
        <v>32</v>
      </c>
      <c r="E284" s="24" t="s">
        <v>9</v>
      </c>
      <c r="F284" s="24">
        <v>11047</v>
      </c>
      <c r="G284" s="25">
        <v>43203</v>
      </c>
      <c r="H284" s="25">
        <v>46125</v>
      </c>
      <c r="I284" s="24" t="s">
        <v>10</v>
      </c>
      <c r="J284" s="24" t="s">
        <v>33</v>
      </c>
      <c r="K284" s="24" t="str">
        <f>IF(certifications[[#This Row],[ISSUE DATE]]="", "", TEXT(certifications[[#This Row],[ISSUE DATE]], "MMM"))</f>
        <v>Apr</v>
      </c>
      <c r="L284" s="35" t="str">
        <f>IF(certifications[[#This Row],[ISSUE DATE]]="", "", TEXT(certifications[[#This Row],[ISSUE DATE]], "YYYY"))</f>
        <v>2018</v>
      </c>
    </row>
    <row r="285" spans="1:12" s="29" customFormat="1" ht="23.95" customHeight="1" x14ac:dyDescent="0.3">
      <c r="A285" s="31"/>
      <c r="B285" s="24">
        <v>272</v>
      </c>
      <c r="C285" s="24" t="s">
        <v>350</v>
      </c>
      <c r="D285" s="24" t="s">
        <v>32</v>
      </c>
      <c r="E285" s="24" t="s">
        <v>9</v>
      </c>
      <c r="F285" s="24">
        <v>10002</v>
      </c>
      <c r="G285" s="25">
        <v>42753</v>
      </c>
      <c r="H285" s="25">
        <v>43483</v>
      </c>
      <c r="I285" s="24" t="s">
        <v>16</v>
      </c>
      <c r="J285" s="24" t="s">
        <v>33</v>
      </c>
      <c r="K285" s="24" t="str">
        <f>IF(certifications[[#This Row],[ISSUE DATE]]="", "", TEXT(certifications[[#This Row],[ISSUE DATE]], "MMM"))</f>
        <v>Jan</v>
      </c>
      <c r="L285" s="35" t="str">
        <f>IF(certifications[[#This Row],[ISSUE DATE]]="", "", TEXT(certifications[[#This Row],[ISSUE DATE]], "YYYY"))</f>
        <v>2017</v>
      </c>
    </row>
    <row r="286" spans="1:12" s="29" customFormat="1" ht="23.95" customHeight="1" x14ac:dyDescent="0.3">
      <c r="A286" s="31"/>
      <c r="B286" s="24">
        <v>273</v>
      </c>
      <c r="C286" s="24" t="s">
        <v>351</v>
      </c>
      <c r="D286" s="24" t="s">
        <v>46</v>
      </c>
      <c r="E286" s="24" t="s">
        <v>9</v>
      </c>
      <c r="F286" s="24">
        <v>15447</v>
      </c>
      <c r="G286" s="25">
        <v>44071</v>
      </c>
      <c r="H286" s="25">
        <v>46262</v>
      </c>
      <c r="I286" s="24" t="s">
        <v>10</v>
      </c>
      <c r="J286" s="24" t="s">
        <v>38</v>
      </c>
      <c r="K286" s="24" t="str">
        <f>IF(certifications[[#This Row],[ISSUE DATE]]="", "", TEXT(certifications[[#This Row],[ISSUE DATE]], "MMM"))</f>
        <v>Aug</v>
      </c>
      <c r="L286" s="35" t="str">
        <f>IF(certifications[[#This Row],[ISSUE DATE]]="", "", TEXT(certifications[[#This Row],[ISSUE DATE]], "YYYY"))</f>
        <v>2020</v>
      </c>
    </row>
    <row r="287" spans="1:12" s="29" customFormat="1" ht="23.95" customHeight="1" x14ac:dyDescent="0.3">
      <c r="A287" s="31"/>
      <c r="B287" s="24">
        <v>274</v>
      </c>
      <c r="C287" s="24" t="s">
        <v>352</v>
      </c>
      <c r="D287" s="24" t="s">
        <v>29</v>
      </c>
      <c r="E287" s="24" t="s">
        <v>9</v>
      </c>
      <c r="F287" s="24">
        <v>15340</v>
      </c>
      <c r="G287" s="25">
        <v>44041</v>
      </c>
      <c r="H287" s="25">
        <v>45502</v>
      </c>
      <c r="I287" s="24" t="s">
        <v>82</v>
      </c>
      <c r="J287" s="24" t="s">
        <v>30</v>
      </c>
      <c r="K287" s="24" t="str">
        <f>IF(certifications[[#This Row],[ISSUE DATE]]="", "", TEXT(certifications[[#This Row],[ISSUE DATE]], "MMM"))</f>
        <v>Jul</v>
      </c>
      <c r="L287" s="35" t="str">
        <f>IF(certifications[[#This Row],[ISSUE DATE]]="", "", TEXT(certifications[[#This Row],[ISSUE DATE]], "YYYY"))</f>
        <v>2020</v>
      </c>
    </row>
    <row r="288" spans="1:12" s="29" customFormat="1" ht="23.95" customHeight="1" x14ac:dyDescent="0.3">
      <c r="A288" s="31"/>
      <c r="B288" s="24">
        <v>275</v>
      </c>
      <c r="C288" s="24" t="s">
        <v>353</v>
      </c>
      <c r="D288" s="24" t="s">
        <v>32</v>
      </c>
      <c r="E288" s="24" t="s">
        <v>9</v>
      </c>
      <c r="F288" s="24">
        <v>16228</v>
      </c>
      <c r="G288" s="25">
        <v>44372</v>
      </c>
      <c r="H288" s="25">
        <v>46563</v>
      </c>
      <c r="I288" s="24" t="s">
        <v>10</v>
      </c>
      <c r="J288" s="24" t="s">
        <v>33</v>
      </c>
      <c r="K288" s="24" t="str">
        <f>IF(certifications[[#This Row],[ISSUE DATE]]="", "", TEXT(certifications[[#This Row],[ISSUE DATE]], "MMM"))</f>
        <v>Jun</v>
      </c>
      <c r="L288" s="35" t="str">
        <f>IF(certifications[[#This Row],[ISSUE DATE]]="", "", TEXT(certifications[[#This Row],[ISSUE DATE]], "YYYY"))</f>
        <v>2021</v>
      </c>
    </row>
    <row r="289" spans="1:12" s="29" customFormat="1" ht="23.95" customHeight="1" x14ac:dyDescent="0.3">
      <c r="A289" s="31"/>
      <c r="B289" s="24">
        <v>276</v>
      </c>
      <c r="C289" s="24" t="s">
        <v>353</v>
      </c>
      <c r="D289" s="24" t="s">
        <v>32</v>
      </c>
      <c r="E289" s="24" t="s">
        <v>26</v>
      </c>
      <c r="F289" s="24">
        <v>16228</v>
      </c>
      <c r="G289" s="25">
        <v>44326</v>
      </c>
      <c r="H289" s="25">
        <v>45787</v>
      </c>
      <c r="I289" s="24" t="s">
        <v>82</v>
      </c>
      <c r="J289" s="24" t="s">
        <v>33</v>
      </c>
      <c r="K289" s="24" t="str">
        <f>IF(certifications[[#This Row],[ISSUE DATE]]="", "", TEXT(certifications[[#This Row],[ISSUE DATE]], "MMM"))</f>
        <v>May</v>
      </c>
      <c r="L289" s="35" t="str">
        <f>IF(certifications[[#This Row],[ISSUE DATE]]="", "", TEXT(certifications[[#This Row],[ISSUE DATE]], "YYYY"))</f>
        <v>2021</v>
      </c>
    </row>
    <row r="290" spans="1:12" s="29" customFormat="1" ht="23.95" customHeight="1" x14ac:dyDescent="0.3">
      <c r="A290" s="31"/>
      <c r="B290" s="24">
        <v>277</v>
      </c>
      <c r="C290" s="24" t="s">
        <v>354</v>
      </c>
      <c r="D290" s="24" t="s">
        <v>355</v>
      </c>
      <c r="E290" s="24" t="s">
        <v>9</v>
      </c>
      <c r="F290" s="24">
        <v>19094</v>
      </c>
      <c r="G290" s="25">
        <v>45170</v>
      </c>
      <c r="H290" s="25">
        <v>45901</v>
      </c>
      <c r="I290" s="24" t="s">
        <v>10</v>
      </c>
      <c r="J290" s="24" t="s">
        <v>22</v>
      </c>
      <c r="K290" s="24" t="str">
        <f>IF(certifications[[#This Row],[ISSUE DATE]]="", "", TEXT(certifications[[#This Row],[ISSUE DATE]], "MMM"))</f>
        <v>Sep</v>
      </c>
      <c r="L290" s="35" t="str">
        <f>IF(certifications[[#This Row],[ISSUE DATE]]="", "", TEXT(certifications[[#This Row],[ISSUE DATE]], "YYYY"))</f>
        <v>2023</v>
      </c>
    </row>
    <row r="291" spans="1:12" s="29" customFormat="1" ht="23.95" customHeight="1" x14ac:dyDescent="0.3">
      <c r="A291" s="31"/>
      <c r="B291" s="24">
        <v>278</v>
      </c>
      <c r="C291" s="24" t="s">
        <v>356</v>
      </c>
      <c r="D291" s="24" t="s">
        <v>37</v>
      </c>
      <c r="E291" s="24" t="s">
        <v>9</v>
      </c>
      <c r="F291" s="24">
        <v>9614</v>
      </c>
      <c r="G291" s="25">
        <v>42513</v>
      </c>
      <c r="H291" s="25">
        <v>43243</v>
      </c>
      <c r="I291" s="24" t="s">
        <v>16</v>
      </c>
      <c r="J291" s="24" t="s">
        <v>38</v>
      </c>
      <c r="K291" s="24" t="str">
        <f>IF(certifications[[#This Row],[ISSUE DATE]]="", "", TEXT(certifications[[#This Row],[ISSUE DATE]], "MMM"))</f>
        <v>May</v>
      </c>
      <c r="L291" s="35" t="str">
        <f>IF(certifications[[#This Row],[ISSUE DATE]]="", "", TEXT(certifications[[#This Row],[ISSUE DATE]], "YYYY"))</f>
        <v>2016</v>
      </c>
    </row>
    <row r="292" spans="1:12" s="29" customFormat="1" ht="23.95" customHeight="1" x14ac:dyDescent="0.3">
      <c r="A292" s="31"/>
      <c r="B292" s="24">
        <v>279</v>
      </c>
      <c r="C292" s="24" t="s">
        <v>357</v>
      </c>
      <c r="D292" s="24" t="s">
        <v>32</v>
      </c>
      <c r="E292" s="24" t="s">
        <v>9</v>
      </c>
      <c r="F292" s="24">
        <v>12201</v>
      </c>
      <c r="G292" s="25">
        <v>45775</v>
      </c>
      <c r="H292" s="25">
        <v>46505</v>
      </c>
      <c r="I292" s="24" t="s">
        <v>10</v>
      </c>
      <c r="J292" s="24" t="s">
        <v>33</v>
      </c>
      <c r="K292" s="24" t="str">
        <f>IF(certifications[[#This Row],[ISSUE DATE]]="", "", TEXT(certifications[[#This Row],[ISSUE DATE]], "MMM"))</f>
        <v>Apr</v>
      </c>
      <c r="L292" s="35" t="str">
        <f>IF(certifications[[#This Row],[ISSUE DATE]]="", "", TEXT(certifications[[#This Row],[ISSUE DATE]], "YYYY"))</f>
        <v>2025</v>
      </c>
    </row>
    <row r="293" spans="1:12" s="29" customFormat="1" ht="23.95" customHeight="1" x14ac:dyDescent="0.3">
      <c r="A293" s="31"/>
      <c r="B293" s="24">
        <v>280</v>
      </c>
      <c r="C293" s="24" t="s">
        <v>357</v>
      </c>
      <c r="D293" s="24" t="s">
        <v>32</v>
      </c>
      <c r="E293" s="24" t="s">
        <v>26</v>
      </c>
      <c r="F293" s="24">
        <v>12201</v>
      </c>
      <c r="G293" s="25">
        <v>45592</v>
      </c>
      <c r="H293" s="25">
        <v>46322</v>
      </c>
      <c r="I293" s="24" t="s">
        <v>10</v>
      </c>
      <c r="J293" s="24" t="s">
        <v>33</v>
      </c>
      <c r="K293" s="24" t="str">
        <f>IF(certifications[[#This Row],[ISSUE DATE]]="", "", TEXT(certifications[[#This Row],[ISSUE DATE]], "MMM"))</f>
        <v>Oct</v>
      </c>
      <c r="L293" s="35" t="str">
        <f>IF(certifications[[#This Row],[ISSUE DATE]]="", "", TEXT(certifications[[#This Row],[ISSUE DATE]], "YYYY"))</f>
        <v>2024</v>
      </c>
    </row>
    <row r="294" spans="1:12" s="29" customFormat="1" ht="23.95" customHeight="1" x14ac:dyDescent="0.3">
      <c r="A294" s="31"/>
      <c r="B294" s="24">
        <v>281</v>
      </c>
      <c r="C294" s="24" t="s">
        <v>358</v>
      </c>
      <c r="D294" s="24" t="s">
        <v>32</v>
      </c>
      <c r="E294" s="24" t="s">
        <v>26</v>
      </c>
      <c r="F294" s="24">
        <v>19891</v>
      </c>
      <c r="G294" s="25">
        <v>45588</v>
      </c>
      <c r="H294" s="25">
        <v>46318</v>
      </c>
      <c r="I294" s="24" t="s">
        <v>10</v>
      </c>
      <c r="J294" s="24" t="s">
        <v>33</v>
      </c>
      <c r="K294" s="24" t="str">
        <f>IF(certifications[[#This Row],[ISSUE DATE]]="", "", TEXT(certifications[[#This Row],[ISSUE DATE]], "MMM"))</f>
        <v>Oct</v>
      </c>
      <c r="L294" s="35" t="str">
        <f>IF(certifications[[#This Row],[ISSUE DATE]]="", "", TEXT(certifications[[#This Row],[ISSUE DATE]], "YYYY"))</f>
        <v>2024</v>
      </c>
    </row>
    <row r="295" spans="1:12" s="29" customFormat="1" ht="23.95" customHeight="1" x14ac:dyDescent="0.3">
      <c r="A295" s="31"/>
      <c r="B295" s="24">
        <v>282</v>
      </c>
      <c r="C295" s="24" t="s">
        <v>359</v>
      </c>
      <c r="D295" s="24" t="s">
        <v>13</v>
      </c>
      <c r="E295" s="24" t="s">
        <v>9</v>
      </c>
      <c r="F295" s="24">
        <v>15071</v>
      </c>
      <c r="G295" s="25">
        <v>43857</v>
      </c>
      <c r="H295" s="25">
        <v>46049</v>
      </c>
      <c r="I295" s="24" t="s">
        <v>10</v>
      </c>
      <c r="J295" s="24" t="s">
        <v>14</v>
      </c>
      <c r="K295" s="24" t="str">
        <f>IF(certifications[[#This Row],[ISSUE DATE]]="", "", TEXT(certifications[[#This Row],[ISSUE DATE]], "MMM"))</f>
        <v>Jan</v>
      </c>
      <c r="L295" s="35" t="str">
        <f>IF(certifications[[#This Row],[ISSUE DATE]]="", "", TEXT(certifications[[#This Row],[ISSUE DATE]], "YYYY"))</f>
        <v>2020</v>
      </c>
    </row>
    <row r="296" spans="1:12" s="29" customFormat="1" ht="23.95" customHeight="1" x14ac:dyDescent="0.3">
      <c r="A296" s="31"/>
      <c r="B296" s="24">
        <v>283</v>
      </c>
      <c r="C296" s="24" t="s">
        <v>360</v>
      </c>
      <c r="D296" s="24" t="s">
        <v>18</v>
      </c>
      <c r="E296" s="24" t="s">
        <v>26</v>
      </c>
      <c r="F296" s="24">
        <v>14346</v>
      </c>
      <c r="G296" s="25">
        <v>43697</v>
      </c>
      <c r="H296" s="25">
        <v>44428</v>
      </c>
      <c r="I296" s="24" t="s">
        <v>16</v>
      </c>
      <c r="J296" s="24" t="s">
        <v>19</v>
      </c>
      <c r="K296" s="24" t="str">
        <f>IF(certifications[[#This Row],[ISSUE DATE]]="", "", TEXT(certifications[[#This Row],[ISSUE DATE]], "MMM"))</f>
        <v>Aug</v>
      </c>
      <c r="L296" s="35" t="str">
        <f>IF(certifications[[#This Row],[ISSUE DATE]]="", "", TEXT(certifications[[#This Row],[ISSUE DATE]], "YYYY"))</f>
        <v>2019</v>
      </c>
    </row>
    <row r="297" spans="1:12" s="29" customFormat="1" ht="23.95" customHeight="1" x14ac:dyDescent="0.3">
      <c r="A297" s="31"/>
      <c r="B297" s="24">
        <v>284</v>
      </c>
      <c r="C297" s="24" t="s">
        <v>361</v>
      </c>
      <c r="D297" s="24" t="s">
        <v>298</v>
      </c>
      <c r="E297" s="24" t="s">
        <v>26</v>
      </c>
      <c r="F297" s="24">
        <v>13897</v>
      </c>
      <c r="G297" s="25">
        <v>43663</v>
      </c>
      <c r="H297" s="25">
        <v>44394</v>
      </c>
      <c r="I297" s="24" t="s">
        <v>16</v>
      </c>
      <c r="J297" s="24" t="s">
        <v>30</v>
      </c>
      <c r="K297" s="24" t="str">
        <f>IF(certifications[[#This Row],[ISSUE DATE]]="", "", TEXT(certifications[[#This Row],[ISSUE DATE]], "MMM"))</f>
        <v>Jul</v>
      </c>
      <c r="L297" s="35" t="str">
        <f>IF(certifications[[#This Row],[ISSUE DATE]]="", "", TEXT(certifications[[#This Row],[ISSUE DATE]], "YYYY"))</f>
        <v>2019</v>
      </c>
    </row>
    <row r="298" spans="1:12" s="29" customFormat="1" ht="23.95" customHeight="1" x14ac:dyDescent="0.3">
      <c r="A298" s="31"/>
      <c r="B298" s="24">
        <v>285</v>
      </c>
      <c r="C298" s="24" t="s">
        <v>362</v>
      </c>
      <c r="D298" s="24" t="s">
        <v>363</v>
      </c>
      <c r="E298" s="24" t="s">
        <v>26</v>
      </c>
      <c r="F298" s="24">
        <v>12958</v>
      </c>
      <c r="G298" s="25">
        <v>43535</v>
      </c>
      <c r="H298" s="25">
        <v>44266</v>
      </c>
      <c r="I298" s="24" t="s">
        <v>16</v>
      </c>
      <c r="J298" s="24" t="s">
        <v>19</v>
      </c>
      <c r="K298" s="24" t="str">
        <f>IF(certifications[[#This Row],[ISSUE DATE]]="", "", TEXT(certifications[[#This Row],[ISSUE DATE]], "MMM"))</f>
        <v>Mar</v>
      </c>
      <c r="L298" s="35" t="str">
        <f>IF(certifications[[#This Row],[ISSUE DATE]]="", "", TEXT(certifications[[#This Row],[ISSUE DATE]], "YYYY"))</f>
        <v>2019</v>
      </c>
    </row>
    <row r="299" spans="1:12" s="29" customFormat="1" ht="23.95" customHeight="1" x14ac:dyDescent="0.3">
      <c r="A299" s="31"/>
      <c r="B299" s="24">
        <v>286</v>
      </c>
      <c r="C299" s="24" t="s">
        <v>364</v>
      </c>
      <c r="D299" s="24" t="s">
        <v>18</v>
      </c>
      <c r="E299" s="24" t="s">
        <v>9</v>
      </c>
      <c r="F299" s="24">
        <v>7258</v>
      </c>
      <c r="G299" s="25">
        <v>39982</v>
      </c>
      <c r="H299" s="25">
        <v>40712</v>
      </c>
      <c r="I299" s="24" t="s">
        <v>16</v>
      </c>
      <c r="J299" s="24" t="s">
        <v>19</v>
      </c>
      <c r="K299" s="24" t="str">
        <f>IF(certifications[[#This Row],[ISSUE DATE]]="", "", TEXT(certifications[[#This Row],[ISSUE DATE]], "MMM"))</f>
        <v>Jun</v>
      </c>
      <c r="L299" s="35" t="str">
        <f>IF(certifications[[#This Row],[ISSUE DATE]]="", "", TEXT(certifications[[#This Row],[ISSUE DATE]], "YYYY"))</f>
        <v>2009</v>
      </c>
    </row>
    <row r="300" spans="1:12" s="29" customFormat="1" ht="23.95" customHeight="1" x14ac:dyDescent="0.3">
      <c r="A300" s="31"/>
      <c r="B300" s="24">
        <v>287</v>
      </c>
      <c r="C300" s="24" t="s">
        <v>365</v>
      </c>
      <c r="D300" s="24" t="s">
        <v>32</v>
      </c>
      <c r="E300" s="24" t="s">
        <v>9</v>
      </c>
      <c r="F300" s="24">
        <v>9547</v>
      </c>
      <c r="G300" s="25">
        <v>42446</v>
      </c>
      <c r="H300" s="25">
        <v>44637</v>
      </c>
      <c r="I300" s="24" t="s">
        <v>16</v>
      </c>
      <c r="J300" s="24" t="s">
        <v>33</v>
      </c>
      <c r="K300" s="24" t="str">
        <f>IF(certifications[[#This Row],[ISSUE DATE]]="", "", TEXT(certifications[[#This Row],[ISSUE DATE]], "MMM"))</f>
        <v>Mar</v>
      </c>
      <c r="L300" s="35" t="str">
        <f>IF(certifications[[#This Row],[ISSUE DATE]]="", "", TEXT(certifications[[#This Row],[ISSUE DATE]], "YYYY"))</f>
        <v>2016</v>
      </c>
    </row>
    <row r="301" spans="1:12" s="29" customFormat="1" ht="23.95" customHeight="1" x14ac:dyDescent="0.3">
      <c r="A301" s="31"/>
      <c r="B301" s="24">
        <v>288</v>
      </c>
      <c r="C301" s="24" t="s">
        <v>366</v>
      </c>
      <c r="D301" s="24" t="s">
        <v>13</v>
      </c>
      <c r="E301" s="24" t="s">
        <v>9</v>
      </c>
      <c r="F301" s="24">
        <v>9650</v>
      </c>
      <c r="G301" s="25">
        <v>42537</v>
      </c>
      <c r="H301" s="25">
        <v>43267</v>
      </c>
      <c r="I301" s="24" t="s">
        <v>16</v>
      </c>
      <c r="J301" s="24" t="s">
        <v>14</v>
      </c>
      <c r="K301" s="24" t="str">
        <f>IF(certifications[[#This Row],[ISSUE DATE]]="", "", TEXT(certifications[[#This Row],[ISSUE DATE]], "MMM"))</f>
        <v>Jun</v>
      </c>
      <c r="L301" s="35" t="str">
        <f>IF(certifications[[#This Row],[ISSUE DATE]]="", "", TEXT(certifications[[#This Row],[ISSUE DATE]], "YYYY"))</f>
        <v>2016</v>
      </c>
    </row>
    <row r="302" spans="1:12" s="29" customFormat="1" ht="23.95" customHeight="1" x14ac:dyDescent="0.3">
      <c r="A302" s="31"/>
      <c r="B302" s="24">
        <v>289</v>
      </c>
      <c r="C302" s="24" t="s">
        <v>367</v>
      </c>
      <c r="D302" s="24" t="s">
        <v>13</v>
      </c>
      <c r="E302" s="24" t="s">
        <v>9</v>
      </c>
      <c r="F302" s="24">
        <v>14239</v>
      </c>
      <c r="G302" s="25">
        <v>43686</v>
      </c>
      <c r="H302" s="25">
        <v>45878</v>
      </c>
      <c r="I302" s="24" t="s">
        <v>10</v>
      </c>
      <c r="J302" s="24" t="s">
        <v>14</v>
      </c>
      <c r="K302" s="24" t="str">
        <f>IF(certifications[[#This Row],[ISSUE DATE]]="", "", TEXT(certifications[[#This Row],[ISSUE DATE]], "MMM"))</f>
        <v>Aug</v>
      </c>
      <c r="L302" s="35" t="str">
        <f>IF(certifications[[#This Row],[ISSUE DATE]]="", "", TEXT(certifications[[#This Row],[ISSUE DATE]], "YYYY"))</f>
        <v>2019</v>
      </c>
    </row>
    <row r="303" spans="1:12" s="29" customFormat="1" ht="23.95" customHeight="1" x14ac:dyDescent="0.3">
      <c r="A303" s="31"/>
      <c r="B303" s="24">
        <v>290</v>
      </c>
      <c r="C303" s="24" t="s">
        <v>368</v>
      </c>
      <c r="D303" s="24" t="s">
        <v>369</v>
      </c>
      <c r="E303" s="24" t="s">
        <v>9</v>
      </c>
      <c r="F303" s="24">
        <v>15350</v>
      </c>
      <c r="G303" s="25">
        <v>44096</v>
      </c>
      <c r="H303" s="25">
        <v>44826</v>
      </c>
      <c r="I303" s="24" t="s">
        <v>16</v>
      </c>
      <c r="J303" s="24" t="s">
        <v>25</v>
      </c>
      <c r="K303" s="24" t="str">
        <f>IF(certifications[[#This Row],[ISSUE DATE]]="", "", TEXT(certifications[[#This Row],[ISSUE DATE]], "MMM"))</f>
        <v>Sep</v>
      </c>
      <c r="L303" s="35" t="str">
        <f>IF(certifications[[#This Row],[ISSUE DATE]]="", "", TEXT(certifications[[#This Row],[ISSUE DATE]], "YYYY"))</f>
        <v>2020</v>
      </c>
    </row>
    <row r="304" spans="1:12" s="29" customFormat="1" ht="23.95" customHeight="1" x14ac:dyDescent="0.3">
      <c r="A304" s="31"/>
      <c r="B304" s="24">
        <v>291</v>
      </c>
      <c r="C304" s="24" t="s">
        <v>370</v>
      </c>
      <c r="D304" s="24" t="s">
        <v>29</v>
      </c>
      <c r="E304" s="24" t="s">
        <v>26</v>
      </c>
      <c r="F304" s="24">
        <v>20189</v>
      </c>
      <c r="G304" s="25">
        <v>45413</v>
      </c>
      <c r="H304" s="25">
        <v>46143</v>
      </c>
      <c r="I304" s="24" t="s">
        <v>10</v>
      </c>
      <c r="J304" s="24" t="s">
        <v>30</v>
      </c>
      <c r="K304" s="24" t="str">
        <f>IF(certifications[[#This Row],[ISSUE DATE]]="", "", TEXT(certifications[[#This Row],[ISSUE DATE]], "MMM"))</f>
        <v>May</v>
      </c>
      <c r="L304" s="35" t="str">
        <f>IF(certifications[[#This Row],[ISSUE DATE]]="", "", TEXT(certifications[[#This Row],[ISSUE DATE]], "YYYY"))</f>
        <v>2024</v>
      </c>
    </row>
    <row r="305" spans="1:12" s="29" customFormat="1" ht="23.95" customHeight="1" x14ac:dyDescent="0.3">
      <c r="A305" s="31"/>
      <c r="B305" s="24">
        <v>292</v>
      </c>
      <c r="C305" s="24" t="s">
        <v>371</v>
      </c>
      <c r="D305" s="24" t="s">
        <v>48</v>
      </c>
      <c r="E305" s="24" t="s">
        <v>9</v>
      </c>
      <c r="F305" s="24">
        <v>9725</v>
      </c>
      <c r="G305" s="25">
        <v>42571</v>
      </c>
      <c r="H305" s="25">
        <v>43301</v>
      </c>
      <c r="I305" s="24" t="s">
        <v>16</v>
      </c>
      <c r="J305" s="24" t="s">
        <v>38</v>
      </c>
      <c r="K305" s="24" t="str">
        <f>IF(certifications[[#This Row],[ISSUE DATE]]="", "", TEXT(certifications[[#This Row],[ISSUE DATE]], "MMM"))</f>
        <v>Jul</v>
      </c>
      <c r="L305" s="35" t="str">
        <f>IF(certifications[[#This Row],[ISSUE DATE]]="", "", TEXT(certifications[[#This Row],[ISSUE DATE]], "YYYY"))</f>
        <v>2016</v>
      </c>
    </row>
    <row r="306" spans="1:12" s="29" customFormat="1" ht="23.95" customHeight="1" x14ac:dyDescent="0.3">
      <c r="A306" s="31"/>
      <c r="B306" s="24">
        <v>293</v>
      </c>
      <c r="C306" s="24" t="s">
        <v>372</v>
      </c>
      <c r="D306" s="24" t="s">
        <v>269</v>
      </c>
      <c r="E306" s="24" t="s">
        <v>26</v>
      </c>
      <c r="F306" s="24">
        <v>9571</v>
      </c>
      <c r="G306" s="25">
        <v>43195</v>
      </c>
      <c r="H306" s="25">
        <v>46117</v>
      </c>
      <c r="I306" s="24" t="s">
        <v>10</v>
      </c>
      <c r="J306" s="24" t="s">
        <v>25</v>
      </c>
      <c r="K306" s="24" t="str">
        <f>IF(certifications[[#This Row],[ISSUE DATE]]="", "", TEXT(certifications[[#This Row],[ISSUE DATE]], "MMM"))</f>
        <v>Apr</v>
      </c>
      <c r="L306" s="35" t="str">
        <f>IF(certifications[[#This Row],[ISSUE DATE]]="", "", TEXT(certifications[[#This Row],[ISSUE DATE]], "YYYY"))</f>
        <v>2018</v>
      </c>
    </row>
    <row r="307" spans="1:12" s="29" customFormat="1" ht="23.95" customHeight="1" x14ac:dyDescent="0.3">
      <c r="A307" s="31"/>
      <c r="B307" s="24">
        <v>294</v>
      </c>
      <c r="C307" s="24" t="s">
        <v>373</v>
      </c>
      <c r="D307" s="24" t="s">
        <v>305</v>
      </c>
      <c r="E307" s="24" t="s">
        <v>26</v>
      </c>
      <c r="F307" s="24">
        <v>18066</v>
      </c>
      <c r="G307" s="25">
        <v>44894</v>
      </c>
      <c r="H307" s="25">
        <v>45625</v>
      </c>
      <c r="I307" s="24" t="s">
        <v>82</v>
      </c>
      <c r="J307" s="24" t="s">
        <v>22</v>
      </c>
      <c r="K307" s="24" t="str">
        <f>IF(certifications[[#This Row],[ISSUE DATE]]="", "", TEXT(certifications[[#This Row],[ISSUE DATE]], "MMM"))</f>
        <v>Nov</v>
      </c>
      <c r="L307" s="35" t="str">
        <f>IF(certifications[[#This Row],[ISSUE DATE]]="", "", TEXT(certifications[[#This Row],[ISSUE DATE]], "YYYY"))</f>
        <v>2022</v>
      </c>
    </row>
    <row r="308" spans="1:12" s="29" customFormat="1" ht="23.95" customHeight="1" x14ac:dyDescent="0.3">
      <c r="A308" s="31"/>
      <c r="B308" s="24">
        <v>295</v>
      </c>
      <c r="C308" s="24" t="s">
        <v>374</v>
      </c>
      <c r="D308" s="24" t="s">
        <v>375</v>
      </c>
      <c r="E308" s="24" t="s">
        <v>9</v>
      </c>
      <c r="F308" s="24">
        <v>10265</v>
      </c>
      <c r="G308" s="25">
        <v>42908</v>
      </c>
      <c r="H308" s="25">
        <v>45099</v>
      </c>
      <c r="I308" s="24" t="s">
        <v>16</v>
      </c>
      <c r="J308" s="24" t="s">
        <v>38</v>
      </c>
      <c r="K308" s="24" t="str">
        <f>IF(certifications[[#This Row],[ISSUE DATE]]="", "", TEXT(certifications[[#This Row],[ISSUE DATE]], "MMM"))</f>
        <v>Jun</v>
      </c>
      <c r="L308" s="35" t="str">
        <f>IF(certifications[[#This Row],[ISSUE DATE]]="", "", TEXT(certifications[[#This Row],[ISSUE DATE]], "YYYY"))</f>
        <v>2017</v>
      </c>
    </row>
    <row r="309" spans="1:12" s="29" customFormat="1" ht="23.95" customHeight="1" x14ac:dyDescent="0.3">
      <c r="A309" s="31"/>
      <c r="B309" s="24">
        <v>296</v>
      </c>
      <c r="C309" s="24" t="s">
        <v>376</v>
      </c>
      <c r="D309" s="24" t="s">
        <v>32</v>
      </c>
      <c r="E309" s="24" t="s">
        <v>9</v>
      </c>
      <c r="F309" s="24">
        <v>9998</v>
      </c>
      <c r="G309" s="25">
        <v>44286</v>
      </c>
      <c r="H309" s="25">
        <v>45016</v>
      </c>
      <c r="I309" s="24" t="s">
        <v>16</v>
      </c>
      <c r="J309" s="24" t="s">
        <v>33</v>
      </c>
      <c r="K309" s="24" t="str">
        <f>IF(certifications[[#This Row],[ISSUE DATE]]="", "", TEXT(certifications[[#This Row],[ISSUE DATE]], "MMM"))</f>
        <v>Mar</v>
      </c>
      <c r="L309" s="35" t="str">
        <f>IF(certifications[[#This Row],[ISSUE DATE]]="", "", TEXT(certifications[[#This Row],[ISSUE DATE]], "YYYY"))</f>
        <v>2021</v>
      </c>
    </row>
    <row r="310" spans="1:12" s="29" customFormat="1" ht="23.95" customHeight="1" x14ac:dyDescent="0.3">
      <c r="A310" s="31"/>
      <c r="B310" s="24">
        <v>297</v>
      </c>
      <c r="C310" s="24" t="s">
        <v>376</v>
      </c>
      <c r="D310" s="24" t="s">
        <v>377</v>
      </c>
      <c r="E310" s="24" t="s">
        <v>9</v>
      </c>
      <c r="F310" s="24">
        <v>20763</v>
      </c>
      <c r="G310" s="25">
        <v>45530</v>
      </c>
      <c r="H310" s="25">
        <v>46260</v>
      </c>
      <c r="I310" s="24" t="s">
        <v>10</v>
      </c>
      <c r="J310" s="24" t="s">
        <v>14</v>
      </c>
      <c r="K310" s="24" t="str">
        <f>IF(certifications[[#This Row],[ISSUE DATE]]="", "", TEXT(certifications[[#This Row],[ISSUE DATE]], "MMM"))</f>
        <v>Aug</v>
      </c>
      <c r="L310" s="35" t="str">
        <f>IF(certifications[[#This Row],[ISSUE DATE]]="", "", TEXT(certifications[[#This Row],[ISSUE DATE]], "YYYY"))</f>
        <v>2024</v>
      </c>
    </row>
    <row r="311" spans="1:12" s="29" customFormat="1" ht="23.95" customHeight="1" x14ac:dyDescent="0.3">
      <c r="A311" s="31"/>
      <c r="B311" s="24">
        <v>298</v>
      </c>
      <c r="C311" s="24" t="s">
        <v>378</v>
      </c>
      <c r="D311" s="24" t="s">
        <v>18</v>
      </c>
      <c r="E311" s="24" t="s">
        <v>9</v>
      </c>
      <c r="F311" s="24">
        <v>15480</v>
      </c>
      <c r="G311" s="25">
        <v>45426</v>
      </c>
      <c r="H311" s="25">
        <v>46156</v>
      </c>
      <c r="I311" s="24" t="s">
        <v>10</v>
      </c>
      <c r="J311" s="24" t="s">
        <v>19</v>
      </c>
      <c r="K311" s="24" t="str">
        <f>IF(certifications[[#This Row],[ISSUE DATE]]="", "", TEXT(certifications[[#This Row],[ISSUE DATE]], "MMM"))</f>
        <v>May</v>
      </c>
      <c r="L311" s="35" t="str">
        <f>IF(certifications[[#This Row],[ISSUE DATE]]="", "", TEXT(certifications[[#This Row],[ISSUE DATE]], "YYYY"))</f>
        <v>2024</v>
      </c>
    </row>
    <row r="312" spans="1:12" s="29" customFormat="1" ht="23.95" customHeight="1" x14ac:dyDescent="0.3">
      <c r="A312" s="31"/>
      <c r="B312" s="24">
        <v>299</v>
      </c>
      <c r="C312" s="24" t="s">
        <v>379</v>
      </c>
      <c r="D312" s="24" t="s">
        <v>48</v>
      </c>
      <c r="E312" s="24" t="s">
        <v>9</v>
      </c>
      <c r="F312" s="24">
        <v>8275</v>
      </c>
      <c r="G312" s="25">
        <v>41255</v>
      </c>
      <c r="H312" s="25">
        <v>41985</v>
      </c>
      <c r="I312" s="24" t="s">
        <v>16</v>
      </c>
      <c r="J312" s="24" t="s">
        <v>38</v>
      </c>
      <c r="K312" s="24" t="str">
        <f>IF(certifications[[#This Row],[ISSUE DATE]]="", "", TEXT(certifications[[#This Row],[ISSUE DATE]], "MMM"))</f>
        <v>Dec</v>
      </c>
      <c r="L312" s="35" t="str">
        <f>IF(certifications[[#This Row],[ISSUE DATE]]="", "", TEXT(certifications[[#This Row],[ISSUE DATE]], "YYYY"))</f>
        <v>2012</v>
      </c>
    </row>
    <row r="313" spans="1:12" s="29" customFormat="1" ht="23.95" customHeight="1" x14ac:dyDescent="0.3">
      <c r="A313" s="31"/>
      <c r="B313" s="24">
        <v>300</v>
      </c>
      <c r="C313" s="24" t="s">
        <v>380</v>
      </c>
      <c r="D313" s="24" t="s">
        <v>32</v>
      </c>
      <c r="E313" s="24" t="s">
        <v>9</v>
      </c>
      <c r="F313" s="24">
        <v>11410</v>
      </c>
      <c r="G313" s="25">
        <v>44368</v>
      </c>
      <c r="H313" s="25">
        <v>45829</v>
      </c>
      <c r="I313" s="24" t="s">
        <v>10</v>
      </c>
      <c r="J313" s="24" t="s">
        <v>33</v>
      </c>
      <c r="K313" s="24" t="str">
        <f>IF(certifications[[#This Row],[ISSUE DATE]]="", "", TEXT(certifications[[#This Row],[ISSUE DATE]], "MMM"))</f>
        <v>Jun</v>
      </c>
      <c r="L313" s="35" t="str">
        <f>IF(certifications[[#This Row],[ISSUE DATE]]="", "", TEXT(certifications[[#This Row],[ISSUE DATE]], "YYYY"))</f>
        <v>2021</v>
      </c>
    </row>
    <row r="314" spans="1:12" s="29" customFormat="1" ht="23.95" customHeight="1" x14ac:dyDescent="0.3">
      <c r="A314" s="31"/>
      <c r="B314" s="24">
        <v>301</v>
      </c>
      <c r="C314" s="24" t="s">
        <v>381</v>
      </c>
      <c r="D314" s="24" t="s">
        <v>13</v>
      </c>
      <c r="E314" s="24" t="s">
        <v>9</v>
      </c>
      <c r="F314" s="24">
        <v>16524</v>
      </c>
      <c r="G314" s="25">
        <v>44372</v>
      </c>
      <c r="H314" s="25">
        <v>45102</v>
      </c>
      <c r="I314" s="24" t="s">
        <v>16</v>
      </c>
      <c r="J314" s="24" t="s">
        <v>14</v>
      </c>
      <c r="K314" s="24" t="str">
        <f>IF(certifications[[#This Row],[ISSUE DATE]]="", "", TEXT(certifications[[#This Row],[ISSUE DATE]], "MMM"))</f>
        <v>Jun</v>
      </c>
      <c r="L314" s="35" t="str">
        <f>IF(certifications[[#This Row],[ISSUE DATE]]="", "", TEXT(certifications[[#This Row],[ISSUE DATE]], "YYYY"))</f>
        <v>2021</v>
      </c>
    </row>
    <row r="315" spans="1:12" s="29" customFormat="1" ht="23.95" customHeight="1" x14ac:dyDescent="0.3">
      <c r="A315" s="31"/>
      <c r="B315" s="24">
        <v>302</v>
      </c>
      <c r="C315" s="24" t="s">
        <v>382</v>
      </c>
      <c r="D315" s="24" t="s">
        <v>32</v>
      </c>
      <c r="E315" s="24" t="s">
        <v>9</v>
      </c>
      <c r="F315" s="24">
        <v>17443</v>
      </c>
      <c r="G315" s="25">
        <v>44697</v>
      </c>
      <c r="H315" s="25">
        <v>45428</v>
      </c>
      <c r="I315" s="24" t="s">
        <v>16</v>
      </c>
      <c r="J315" s="24" t="s">
        <v>33</v>
      </c>
      <c r="K315" s="24" t="str">
        <f>IF(certifications[[#This Row],[ISSUE DATE]]="", "", TEXT(certifications[[#This Row],[ISSUE DATE]], "MMM"))</f>
        <v>May</v>
      </c>
      <c r="L315" s="35" t="str">
        <f>IF(certifications[[#This Row],[ISSUE DATE]]="", "", TEXT(certifications[[#This Row],[ISSUE DATE]], "YYYY"))</f>
        <v>2022</v>
      </c>
    </row>
    <row r="316" spans="1:12" s="29" customFormat="1" ht="23.95" customHeight="1" x14ac:dyDescent="0.3">
      <c r="A316" s="31"/>
      <c r="B316" s="24">
        <v>303</v>
      </c>
      <c r="C316" s="24" t="s">
        <v>383</v>
      </c>
      <c r="D316" s="24" t="s">
        <v>32</v>
      </c>
      <c r="E316" s="24" t="s">
        <v>9</v>
      </c>
      <c r="F316" s="24">
        <v>14007</v>
      </c>
      <c r="G316" s="25">
        <v>43670</v>
      </c>
      <c r="H316" s="25">
        <v>45131</v>
      </c>
      <c r="I316" s="24" t="s">
        <v>16</v>
      </c>
      <c r="J316" s="24" t="s">
        <v>33</v>
      </c>
      <c r="K316" s="24" t="str">
        <f>IF(certifications[[#This Row],[ISSUE DATE]]="", "", TEXT(certifications[[#This Row],[ISSUE DATE]], "MMM"))</f>
        <v>Jul</v>
      </c>
      <c r="L316" s="35" t="str">
        <f>IF(certifications[[#This Row],[ISSUE DATE]]="", "", TEXT(certifications[[#This Row],[ISSUE DATE]], "YYYY"))</f>
        <v>2019</v>
      </c>
    </row>
    <row r="317" spans="1:12" s="29" customFormat="1" ht="23.95" customHeight="1" x14ac:dyDescent="0.3">
      <c r="A317" s="31"/>
      <c r="B317" s="24">
        <v>304</v>
      </c>
      <c r="C317" s="24" t="s">
        <v>384</v>
      </c>
      <c r="D317" s="24" t="s">
        <v>29</v>
      </c>
      <c r="E317" s="24" t="s">
        <v>9</v>
      </c>
      <c r="F317" s="26" t="s">
        <v>385</v>
      </c>
      <c r="G317" s="25">
        <v>45064</v>
      </c>
      <c r="H317" s="25">
        <v>46730</v>
      </c>
      <c r="I317" s="24" t="s">
        <v>10</v>
      </c>
      <c r="J317" s="24" t="s">
        <v>30</v>
      </c>
      <c r="K317" s="24" t="str">
        <f>IF(certifications[[#This Row],[ISSUE DATE]]="", "", TEXT(certifications[[#This Row],[ISSUE DATE]], "MMM"))</f>
        <v>May</v>
      </c>
      <c r="L317" s="35" t="str">
        <f>IF(certifications[[#This Row],[ISSUE DATE]]="", "", TEXT(certifications[[#This Row],[ISSUE DATE]], "YYYY"))</f>
        <v>2023</v>
      </c>
    </row>
    <row r="318" spans="1:12" s="29" customFormat="1" ht="23.95" customHeight="1" x14ac:dyDescent="0.3">
      <c r="A318" s="31"/>
      <c r="B318" s="24">
        <v>305</v>
      </c>
      <c r="C318" s="24" t="s">
        <v>386</v>
      </c>
      <c r="D318" s="24" t="s">
        <v>171</v>
      </c>
      <c r="E318" s="24" t="s">
        <v>9</v>
      </c>
      <c r="F318" s="24">
        <v>15018</v>
      </c>
      <c r="G318" s="25">
        <v>43840</v>
      </c>
      <c r="H318" s="25">
        <v>44571</v>
      </c>
      <c r="I318" s="24" t="s">
        <v>16</v>
      </c>
      <c r="J318" s="24" t="s">
        <v>14</v>
      </c>
      <c r="K318" s="24" t="str">
        <f>IF(certifications[[#This Row],[ISSUE DATE]]="", "", TEXT(certifications[[#This Row],[ISSUE DATE]], "MMM"))</f>
        <v>Jan</v>
      </c>
      <c r="L318" s="35" t="str">
        <f>IF(certifications[[#This Row],[ISSUE DATE]]="", "", TEXT(certifications[[#This Row],[ISSUE DATE]], "YYYY"))</f>
        <v>2020</v>
      </c>
    </row>
    <row r="319" spans="1:12" s="29" customFormat="1" ht="23.95" customHeight="1" x14ac:dyDescent="0.3">
      <c r="A319" s="31"/>
      <c r="B319" s="24">
        <v>306</v>
      </c>
      <c r="C319" s="24" t="s">
        <v>387</v>
      </c>
      <c r="D319" s="24" t="s">
        <v>32</v>
      </c>
      <c r="E319" s="24" t="s">
        <v>9</v>
      </c>
      <c r="F319" s="24">
        <v>14804</v>
      </c>
      <c r="G319" s="25">
        <v>43787</v>
      </c>
      <c r="H319" s="25">
        <v>45979</v>
      </c>
      <c r="I319" s="24" t="s">
        <v>10</v>
      </c>
      <c r="J319" s="24" t="s">
        <v>33</v>
      </c>
      <c r="K319" s="24" t="str">
        <f>IF(certifications[[#This Row],[ISSUE DATE]]="", "", TEXT(certifications[[#This Row],[ISSUE DATE]], "MMM"))</f>
        <v>Nov</v>
      </c>
      <c r="L319" s="35" t="str">
        <f>IF(certifications[[#This Row],[ISSUE DATE]]="", "", TEXT(certifications[[#This Row],[ISSUE DATE]], "YYYY"))</f>
        <v>2019</v>
      </c>
    </row>
    <row r="320" spans="1:12" s="29" customFormat="1" ht="23.95" customHeight="1" x14ac:dyDescent="0.3">
      <c r="A320" s="31"/>
      <c r="B320" s="24">
        <v>307</v>
      </c>
      <c r="C320" s="24" t="s">
        <v>388</v>
      </c>
      <c r="D320" s="24" t="s">
        <v>80</v>
      </c>
      <c r="E320" s="24" t="s">
        <v>9</v>
      </c>
      <c r="F320" s="24">
        <v>13742</v>
      </c>
      <c r="G320" s="25">
        <v>43641</v>
      </c>
      <c r="H320" s="25">
        <v>44372</v>
      </c>
      <c r="I320" s="24" t="s">
        <v>16</v>
      </c>
      <c r="J320" s="24" t="s">
        <v>38</v>
      </c>
      <c r="K320" s="24" t="str">
        <f>IF(certifications[[#This Row],[ISSUE DATE]]="", "", TEXT(certifications[[#This Row],[ISSUE DATE]], "MMM"))</f>
        <v>Jun</v>
      </c>
      <c r="L320" s="35" t="str">
        <f>IF(certifications[[#This Row],[ISSUE DATE]]="", "", TEXT(certifications[[#This Row],[ISSUE DATE]], "YYYY"))</f>
        <v>2019</v>
      </c>
    </row>
    <row r="321" spans="1:12" s="29" customFormat="1" ht="23.95" customHeight="1" x14ac:dyDescent="0.3">
      <c r="A321" s="31"/>
      <c r="B321" s="24">
        <v>308</v>
      </c>
      <c r="C321" s="24" t="s">
        <v>389</v>
      </c>
      <c r="D321" s="24" t="s">
        <v>390</v>
      </c>
      <c r="E321" s="24" t="s">
        <v>9</v>
      </c>
      <c r="F321" s="24">
        <v>21001</v>
      </c>
      <c r="G321" s="25">
        <v>45580</v>
      </c>
      <c r="H321" s="25">
        <v>46310</v>
      </c>
      <c r="I321" s="24" t="s">
        <v>10</v>
      </c>
      <c r="J321" s="24" t="s">
        <v>22</v>
      </c>
      <c r="K321" s="24" t="str">
        <f>IF(certifications[[#This Row],[ISSUE DATE]]="", "", TEXT(certifications[[#This Row],[ISSUE DATE]], "MMM"))</f>
        <v>Oct</v>
      </c>
      <c r="L321" s="35" t="str">
        <f>IF(certifications[[#This Row],[ISSUE DATE]]="", "", TEXT(certifications[[#This Row],[ISSUE DATE]], "YYYY"))</f>
        <v>2024</v>
      </c>
    </row>
    <row r="322" spans="1:12" s="29" customFormat="1" ht="23.95" customHeight="1" x14ac:dyDescent="0.3">
      <c r="A322" s="31"/>
      <c r="B322" s="24">
        <v>309</v>
      </c>
      <c r="C322" s="24" t="s">
        <v>391</v>
      </c>
      <c r="D322" s="24" t="s">
        <v>32</v>
      </c>
      <c r="E322" s="24" t="s">
        <v>9</v>
      </c>
      <c r="F322" s="24">
        <v>14416</v>
      </c>
      <c r="G322" s="25">
        <v>43697</v>
      </c>
      <c r="H322" s="25">
        <v>44428</v>
      </c>
      <c r="I322" s="24" t="s">
        <v>16</v>
      </c>
      <c r="J322" s="24" t="s">
        <v>33</v>
      </c>
      <c r="K322" s="24" t="str">
        <f>IF(certifications[[#This Row],[ISSUE DATE]]="", "", TEXT(certifications[[#This Row],[ISSUE DATE]], "MMM"))</f>
        <v>Aug</v>
      </c>
      <c r="L322" s="35" t="str">
        <f>IF(certifications[[#This Row],[ISSUE DATE]]="", "", TEXT(certifications[[#This Row],[ISSUE DATE]], "YYYY"))</f>
        <v>2019</v>
      </c>
    </row>
    <row r="323" spans="1:12" s="29" customFormat="1" ht="23.95" customHeight="1" x14ac:dyDescent="0.3">
      <c r="A323" s="31"/>
      <c r="B323" s="24">
        <v>310</v>
      </c>
      <c r="C323" s="24" t="s">
        <v>392</v>
      </c>
      <c r="D323" s="24" t="s">
        <v>171</v>
      </c>
      <c r="E323" s="24" t="s">
        <v>9</v>
      </c>
      <c r="F323" s="24">
        <v>9434</v>
      </c>
      <c r="G323" s="25">
        <v>42341</v>
      </c>
      <c r="H323" s="25">
        <v>43802</v>
      </c>
      <c r="I323" s="24" t="s">
        <v>16</v>
      </c>
      <c r="J323" s="24" t="s">
        <v>14</v>
      </c>
      <c r="K323" s="24" t="str">
        <f>IF(certifications[[#This Row],[ISSUE DATE]]="", "", TEXT(certifications[[#This Row],[ISSUE DATE]], "MMM"))</f>
        <v>Dec</v>
      </c>
      <c r="L323" s="35" t="str">
        <f>IF(certifications[[#This Row],[ISSUE DATE]]="", "", TEXT(certifications[[#This Row],[ISSUE DATE]], "YYYY"))</f>
        <v>2015</v>
      </c>
    </row>
    <row r="324" spans="1:12" s="29" customFormat="1" ht="23.95" customHeight="1" x14ac:dyDescent="0.3">
      <c r="A324" s="31"/>
      <c r="B324" s="24">
        <v>311</v>
      </c>
      <c r="C324" s="24" t="s">
        <v>393</v>
      </c>
      <c r="D324" s="24" t="s">
        <v>32</v>
      </c>
      <c r="E324" s="24" t="s">
        <v>9</v>
      </c>
      <c r="F324" s="24">
        <v>11046</v>
      </c>
      <c r="G324" s="25">
        <v>43203</v>
      </c>
      <c r="H324" s="25">
        <v>43934</v>
      </c>
      <c r="I324" s="24" t="s">
        <v>16</v>
      </c>
      <c r="J324" s="24" t="s">
        <v>33</v>
      </c>
      <c r="K324" s="24" t="str">
        <f>IF(certifications[[#This Row],[ISSUE DATE]]="", "", TEXT(certifications[[#This Row],[ISSUE DATE]], "MMM"))</f>
        <v>Apr</v>
      </c>
      <c r="L324" s="35" t="str">
        <f>IF(certifications[[#This Row],[ISSUE DATE]]="", "", TEXT(certifications[[#This Row],[ISSUE DATE]], "YYYY"))</f>
        <v>2018</v>
      </c>
    </row>
    <row r="325" spans="1:12" s="29" customFormat="1" ht="23.95" customHeight="1" x14ac:dyDescent="0.3">
      <c r="A325" s="31"/>
      <c r="B325" s="24">
        <v>312</v>
      </c>
      <c r="C325" s="24" t="s">
        <v>394</v>
      </c>
      <c r="D325" s="24" t="s">
        <v>395</v>
      </c>
      <c r="E325" s="24" t="s">
        <v>9</v>
      </c>
      <c r="F325" s="24">
        <v>19501</v>
      </c>
      <c r="G325" s="25">
        <v>45264</v>
      </c>
      <c r="H325" s="25">
        <v>45995</v>
      </c>
      <c r="I325" s="24" t="s">
        <v>10</v>
      </c>
      <c r="J325" s="24" t="s">
        <v>11</v>
      </c>
      <c r="K325" s="24" t="str">
        <f>IF(certifications[[#This Row],[ISSUE DATE]]="", "", TEXT(certifications[[#This Row],[ISSUE DATE]], "MMM"))</f>
        <v>Dec</v>
      </c>
      <c r="L325" s="35" t="str">
        <f>IF(certifications[[#This Row],[ISSUE DATE]]="", "", TEXT(certifications[[#This Row],[ISSUE DATE]], "YYYY"))</f>
        <v>2023</v>
      </c>
    </row>
    <row r="326" spans="1:12" s="29" customFormat="1" ht="23.95" customHeight="1" x14ac:dyDescent="0.3">
      <c r="A326" s="31"/>
      <c r="B326" s="24">
        <v>313</v>
      </c>
      <c r="C326" s="24" t="s">
        <v>396</v>
      </c>
      <c r="D326" s="24" t="s">
        <v>21</v>
      </c>
      <c r="E326" s="24" t="s">
        <v>9</v>
      </c>
      <c r="F326" s="24">
        <v>12220</v>
      </c>
      <c r="G326" s="25">
        <v>43350</v>
      </c>
      <c r="H326" s="25">
        <v>46272</v>
      </c>
      <c r="I326" s="24" t="s">
        <v>10</v>
      </c>
      <c r="J326" s="24" t="s">
        <v>22</v>
      </c>
      <c r="K326" s="24" t="str">
        <f>IF(certifications[[#This Row],[ISSUE DATE]]="", "", TEXT(certifications[[#This Row],[ISSUE DATE]], "MMM"))</f>
        <v>Sep</v>
      </c>
      <c r="L326" s="35" t="str">
        <f>IF(certifications[[#This Row],[ISSUE DATE]]="", "", TEXT(certifications[[#This Row],[ISSUE DATE]], "YYYY"))</f>
        <v>2018</v>
      </c>
    </row>
    <row r="327" spans="1:12" s="29" customFormat="1" ht="23.95" customHeight="1" x14ac:dyDescent="0.3">
      <c r="A327" s="31"/>
      <c r="B327" s="24">
        <v>314</v>
      </c>
      <c r="C327" s="24" t="s">
        <v>397</v>
      </c>
      <c r="D327" s="24" t="s">
        <v>398</v>
      </c>
      <c r="E327" s="24" t="s">
        <v>26</v>
      </c>
      <c r="F327" s="24">
        <v>13502</v>
      </c>
      <c r="G327" s="25">
        <v>43626</v>
      </c>
      <c r="H327" s="25">
        <v>44357</v>
      </c>
      <c r="I327" s="24" t="s">
        <v>16</v>
      </c>
      <c r="J327" s="24" t="s">
        <v>38</v>
      </c>
      <c r="K327" s="24" t="str">
        <f>IF(certifications[[#This Row],[ISSUE DATE]]="", "", TEXT(certifications[[#This Row],[ISSUE DATE]], "MMM"))</f>
        <v>Jun</v>
      </c>
      <c r="L327" s="35" t="str">
        <f>IF(certifications[[#This Row],[ISSUE DATE]]="", "", TEXT(certifications[[#This Row],[ISSUE DATE]], "YYYY"))</f>
        <v>2019</v>
      </c>
    </row>
    <row r="328" spans="1:12" s="29" customFormat="1" ht="23.95" customHeight="1" x14ac:dyDescent="0.3">
      <c r="A328" s="31"/>
      <c r="B328" s="24">
        <v>315</v>
      </c>
      <c r="C328" s="24" t="s">
        <v>399</v>
      </c>
      <c r="D328" s="24" t="s">
        <v>88</v>
      </c>
      <c r="E328" s="24" t="s">
        <v>9</v>
      </c>
      <c r="F328" s="24">
        <v>9186</v>
      </c>
      <c r="G328" s="25">
        <v>42144</v>
      </c>
      <c r="H328" s="25">
        <v>43605</v>
      </c>
      <c r="I328" s="24" t="s">
        <v>16</v>
      </c>
      <c r="J328" s="24" t="s">
        <v>19</v>
      </c>
      <c r="K328" s="24" t="str">
        <f>IF(certifications[[#This Row],[ISSUE DATE]]="", "", TEXT(certifications[[#This Row],[ISSUE DATE]], "MMM"))</f>
        <v>May</v>
      </c>
      <c r="L328" s="35" t="str">
        <f>IF(certifications[[#This Row],[ISSUE DATE]]="", "", TEXT(certifications[[#This Row],[ISSUE DATE]], "YYYY"))</f>
        <v>2015</v>
      </c>
    </row>
    <row r="329" spans="1:12" s="29" customFormat="1" ht="23.95" customHeight="1" x14ac:dyDescent="0.3">
      <c r="A329" s="31"/>
      <c r="B329" s="24">
        <v>316</v>
      </c>
      <c r="C329" s="24" t="s">
        <v>400</v>
      </c>
      <c r="D329" s="24" t="s">
        <v>32</v>
      </c>
      <c r="E329" s="24" t="s">
        <v>9</v>
      </c>
      <c r="F329" s="24">
        <v>10005</v>
      </c>
      <c r="G329" s="25">
        <v>42753</v>
      </c>
      <c r="H329" s="25">
        <v>43483</v>
      </c>
      <c r="I329" s="24" t="s">
        <v>16</v>
      </c>
      <c r="J329" s="24" t="s">
        <v>33</v>
      </c>
      <c r="K329" s="24" t="str">
        <f>IF(certifications[[#This Row],[ISSUE DATE]]="", "", TEXT(certifications[[#This Row],[ISSUE DATE]], "MMM"))</f>
        <v>Jan</v>
      </c>
      <c r="L329" s="35" t="str">
        <f>IF(certifications[[#This Row],[ISSUE DATE]]="", "", TEXT(certifications[[#This Row],[ISSUE DATE]], "YYYY"))</f>
        <v>2017</v>
      </c>
    </row>
    <row r="330" spans="1:12" s="29" customFormat="1" ht="23.95" customHeight="1" x14ac:dyDescent="0.3">
      <c r="A330" s="31"/>
      <c r="B330" s="24">
        <v>317</v>
      </c>
      <c r="C330" s="24" t="s">
        <v>401</v>
      </c>
      <c r="D330" s="24" t="s">
        <v>402</v>
      </c>
      <c r="E330" s="24" t="s">
        <v>9</v>
      </c>
      <c r="F330" s="24">
        <v>15182</v>
      </c>
      <c r="G330" s="25">
        <v>43900</v>
      </c>
      <c r="H330" s="25">
        <v>44630</v>
      </c>
      <c r="I330" s="24" t="s">
        <v>16</v>
      </c>
      <c r="J330" s="24" t="s">
        <v>19</v>
      </c>
      <c r="K330" s="24" t="str">
        <f>IF(certifications[[#This Row],[ISSUE DATE]]="", "", TEXT(certifications[[#This Row],[ISSUE DATE]], "MMM"))</f>
        <v>Mar</v>
      </c>
      <c r="L330" s="35" t="str">
        <f>IF(certifications[[#This Row],[ISSUE DATE]]="", "", TEXT(certifications[[#This Row],[ISSUE DATE]], "YYYY"))</f>
        <v>2020</v>
      </c>
    </row>
    <row r="331" spans="1:12" s="29" customFormat="1" ht="23.95" customHeight="1" x14ac:dyDescent="0.3">
      <c r="A331" s="31"/>
      <c r="B331" s="24">
        <v>318</v>
      </c>
      <c r="C331" s="24" t="s">
        <v>403</v>
      </c>
      <c r="D331" s="24" t="s">
        <v>32</v>
      </c>
      <c r="E331" s="24" t="s">
        <v>26</v>
      </c>
      <c r="F331" s="24">
        <v>16683</v>
      </c>
      <c r="G331" s="25">
        <v>44397</v>
      </c>
      <c r="H331" s="25">
        <v>45858</v>
      </c>
      <c r="I331" s="24" t="s">
        <v>10</v>
      </c>
      <c r="J331" s="24" t="s">
        <v>33</v>
      </c>
      <c r="K331" s="24" t="str">
        <f>IF(certifications[[#This Row],[ISSUE DATE]]="", "", TEXT(certifications[[#This Row],[ISSUE DATE]], "MMM"))</f>
        <v>Jul</v>
      </c>
      <c r="L331" s="35" t="str">
        <f>IF(certifications[[#This Row],[ISSUE DATE]]="", "", TEXT(certifications[[#This Row],[ISSUE DATE]], "YYYY"))</f>
        <v>2021</v>
      </c>
    </row>
    <row r="332" spans="1:12" s="29" customFormat="1" ht="23.95" customHeight="1" x14ac:dyDescent="0.3">
      <c r="A332" s="31"/>
      <c r="B332" s="24">
        <v>319</v>
      </c>
      <c r="C332" s="24" t="s">
        <v>404</v>
      </c>
      <c r="D332" s="24" t="s">
        <v>32</v>
      </c>
      <c r="E332" s="24" t="s">
        <v>26</v>
      </c>
      <c r="F332" s="24">
        <v>20040</v>
      </c>
      <c r="G332" s="25">
        <v>45376</v>
      </c>
      <c r="H332" s="25">
        <v>46106</v>
      </c>
      <c r="I332" s="24" t="s">
        <v>10</v>
      </c>
      <c r="J332" s="24" t="s">
        <v>33</v>
      </c>
      <c r="K332" s="24" t="str">
        <f>IF(certifications[[#This Row],[ISSUE DATE]]="", "", TEXT(certifications[[#This Row],[ISSUE DATE]], "MMM"))</f>
        <v>Mar</v>
      </c>
      <c r="L332" s="35" t="str">
        <f>IF(certifications[[#This Row],[ISSUE DATE]]="", "", TEXT(certifications[[#This Row],[ISSUE DATE]], "YYYY"))</f>
        <v>2024</v>
      </c>
    </row>
    <row r="333" spans="1:12" s="29" customFormat="1" ht="23.95" customHeight="1" x14ac:dyDescent="0.3">
      <c r="A333" s="31"/>
      <c r="B333" s="24">
        <v>320</v>
      </c>
      <c r="C333" s="24" t="s">
        <v>405</v>
      </c>
      <c r="D333" s="24" t="s">
        <v>32</v>
      </c>
      <c r="E333" s="24" t="s">
        <v>9</v>
      </c>
      <c r="F333" s="24">
        <v>10249</v>
      </c>
      <c r="G333" s="25">
        <v>42908</v>
      </c>
      <c r="H333" s="25">
        <v>45830</v>
      </c>
      <c r="I333" s="24" t="s">
        <v>10</v>
      </c>
      <c r="J333" s="24" t="s">
        <v>33</v>
      </c>
      <c r="K333" s="24" t="str">
        <f>IF(certifications[[#This Row],[ISSUE DATE]]="", "", TEXT(certifications[[#This Row],[ISSUE DATE]], "MMM"))</f>
        <v>Jun</v>
      </c>
      <c r="L333" s="35" t="str">
        <f>IF(certifications[[#This Row],[ISSUE DATE]]="", "", TEXT(certifications[[#This Row],[ISSUE DATE]], "YYYY"))</f>
        <v>2017</v>
      </c>
    </row>
    <row r="334" spans="1:12" s="29" customFormat="1" ht="23.95" customHeight="1" x14ac:dyDescent="0.3">
      <c r="A334" s="31"/>
      <c r="B334" s="24">
        <v>321</v>
      </c>
      <c r="C334" s="24" t="s">
        <v>406</v>
      </c>
      <c r="D334" s="24" t="s">
        <v>18</v>
      </c>
      <c r="E334" s="24" t="s">
        <v>9</v>
      </c>
      <c r="F334" s="24">
        <v>13723</v>
      </c>
      <c r="G334" s="25">
        <v>43640</v>
      </c>
      <c r="H334" s="25">
        <v>44371</v>
      </c>
      <c r="I334" s="24" t="s">
        <v>16</v>
      </c>
      <c r="J334" s="24" t="s">
        <v>19</v>
      </c>
      <c r="K334" s="24" t="str">
        <f>IF(certifications[[#This Row],[ISSUE DATE]]="", "", TEXT(certifications[[#This Row],[ISSUE DATE]], "MMM"))</f>
        <v>Jun</v>
      </c>
      <c r="L334" s="35" t="str">
        <f>IF(certifications[[#This Row],[ISSUE DATE]]="", "", TEXT(certifications[[#This Row],[ISSUE DATE]], "YYYY"))</f>
        <v>2019</v>
      </c>
    </row>
    <row r="335" spans="1:12" s="29" customFormat="1" ht="23.95" customHeight="1" x14ac:dyDescent="0.3">
      <c r="A335" s="31"/>
      <c r="B335" s="24">
        <v>322</v>
      </c>
      <c r="C335" s="24" t="s">
        <v>407</v>
      </c>
      <c r="D335" s="24" t="s">
        <v>18</v>
      </c>
      <c r="E335" s="24" t="s">
        <v>9</v>
      </c>
      <c r="F335" s="24">
        <v>10137</v>
      </c>
      <c r="G335" s="25">
        <v>42885</v>
      </c>
      <c r="H335" s="25">
        <v>43615</v>
      </c>
      <c r="I335" s="24" t="s">
        <v>16</v>
      </c>
      <c r="J335" s="24" t="s">
        <v>19</v>
      </c>
      <c r="K335" s="24" t="str">
        <f>IF(certifications[[#This Row],[ISSUE DATE]]="", "", TEXT(certifications[[#This Row],[ISSUE DATE]], "MMM"))</f>
        <v>May</v>
      </c>
      <c r="L335" s="35" t="str">
        <f>IF(certifications[[#This Row],[ISSUE DATE]]="", "", TEXT(certifications[[#This Row],[ISSUE DATE]], "YYYY"))</f>
        <v>2017</v>
      </c>
    </row>
    <row r="336" spans="1:12" s="29" customFormat="1" ht="23.95" customHeight="1" x14ac:dyDescent="0.3">
      <c r="A336" s="31"/>
      <c r="B336" s="24">
        <v>323</v>
      </c>
      <c r="C336" s="24" t="s">
        <v>408</v>
      </c>
      <c r="D336" s="24" t="s">
        <v>32</v>
      </c>
      <c r="E336" s="24" t="s">
        <v>9</v>
      </c>
      <c r="F336" s="24">
        <v>17048</v>
      </c>
      <c r="G336" s="25">
        <v>44545</v>
      </c>
      <c r="H336" s="25">
        <v>45275</v>
      </c>
      <c r="I336" s="24" t="s">
        <v>16</v>
      </c>
      <c r="J336" s="24" t="s">
        <v>33</v>
      </c>
      <c r="K336" s="24" t="str">
        <f>IF(certifications[[#This Row],[ISSUE DATE]]="", "", TEXT(certifications[[#This Row],[ISSUE DATE]], "MMM"))</f>
        <v>Dec</v>
      </c>
      <c r="L336" s="35" t="str">
        <f>IF(certifications[[#This Row],[ISSUE DATE]]="", "", TEXT(certifications[[#This Row],[ISSUE DATE]], "YYYY"))</f>
        <v>2021</v>
      </c>
    </row>
    <row r="337" spans="1:12" s="29" customFormat="1" ht="23.95" customHeight="1" x14ac:dyDescent="0.3">
      <c r="A337" s="31"/>
      <c r="B337" s="24">
        <v>324</v>
      </c>
      <c r="C337" s="24" t="s">
        <v>409</v>
      </c>
      <c r="D337" s="24" t="s">
        <v>337</v>
      </c>
      <c r="E337" s="24" t="s">
        <v>9</v>
      </c>
      <c r="F337" s="24">
        <v>16897</v>
      </c>
      <c r="G337" s="25">
        <v>44479</v>
      </c>
      <c r="H337" s="25">
        <v>45940</v>
      </c>
      <c r="I337" s="24" t="s">
        <v>10</v>
      </c>
      <c r="J337" s="24" t="s">
        <v>30</v>
      </c>
      <c r="K337" s="24" t="str">
        <f>IF(certifications[[#This Row],[ISSUE DATE]]="", "", TEXT(certifications[[#This Row],[ISSUE DATE]], "MMM"))</f>
        <v>Oct</v>
      </c>
      <c r="L337" s="35" t="str">
        <f>IF(certifications[[#This Row],[ISSUE DATE]]="", "", TEXT(certifications[[#This Row],[ISSUE DATE]], "YYYY"))</f>
        <v>2021</v>
      </c>
    </row>
    <row r="338" spans="1:12" s="29" customFormat="1" ht="23.95" customHeight="1" x14ac:dyDescent="0.3">
      <c r="A338" s="31"/>
      <c r="B338" s="24">
        <v>325</v>
      </c>
      <c r="C338" s="24" t="s">
        <v>410</v>
      </c>
      <c r="D338" s="24" t="s">
        <v>32</v>
      </c>
      <c r="E338" s="24" t="s">
        <v>9</v>
      </c>
      <c r="F338" s="24">
        <v>17774</v>
      </c>
      <c r="G338" s="25">
        <v>44791</v>
      </c>
      <c r="H338" s="25">
        <v>45522</v>
      </c>
      <c r="I338" s="24" t="s">
        <v>82</v>
      </c>
      <c r="J338" s="24" t="s">
        <v>33</v>
      </c>
      <c r="K338" s="24" t="str">
        <f>IF(certifications[[#This Row],[ISSUE DATE]]="", "", TEXT(certifications[[#This Row],[ISSUE DATE]], "MMM"))</f>
        <v>Aug</v>
      </c>
      <c r="L338" s="35" t="str">
        <f>IF(certifications[[#This Row],[ISSUE DATE]]="", "", TEXT(certifications[[#This Row],[ISSUE DATE]], "YYYY"))</f>
        <v>2022</v>
      </c>
    </row>
    <row r="339" spans="1:12" s="29" customFormat="1" ht="23.95" customHeight="1" x14ac:dyDescent="0.3">
      <c r="A339" s="31"/>
      <c r="B339" s="24">
        <v>326</v>
      </c>
      <c r="C339" s="24" t="s">
        <v>411</v>
      </c>
      <c r="D339" s="24" t="s">
        <v>412</v>
      </c>
      <c r="E339" s="24" t="s">
        <v>9</v>
      </c>
      <c r="F339" s="24">
        <v>9020</v>
      </c>
      <c r="G339" s="25">
        <v>41905</v>
      </c>
      <c r="H339" s="25">
        <v>44097</v>
      </c>
      <c r="I339" s="24" t="s">
        <v>16</v>
      </c>
      <c r="J339" s="24" t="s">
        <v>22</v>
      </c>
      <c r="K339" s="24" t="str">
        <f>IF(certifications[[#This Row],[ISSUE DATE]]="", "", TEXT(certifications[[#This Row],[ISSUE DATE]], "MMM"))</f>
        <v>Sep</v>
      </c>
      <c r="L339" s="35" t="str">
        <f>IF(certifications[[#This Row],[ISSUE DATE]]="", "", TEXT(certifications[[#This Row],[ISSUE DATE]], "YYYY"))</f>
        <v>2014</v>
      </c>
    </row>
    <row r="340" spans="1:12" s="29" customFormat="1" ht="23.95" customHeight="1" x14ac:dyDescent="0.3">
      <c r="A340" s="31"/>
      <c r="B340" s="24">
        <v>327</v>
      </c>
      <c r="C340" s="24" t="s">
        <v>413</v>
      </c>
      <c r="D340" s="24" t="s">
        <v>13</v>
      </c>
      <c r="E340" s="24" t="s">
        <v>9</v>
      </c>
      <c r="F340" s="24">
        <v>8896</v>
      </c>
      <c r="G340" s="25">
        <v>41795</v>
      </c>
      <c r="H340" s="25">
        <v>46178</v>
      </c>
      <c r="I340" s="24" t="s">
        <v>10</v>
      </c>
      <c r="J340" s="24" t="s">
        <v>14</v>
      </c>
      <c r="K340" s="24" t="str">
        <f>IF(certifications[[#This Row],[ISSUE DATE]]="", "", TEXT(certifications[[#This Row],[ISSUE DATE]], "MMM"))</f>
        <v>Jun</v>
      </c>
      <c r="L340" s="35" t="str">
        <f>IF(certifications[[#This Row],[ISSUE DATE]]="", "", TEXT(certifications[[#This Row],[ISSUE DATE]], "YYYY"))</f>
        <v>2014</v>
      </c>
    </row>
    <row r="341" spans="1:12" s="29" customFormat="1" ht="23.95" customHeight="1" x14ac:dyDescent="0.3">
      <c r="A341" s="31"/>
      <c r="B341" s="24">
        <v>328</v>
      </c>
      <c r="C341" s="24" t="s">
        <v>414</v>
      </c>
      <c r="D341" s="24" t="s">
        <v>13</v>
      </c>
      <c r="E341" s="24" t="s">
        <v>9</v>
      </c>
      <c r="F341" s="24">
        <v>8600</v>
      </c>
      <c r="G341" s="25">
        <v>42069</v>
      </c>
      <c r="H341" s="25">
        <v>44261</v>
      </c>
      <c r="I341" s="24" t="s">
        <v>16</v>
      </c>
      <c r="J341" s="24" t="s">
        <v>14</v>
      </c>
      <c r="K341" s="24" t="str">
        <f>IF(certifications[[#This Row],[ISSUE DATE]]="", "", TEXT(certifications[[#This Row],[ISSUE DATE]], "MMM"))</f>
        <v>Mar</v>
      </c>
      <c r="L341" s="35" t="str">
        <f>IF(certifications[[#This Row],[ISSUE DATE]]="", "", TEXT(certifications[[#This Row],[ISSUE DATE]], "YYYY"))</f>
        <v>2015</v>
      </c>
    </row>
    <row r="342" spans="1:12" s="29" customFormat="1" ht="23.95" customHeight="1" x14ac:dyDescent="0.3">
      <c r="A342" s="31"/>
      <c r="B342" s="24">
        <v>329</v>
      </c>
      <c r="C342" s="24" t="s">
        <v>415</v>
      </c>
      <c r="D342" s="24" t="s">
        <v>32</v>
      </c>
      <c r="E342" s="24" t="s">
        <v>9</v>
      </c>
      <c r="F342" s="24">
        <v>8938</v>
      </c>
      <c r="G342" s="25">
        <v>41817</v>
      </c>
      <c r="H342" s="25">
        <v>42548</v>
      </c>
      <c r="I342" s="24" t="s">
        <v>16</v>
      </c>
      <c r="J342" s="24" t="s">
        <v>33</v>
      </c>
      <c r="K342" s="24" t="str">
        <f>IF(certifications[[#This Row],[ISSUE DATE]]="", "", TEXT(certifications[[#This Row],[ISSUE DATE]], "MMM"))</f>
        <v>Jun</v>
      </c>
      <c r="L342" s="35" t="str">
        <f>IF(certifications[[#This Row],[ISSUE DATE]]="", "", TEXT(certifications[[#This Row],[ISSUE DATE]], "YYYY"))</f>
        <v>2014</v>
      </c>
    </row>
    <row r="343" spans="1:12" s="29" customFormat="1" ht="23.95" customHeight="1" x14ac:dyDescent="0.3">
      <c r="A343" s="31"/>
      <c r="B343" s="24">
        <v>330</v>
      </c>
      <c r="C343" s="24" t="s">
        <v>416</v>
      </c>
      <c r="D343" s="24" t="s">
        <v>417</v>
      </c>
      <c r="E343" s="24" t="s">
        <v>9</v>
      </c>
      <c r="F343" s="24">
        <v>14012</v>
      </c>
      <c r="G343" s="25">
        <v>43670</v>
      </c>
      <c r="H343" s="25">
        <v>44401</v>
      </c>
      <c r="I343" s="24" t="s">
        <v>16</v>
      </c>
      <c r="J343" s="24" t="s">
        <v>22</v>
      </c>
      <c r="K343" s="24" t="str">
        <f>IF(certifications[[#This Row],[ISSUE DATE]]="", "", TEXT(certifications[[#This Row],[ISSUE DATE]], "MMM"))</f>
        <v>Jul</v>
      </c>
      <c r="L343" s="35" t="str">
        <f>IF(certifications[[#This Row],[ISSUE DATE]]="", "", TEXT(certifications[[#This Row],[ISSUE DATE]], "YYYY"))</f>
        <v>2019</v>
      </c>
    </row>
    <row r="344" spans="1:12" s="29" customFormat="1" ht="23.95" customHeight="1" x14ac:dyDescent="0.3">
      <c r="A344" s="31"/>
      <c r="B344" s="24">
        <v>331</v>
      </c>
      <c r="C344" s="24" t="s">
        <v>418</v>
      </c>
      <c r="D344" s="24" t="s">
        <v>48</v>
      </c>
      <c r="E344" s="24" t="s">
        <v>26</v>
      </c>
      <c r="F344" s="24">
        <v>22121</v>
      </c>
      <c r="G344" s="25">
        <v>45817</v>
      </c>
      <c r="H344" s="25">
        <v>46547</v>
      </c>
      <c r="I344" s="24" t="s">
        <v>10</v>
      </c>
      <c r="J344" s="24" t="s">
        <v>38</v>
      </c>
      <c r="K344" s="24" t="str">
        <f>IF(certifications[[#This Row],[ISSUE DATE]]="", "", TEXT(certifications[[#This Row],[ISSUE DATE]], "MMM"))</f>
        <v>Jun</v>
      </c>
      <c r="L344" s="35" t="str">
        <f>IF(certifications[[#This Row],[ISSUE DATE]]="", "", TEXT(certifications[[#This Row],[ISSUE DATE]], "YYYY"))</f>
        <v>2025</v>
      </c>
    </row>
    <row r="345" spans="1:12" s="29" customFormat="1" ht="23.95" customHeight="1" x14ac:dyDescent="0.3">
      <c r="A345" s="31"/>
      <c r="B345" s="24">
        <v>332</v>
      </c>
      <c r="C345" s="24" t="s">
        <v>419</v>
      </c>
      <c r="D345" s="24" t="s">
        <v>109</v>
      </c>
      <c r="E345" s="24" t="s">
        <v>9</v>
      </c>
      <c r="F345" s="24">
        <v>12190</v>
      </c>
      <c r="G345" s="25">
        <v>43350</v>
      </c>
      <c r="H345" s="25">
        <v>45542</v>
      </c>
      <c r="I345" s="24" t="s">
        <v>82</v>
      </c>
      <c r="J345" s="24" t="s">
        <v>38</v>
      </c>
      <c r="K345" s="24" t="str">
        <f>IF(certifications[[#This Row],[ISSUE DATE]]="", "", TEXT(certifications[[#This Row],[ISSUE DATE]], "MMM"))</f>
        <v>Sep</v>
      </c>
      <c r="L345" s="35" t="str">
        <f>IF(certifications[[#This Row],[ISSUE DATE]]="", "", TEXT(certifications[[#This Row],[ISSUE DATE]], "YYYY"))</f>
        <v>2018</v>
      </c>
    </row>
    <row r="346" spans="1:12" s="29" customFormat="1" ht="23.95" customHeight="1" x14ac:dyDescent="0.3">
      <c r="A346" s="31"/>
      <c r="B346" s="24">
        <v>333</v>
      </c>
      <c r="C346" s="24" t="s">
        <v>420</v>
      </c>
      <c r="D346" s="24" t="s">
        <v>111</v>
      </c>
      <c r="E346" s="24" t="s">
        <v>9</v>
      </c>
      <c r="F346" s="24">
        <v>8703</v>
      </c>
      <c r="G346" s="25">
        <v>41620</v>
      </c>
      <c r="H346" s="25">
        <v>42350</v>
      </c>
      <c r="I346" s="24" t="s">
        <v>16</v>
      </c>
      <c r="J346" s="24" t="s">
        <v>38</v>
      </c>
      <c r="K346" s="24" t="str">
        <f>IF(certifications[[#This Row],[ISSUE DATE]]="", "", TEXT(certifications[[#This Row],[ISSUE DATE]], "MMM"))</f>
        <v>Dec</v>
      </c>
      <c r="L346" s="35" t="str">
        <f>IF(certifications[[#This Row],[ISSUE DATE]]="", "", TEXT(certifications[[#This Row],[ISSUE DATE]], "YYYY"))</f>
        <v>2013</v>
      </c>
    </row>
    <row r="347" spans="1:12" s="29" customFormat="1" ht="23.95" customHeight="1" x14ac:dyDescent="0.3">
      <c r="A347" s="31"/>
      <c r="B347" s="24">
        <v>334</v>
      </c>
      <c r="C347" s="24" t="s">
        <v>421</v>
      </c>
      <c r="D347" s="24" t="s">
        <v>32</v>
      </c>
      <c r="E347" s="24" t="s">
        <v>9</v>
      </c>
      <c r="F347" s="24">
        <v>11342</v>
      </c>
      <c r="G347" s="25">
        <v>43227</v>
      </c>
      <c r="H347" s="25">
        <v>43958</v>
      </c>
      <c r="I347" s="24" t="s">
        <v>16</v>
      </c>
      <c r="J347" s="24" t="s">
        <v>33</v>
      </c>
      <c r="K347" s="24" t="str">
        <f>IF(certifications[[#This Row],[ISSUE DATE]]="", "", TEXT(certifications[[#This Row],[ISSUE DATE]], "MMM"))</f>
        <v>May</v>
      </c>
      <c r="L347" s="35" t="str">
        <f>IF(certifications[[#This Row],[ISSUE DATE]]="", "", TEXT(certifications[[#This Row],[ISSUE DATE]], "YYYY"))</f>
        <v>2018</v>
      </c>
    </row>
    <row r="348" spans="1:12" s="29" customFormat="1" ht="23.95" customHeight="1" x14ac:dyDescent="0.3">
      <c r="A348" s="31"/>
      <c r="B348" s="24">
        <v>335</v>
      </c>
      <c r="C348" s="24" t="s">
        <v>422</v>
      </c>
      <c r="D348" s="24" t="s">
        <v>32</v>
      </c>
      <c r="E348" s="24" t="s">
        <v>9</v>
      </c>
      <c r="F348" s="24">
        <v>9170</v>
      </c>
      <c r="G348" s="25">
        <v>42132</v>
      </c>
      <c r="H348" s="25">
        <v>42863</v>
      </c>
      <c r="I348" s="24" t="s">
        <v>16</v>
      </c>
      <c r="J348" s="24" t="s">
        <v>33</v>
      </c>
      <c r="K348" s="24" t="str">
        <f>IF(certifications[[#This Row],[ISSUE DATE]]="", "", TEXT(certifications[[#This Row],[ISSUE DATE]], "MMM"))</f>
        <v>May</v>
      </c>
      <c r="L348" s="35" t="str">
        <f>IF(certifications[[#This Row],[ISSUE DATE]]="", "", TEXT(certifications[[#This Row],[ISSUE DATE]], "YYYY"))</f>
        <v>2015</v>
      </c>
    </row>
    <row r="349" spans="1:12" s="29" customFormat="1" ht="23.95" customHeight="1" x14ac:dyDescent="0.3">
      <c r="A349" s="31"/>
      <c r="B349" s="24">
        <v>336</v>
      </c>
      <c r="C349" s="24" t="s">
        <v>423</v>
      </c>
      <c r="D349" s="24" t="s">
        <v>80</v>
      </c>
      <c r="E349" s="24" t="s">
        <v>9</v>
      </c>
      <c r="F349" s="24">
        <v>8197</v>
      </c>
      <c r="G349" s="25">
        <v>41159</v>
      </c>
      <c r="H349" s="25">
        <v>41889</v>
      </c>
      <c r="I349" s="24" t="s">
        <v>16</v>
      </c>
      <c r="J349" s="24" t="s">
        <v>38</v>
      </c>
      <c r="K349" s="24" t="str">
        <f>IF(certifications[[#This Row],[ISSUE DATE]]="", "", TEXT(certifications[[#This Row],[ISSUE DATE]], "MMM"))</f>
        <v>Sep</v>
      </c>
      <c r="L349" s="35" t="str">
        <f>IF(certifications[[#This Row],[ISSUE DATE]]="", "", TEXT(certifications[[#This Row],[ISSUE DATE]], "YYYY"))</f>
        <v>2012</v>
      </c>
    </row>
    <row r="350" spans="1:12" s="29" customFormat="1" ht="23.95" customHeight="1" x14ac:dyDescent="0.3">
      <c r="A350" s="31"/>
      <c r="B350" s="24">
        <v>337</v>
      </c>
      <c r="C350" s="24" t="s">
        <v>424</v>
      </c>
      <c r="D350" s="24" t="s">
        <v>323</v>
      </c>
      <c r="E350" s="24" t="s">
        <v>26</v>
      </c>
      <c r="F350" s="24">
        <v>19336</v>
      </c>
      <c r="G350" s="25">
        <v>45233</v>
      </c>
      <c r="H350" s="25">
        <v>45964</v>
      </c>
      <c r="I350" s="24" t="s">
        <v>10</v>
      </c>
      <c r="J350" s="24" t="s">
        <v>22</v>
      </c>
      <c r="K350" s="24" t="str">
        <f>IF(certifications[[#This Row],[ISSUE DATE]]="", "", TEXT(certifications[[#This Row],[ISSUE DATE]], "MMM"))</f>
        <v>Nov</v>
      </c>
      <c r="L350" s="35" t="str">
        <f>IF(certifications[[#This Row],[ISSUE DATE]]="", "", TEXT(certifications[[#This Row],[ISSUE DATE]], "YYYY"))</f>
        <v>2023</v>
      </c>
    </row>
    <row r="351" spans="1:12" s="29" customFormat="1" ht="23.95" customHeight="1" x14ac:dyDescent="0.3">
      <c r="A351" s="31"/>
      <c r="B351" s="24">
        <v>338</v>
      </c>
      <c r="C351" s="24" t="s">
        <v>425</v>
      </c>
      <c r="D351" s="24" t="s">
        <v>426</v>
      </c>
      <c r="E351" s="24" t="s">
        <v>9</v>
      </c>
      <c r="F351" s="24">
        <v>15523</v>
      </c>
      <c r="G351" s="25">
        <v>44096</v>
      </c>
      <c r="H351" s="25">
        <v>44826</v>
      </c>
      <c r="I351" s="24" t="s">
        <v>16</v>
      </c>
      <c r="J351" s="24" t="s">
        <v>22</v>
      </c>
      <c r="K351" s="24" t="str">
        <f>IF(certifications[[#This Row],[ISSUE DATE]]="", "", TEXT(certifications[[#This Row],[ISSUE DATE]], "MMM"))</f>
        <v>Sep</v>
      </c>
      <c r="L351" s="35" t="str">
        <f>IF(certifications[[#This Row],[ISSUE DATE]]="", "", TEXT(certifications[[#This Row],[ISSUE DATE]], "YYYY"))</f>
        <v>2020</v>
      </c>
    </row>
    <row r="352" spans="1:12" s="29" customFormat="1" ht="23.95" customHeight="1" x14ac:dyDescent="0.3">
      <c r="A352" s="31"/>
      <c r="B352" s="24">
        <v>339</v>
      </c>
      <c r="C352" s="24" t="s">
        <v>427</v>
      </c>
      <c r="D352" s="24" t="s">
        <v>32</v>
      </c>
      <c r="E352" s="24" t="s">
        <v>26</v>
      </c>
      <c r="F352" s="24">
        <v>22056</v>
      </c>
      <c r="G352" s="25">
        <v>45810</v>
      </c>
      <c r="H352" s="25">
        <v>46540</v>
      </c>
      <c r="I352" s="24" t="s">
        <v>10</v>
      </c>
      <c r="J352" s="24" t="s">
        <v>33</v>
      </c>
      <c r="K352" s="24" t="str">
        <f>IF(certifications[[#This Row],[ISSUE DATE]]="", "", TEXT(certifications[[#This Row],[ISSUE DATE]], "MMM"))</f>
        <v>Jun</v>
      </c>
      <c r="L352" s="35" t="str">
        <f>IF(certifications[[#This Row],[ISSUE DATE]]="", "", TEXT(certifications[[#This Row],[ISSUE DATE]], "YYYY"))</f>
        <v>2025</v>
      </c>
    </row>
    <row r="353" spans="1:12" s="29" customFormat="1" ht="23.95" customHeight="1" x14ac:dyDescent="0.3">
      <c r="A353" s="31"/>
      <c r="B353" s="24">
        <v>340</v>
      </c>
      <c r="C353" s="24" t="s">
        <v>428</v>
      </c>
      <c r="D353" s="24" t="s">
        <v>164</v>
      </c>
      <c r="E353" s="24" t="s">
        <v>9</v>
      </c>
      <c r="F353" s="24">
        <v>11689</v>
      </c>
      <c r="G353" s="25">
        <v>43269</v>
      </c>
      <c r="H353" s="25">
        <v>44000</v>
      </c>
      <c r="I353" s="24" t="s">
        <v>16</v>
      </c>
      <c r="J353" s="24" t="s">
        <v>22</v>
      </c>
      <c r="K353" s="24" t="str">
        <f>IF(certifications[[#This Row],[ISSUE DATE]]="", "", TEXT(certifications[[#This Row],[ISSUE DATE]], "MMM"))</f>
        <v>Jun</v>
      </c>
      <c r="L353" s="35" t="str">
        <f>IF(certifications[[#This Row],[ISSUE DATE]]="", "", TEXT(certifications[[#This Row],[ISSUE DATE]], "YYYY"))</f>
        <v>2018</v>
      </c>
    </row>
    <row r="354" spans="1:12" s="29" customFormat="1" ht="23.95" customHeight="1" x14ac:dyDescent="0.3">
      <c r="A354" s="31"/>
      <c r="B354" s="24">
        <v>341</v>
      </c>
      <c r="C354" s="24" t="s">
        <v>429</v>
      </c>
      <c r="D354" s="24" t="s">
        <v>202</v>
      </c>
      <c r="E354" s="24" t="s">
        <v>9</v>
      </c>
      <c r="F354" s="24">
        <v>9701</v>
      </c>
      <c r="G354" s="25">
        <v>42557</v>
      </c>
      <c r="H354" s="25">
        <v>44018</v>
      </c>
      <c r="I354" s="24" t="s">
        <v>16</v>
      </c>
      <c r="J354" s="24" t="s">
        <v>19</v>
      </c>
      <c r="K354" s="24" t="str">
        <f>IF(certifications[[#This Row],[ISSUE DATE]]="", "", TEXT(certifications[[#This Row],[ISSUE DATE]], "MMM"))</f>
        <v>Jul</v>
      </c>
      <c r="L354" s="35" t="str">
        <f>IF(certifications[[#This Row],[ISSUE DATE]]="", "", TEXT(certifications[[#This Row],[ISSUE DATE]], "YYYY"))</f>
        <v>2016</v>
      </c>
    </row>
    <row r="355" spans="1:12" s="29" customFormat="1" ht="23.95" customHeight="1" x14ac:dyDescent="0.3">
      <c r="A355" s="31"/>
      <c r="B355" s="24">
        <v>342</v>
      </c>
      <c r="C355" s="24" t="s">
        <v>430</v>
      </c>
      <c r="D355" s="24" t="s">
        <v>431</v>
      </c>
      <c r="E355" s="24" t="s">
        <v>9</v>
      </c>
      <c r="F355" s="24">
        <v>12569</v>
      </c>
      <c r="G355" s="25">
        <v>43445</v>
      </c>
      <c r="H355" s="25">
        <v>44176</v>
      </c>
      <c r="I355" s="24" t="s">
        <v>16</v>
      </c>
      <c r="J355" s="24" t="s">
        <v>22</v>
      </c>
      <c r="K355" s="24" t="str">
        <f>IF(certifications[[#This Row],[ISSUE DATE]]="", "", TEXT(certifications[[#This Row],[ISSUE DATE]], "MMM"))</f>
        <v>Dec</v>
      </c>
      <c r="L355" s="35" t="str">
        <f>IF(certifications[[#This Row],[ISSUE DATE]]="", "", TEXT(certifications[[#This Row],[ISSUE DATE]], "YYYY"))</f>
        <v>2018</v>
      </c>
    </row>
    <row r="356" spans="1:12" s="29" customFormat="1" ht="23.95" customHeight="1" x14ac:dyDescent="0.3">
      <c r="A356" s="31"/>
      <c r="B356" s="24">
        <v>343</v>
      </c>
      <c r="C356" s="24" t="s">
        <v>432</v>
      </c>
      <c r="D356" s="24" t="s">
        <v>32</v>
      </c>
      <c r="E356" s="24" t="s">
        <v>9</v>
      </c>
      <c r="F356" s="24">
        <v>14426</v>
      </c>
      <c r="G356" s="25">
        <v>43697</v>
      </c>
      <c r="H356" s="25">
        <v>45889</v>
      </c>
      <c r="I356" s="24" t="s">
        <v>10</v>
      </c>
      <c r="J356" s="24" t="s">
        <v>33</v>
      </c>
      <c r="K356" s="24" t="str">
        <f>IF(certifications[[#This Row],[ISSUE DATE]]="", "", TEXT(certifications[[#This Row],[ISSUE DATE]], "MMM"))</f>
        <v>Aug</v>
      </c>
      <c r="L356" s="35" t="str">
        <f>IF(certifications[[#This Row],[ISSUE DATE]]="", "", TEXT(certifications[[#This Row],[ISSUE DATE]], "YYYY"))</f>
        <v>2019</v>
      </c>
    </row>
    <row r="357" spans="1:12" s="29" customFormat="1" ht="23.95" customHeight="1" x14ac:dyDescent="0.3">
      <c r="A357" s="31"/>
      <c r="B357" s="24">
        <v>344</v>
      </c>
      <c r="C357" s="24" t="s">
        <v>433</v>
      </c>
      <c r="D357" s="24" t="s">
        <v>78</v>
      </c>
      <c r="E357" s="24" t="s">
        <v>9</v>
      </c>
      <c r="F357" s="24">
        <v>15766</v>
      </c>
      <c r="G357" s="25">
        <v>44186</v>
      </c>
      <c r="H357" s="25">
        <v>46377</v>
      </c>
      <c r="I357" s="24" t="s">
        <v>10</v>
      </c>
      <c r="J357" s="24" t="s">
        <v>25</v>
      </c>
      <c r="K357" s="24" t="str">
        <f>IF(certifications[[#This Row],[ISSUE DATE]]="", "", TEXT(certifications[[#This Row],[ISSUE DATE]], "MMM"))</f>
        <v>Dec</v>
      </c>
      <c r="L357" s="35" t="str">
        <f>IF(certifications[[#This Row],[ISSUE DATE]]="", "", TEXT(certifications[[#This Row],[ISSUE DATE]], "YYYY"))</f>
        <v>2020</v>
      </c>
    </row>
    <row r="358" spans="1:12" s="29" customFormat="1" ht="23.95" customHeight="1" x14ac:dyDescent="0.3">
      <c r="A358" s="31"/>
      <c r="B358" s="24">
        <v>345</v>
      </c>
      <c r="C358" s="24" t="s">
        <v>434</v>
      </c>
      <c r="D358" s="24" t="s">
        <v>347</v>
      </c>
      <c r="E358" s="24" t="s">
        <v>9</v>
      </c>
      <c r="F358" s="24">
        <v>21321</v>
      </c>
      <c r="G358" s="25">
        <v>45657</v>
      </c>
      <c r="H358" s="25">
        <v>46387</v>
      </c>
      <c r="I358" s="24" t="s">
        <v>10</v>
      </c>
      <c r="J358" s="24" t="s">
        <v>25</v>
      </c>
      <c r="K358" s="24" t="str">
        <f>IF(certifications[[#This Row],[ISSUE DATE]]="", "", TEXT(certifications[[#This Row],[ISSUE DATE]], "MMM"))</f>
        <v>Dec</v>
      </c>
      <c r="L358" s="35" t="str">
        <f>IF(certifications[[#This Row],[ISSUE DATE]]="", "", TEXT(certifications[[#This Row],[ISSUE DATE]], "YYYY"))</f>
        <v>2024</v>
      </c>
    </row>
    <row r="359" spans="1:12" s="29" customFormat="1" ht="23.95" customHeight="1" x14ac:dyDescent="0.3">
      <c r="A359" s="31"/>
      <c r="B359" s="24">
        <v>346</v>
      </c>
      <c r="C359" s="24" t="s">
        <v>435</v>
      </c>
      <c r="D359" s="24" t="s">
        <v>139</v>
      </c>
      <c r="E359" s="24" t="s">
        <v>9</v>
      </c>
      <c r="F359" s="24">
        <v>19082</v>
      </c>
      <c r="G359" s="25">
        <v>45167</v>
      </c>
      <c r="H359" s="25">
        <v>45898</v>
      </c>
      <c r="I359" s="24" t="s">
        <v>10</v>
      </c>
      <c r="J359" s="24" t="s">
        <v>38</v>
      </c>
      <c r="K359" s="24" t="str">
        <f>IF(certifications[[#This Row],[ISSUE DATE]]="", "", TEXT(certifications[[#This Row],[ISSUE DATE]], "MMM"))</f>
        <v>Aug</v>
      </c>
      <c r="L359" s="35" t="str">
        <f>IF(certifications[[#This Row],[ISSUE DATE]]="", "", TEXT(certifications[[#This Row],[ISSUE DATE]], "YYYY"))</f>
        <v>2023</v>
      </c>
    </row>
    <row r="360" spans="1:12" s="29" customFormat="1" ht="23.95" customHeight="1" x14ac:dyDescent="0.3">
      <c r="A360" s="31"/>
      <c r="B360" s="24">
        <v>347</v>
      </c>
      <c r="C360" s="24" t="s">
        <v>436</v>
      </c>
      <c r="D360" s="24" t="s">
        <v>18</v>
      </c>
      <c r="E360" s="24" t="s">
        <v>9</v>
      </c>
      <c r="F360" s="24">
        <v>20701</v>
      </c>
      <c r="G360" s="25">
        <v>45519</v>
      </c>
      <c r="H360" s="25">
        <v>46249</v>
      </c>
      <c r="I360" s="24" t="s">
        <v>10</v>
      </c>
      <c r="J360" s="24" t="s">
        <v>19</v>
      </c>
      <c r="K360" s="24" t="str">
        <f>IF(certifications[[#This Row],[ISSUE DATE]]="", "", TEXT(certifications[[#This Row],[ISSUE DATE]], "MMM"))</f>
        <v>Aug</v>
      </c>
      <c r="L360" s="35" t="str">
        <f>IF(certifications[[#This Row],[ISSUE DATE]]="", "", TEXT(certifications[[#This Row],[ISSUE DATE]], "YYYY"))</f>
        <v>2024</v>
      </c>
    </row>
    <row r="361" spans="1:12" s="29" customFormat="1" ht="23.95" customHeight="1" x14ac:dyDescent="0.3">
      <c r="A361" s="31"/>
      <c r="B361" s="24">
        <v>348</v>
      </c>
      <c r="C361" s="24" t="s">
        <v>437</v>
      </c>
      <c r="D361" s="24" t="s">
        <v>32</v>
      </c>
      <c r="E361" s="24" t="s">
        <v>9</v>
      </c>
      <c r="F361" s="24">
        <v>12416</v>
      </c>
      <c r="G361" s="25">
        <v>43770</v>
      </c>
      <c r="H361" s="25">
        <v>44501</v>
      </c>
      <c r="I361" s="24" t="s">
        <v>16</v>
      </c>
      <c r="J361" s="24" t="s">
        <v>33</v>
      </c>
      <c r="K361" s="24" t="str">
        <f>IF(certifications[[#This Row],[ISSUE DATE]]="", "", TEXT(certifications[[#This Row],[ISSUE DATE]], "MMM"))</f>
        <v>Nov</v>
      </c>
      <c r="L361" s="35" t="str">
        <f>IF(certifications[[#This Row],[ISSUE DATE]]="", "", TEXT(certifications[[#This Row],[ISSUE DATE]], "YYYY"))</f>
        <v>2019</v>
      </c>
    </row>
    <row r="362" spans="1:12" s="29" customFormat="1" ht="23.95" customHeight="1" x14ac:dyDescent="0.3">
      <c r="A362" s="31"/>
      <c r="B362" s="24">
        <v>349</v>
      </c>
      <c r="C362" s="24" t="s">
        <v>438</v>
      </c>
      <c r="D362" s="24" t="s">
        <v>32</v>
      </c>
      <c r="E362" s="24" t="s">
        <v>9</v>
      </c>
      <c r="F362" s="24">
        <v>11565</v>
      </c>
      <c r="G362" s="25">
        <v>44265</v>
      </c>
      <c r="H362" s="25">
        <v>44995</v>
      </c>
      <c r="I362" s="24" t="s">
        <v>16</v>
      </c>
      <c r="J362" s="24" t="s">
        <v>33</v>
      </c>
      <c r="K362" s="24" t="str">
        <f>IF(certifications[[#This Row],[ISSUE DATE]]="", "", TEXT(certifications[[#This Row],[ISSUE DATE]], "MMM"))</f>
        <v>Mar</v>
      </c>
      <c r="L362" s="35" t="str">
        <f>IF(certifications[[#This Row],[ISSUE DATE]]="", "", TEXT(certifications[[#This Row],[ISSUE DATE]], "YYYY"))</f>
        <v>2021</v>
      </c>
    </row>
    <row r="363" spans="1:12" s="29" customFormat="1" ht="23.95" customHeight="1" x14ac:dyDescent="0.3">
      <c r="A363" s="31"/>
      <c r="B363" s="24">
        <v>350</v>
      </c>
      <c r="C363" s="24" t="s">
        <v>439</v>
      </c>
      <c r="D363" s="24" t="s">
        <v>53</v>
      </c>
      <c r="E363" s="24" t="s">
        <v>9</v>
      </c>
      <c r="F363" s="24">
        <v>14946</v>
      </c>
      <c r="G363" s="25">
        <v>43818</v>
      </c>
      <c r="H363" s="25">
        <v>44549</v>
      </c>
      <c r="I363" s="24" t="s">
        <v>16</v>
      </c>
      <c r="J363" s="24" t="s">
        <v>25</v>
      </c>
      <c r="K363" s="24" t="str">
        <f>IF(certifications[[#This Row],[ISSUE DATE]]="", "", TEXT(certifications[[#This Row],[ISSUE DATE]], "MMM"))</f>
        <v>Dec</v>
      </c>
      <c r="L363" s="35" t="str">
        <f>IF(certifications[[#This Row],[ISSUE DATE]]="", "", TEXT(certifications[[#This Row],[ISSUE DATE]], "YYYY"))</f>
        <v>2019</v>
      </c>
    </row>
    <row r="364" spans="1:12" s="29" customFormat="1" ht="23.95" customHeight="1" x14ac:dyDescent="0.3">
      <c r="A364" s="31"/>
      <c r="B364" s="24">
        <v>351</v>
      </c>
      <c r="C364" s="24" t="s">
        <v>440</v>
      </c>
      <c r="D364" s="24" t="s">
        <v>32</v>
      </c>
      <c r="E364" s="24" t="s">
        <v>9</v>
      </c>
      <c r="F364" s="24">
        <v>15704</v>
      </c>
      <c r="G364" s="25">
        <v>44172</v>
      </c>
      <c r="H364" s="25">
        <v>44902</v>
      </c>
      <c r="I364" s="24" t="s">
        <v>16</v>
      </c>
      <c r="J364" s="24" t="s">
        <v>33</v>
      </c>
      <c r="K364" s="24" t="str">
        <f>IF(certifications[[#This Row],[ISSUE DATE]]="", "", TEXT(certifications[[#This Row],[ISSUE DATE]], "MMM"))</f>
        <v>Dec</v>
      </c>
      <c r="L364" s="35" t="str">
        <f>IF(certifications[[#This Row],[ISSUE DATE]]="", "", TEXT(certifications[[#This Row],[ISSUE DATE]], "YYYY"))</f>
        <v>2020</v>
      </c>
    </row>
    <row r="365" spans="1:12" s="29" customFormat="1" ht="23.95" customHeight="1" x14ac:dyDescent="0.3">
      <c r="A365" s="31"/>
      <c r="B365" s="24">
        <v>352</v>
      </c>
      <c r="C365" s="24" t="s">
        <v>441</v>
      </c>
      <c r="D365" s="24" t="s">
        <v>32</v>
      </c>
      <c r="E365" s="24" t="s">
        <v>9</v>
      </c>
      <c r="F365" s="24">
        <v>12386</v>
      </c>
      <c r="G365" s="25">
        <v>43791</v>
      </c>
      <c r="H365" s="25">
        <v>46304</v>
      </c>
      <c r="I365" s="24" t="s">
        <v>10</v>
      </c>
      <c r="J365" s="24" t="s">
        <v>33</v>
      </c>
      <c r="K365" s="24" t="str">
        <f>IF(certifications[[#This Row],[ISSUE DATE]]="", "", TEXT(certifications[[#This Row],[ISSUE DATE]], "MMM"))</f>
        <v>Nov</v>
      </c>
      <c r="L365" s="35" t="str">
        <f>IF(certifications[[#This Row],[ISSUE DATE]]="", "", TEXT(certifications[[#This Row],[ISSUE DATE]], "YYYY"))</f>
        <v>2019</v>
      </c>
    </row>
    <row r="366" spans="1:12" s="29" customFormat="1" ht="23.95" customHeight="1" x14ac:dyDescent="0.3">
      <c r="A366" s="31"/>
      <c r="B366" s="24">
        <v>353</v>
      </c>
      <c r="C366" s="24" t="s">
        <v>442</v>
      </c>
      <c r="D366" s="24" t="s">
        <v>269</v>
      </c>
      <c r="E366" s="24" t="s">
        <v>9</v>
      </c>
      <c r="F366" s="24">
        <v>18818</v>
      </c>
      <c r="G366" s="25">
        <v>45107</v>
      </c>
      <c r="H366" s="25">
        <v>45838</v>
      </c>
      <c r="I366" s="24" t="s">
        <v>10</v>
      </c>
      <c r="J366" s="24" t="s">
        <v>25</v>
      </c>
      <c r="K366" s="24" t="str">
        <f>IF(certifications[[#This Row],[ISSUE DATE]]="", "", TEXT(certifications[[#This Row],[ISSUE DATE]], "MMM"))</f>
        <v>Jun</v>
      </c>
      <c r="L366" s="35" t="str">
        <f>IF(certifications[[#This Row],[ISSUE DATE]]="", "", TEXT(certifications[[#This Row],[ISSUE DATE]], "YYYY"))</f>
        <v>2023</v>
      </c>
    </row>
    <row r="367" spans="1:12" s="29" customFormat="1" ht="23.95" customHeight="1" x14ac:dyDescent="0.3">
      <c r="A367" s="31"/>
      <c r="B367" s="24">
        <v>354</v>
      </c>
      <c r="C367" s="24" t="s">
        <v>443</v>
      </c>
      <c r="D367" s="24" t="s">
        <v>131</v>
      </c>
      <c r="E367" s="24" t="s">
        <v>9</v>
      </c>
      <c r="F367" s="24">
        <v>13337</v>
      </c>
      <c r="G367" s="25">
        <v>43599</v>
      </c>
      <c r="H367" s="25">
        <v>44330</v>
      </c>
      <c r="I367" s="24" t="s">
        <v>16</v>
      </c>
      <c r="J367" s="24" t="s">
        <v>38</v>
      </c>
      <c r="K367" s="24" t="str">
        <f>IF(certifications[[#This Row],[ISSUE DATE]]="", "", TEXT(certifications[[#This Row],[ISSUE DATE]], "MMM"))</f>
        <v>May</v>
      </c>
      <c r="L367" s="35" t="str">
        <f>IF(certifications[[#This Row],[ISSUE DATE]]="", "", TEXT(certifications[[#This Row],[ISSUE DATE]], "YYYY"))</f>
        <v>2019</v>
      </c>
    </row>
    <row r="368" spans="1:12" s="29" customFormat="1" ht="23.95" customHeight="1" x14ac:dyDescent="0.3">
      <c r="A368" s="31"/>
      <c r="B368" s="24">
        <v>355</v>
      </c>
      <c r="C368" s="24" t="s">
        <v>444</v>
      </c>
      <c r="D368" s="24" t="s">
        <v>206</v>
      </c>
      <c r="E368" s="24" t="s">
        <v>9</v>
      </c>
      <c r="F368" s="24">
        <v>20173</v>
      </c>
      <c r="G368" s="25">
        <v>45404</v>
      </c>
      <c r="H368" s="25">
        <v>46134</v>
      </c>
      <c r="I368" s="24" t="s">
        <v>10</v>
      </c>
      <c r="J368" s="24" t="s">
        <v>30</v>
      </c>
      <c r="K368" s="24" t="str">
        <f>IF(certifications[[#This Row],[ISSUE DATE]]="", "", TEXT(certifications[[#This Row],[ISSUE DATE]], "MMM"))</f>
        <v>Apr</v>
      </c>
      <c r="L368" s="35" t="str">
        <f>IF(certifications[[#This Row],[ISSUE DATE]]="", "", TEXT(certifications[[#This Row],[ISSUE DATE]], "YYYY"))</f>
        <v>2024</v>
      </c>
    </row>
    <row r="369" spans="1:12" s="29" customFormat="1" ht="23.95" customHeight="1" x14ac:dyDescent="0.3">
      <c r="A369" s="31"/>
      <c r="B369" s="24">
        <v>356</v>
      </c>
      <c r="C369" s="24" t="s">
        <v>445</v>
      </c>
      <c r="D369" s="24" t="s">
        <v>111</v>
      </c>
      <c r="E369" s="24" t="s">
        <v>9</v>
      </c>
      <c r="F369" s="24">
        <v>10266</v>
      </c>
      <c r="G369" s="25">
        <v>42908</v>
      </c>
      <c r="H369" s="25">
        <v>43638</v>
      </c>
      <c r="I369" s="24" t="s">
        <v>16</v>
      </c>
      <c r="J369" s="24" t="s">
        <v>38</v>
      </c>
      <c r="K369" s="24" t="str">
        <f>IF(certifications[[#This Row],[ISSUE DATE]]="", "", TEXT(certifications[[#This Row],[ISSUE DATE]], "MMM"))</f>
        <v>Jun</v>
      </c>
      <c r="L369" s="35" t="str">
        <f>IF(certifications[[#This Row],[ISSUE DATE]]="", "", TEXT(certifications[[#This Row],[ISSUE DATE]], "YYYY"))</f>
        <v>2017</v>
      </c>
    </row>
    <row r="370" spans="1:12" s="29" customFormat="1" ht="23.95" customHeight="1" x14ac:dyDescent="0.3">
      <c r="A370" s="31"/>
      <c r="B370" s="24">
        <v>357</v>
      </c>
      <c r="C370" s="24" t="s">
        <v>446</v>
      </c>
      <c r="D370" s="24" t="s">
        <v>55</v>
      </c>
      <c r="E370" s="24" t="s">
        <v>9</v>
      </c>
      <c r="F370" s="24">
        <v>19307</v>
      </c>
      <c r="G370" s="25">
        <v>45212</v>
      </c>
      <c r="H370" s="25">
        <v>45943</v>
      </c>
      <c r="I370" s="24" t="s">
        <v>10</v>
      </c>
      <c r="J370" s="24" t="s">
        <v>11</v>
      </c>
      <c r="K370" s="24" t="str">
        <f>IF(certifications[[#This Row],[ISSUE DATE]]="", "", TEXT(certifications[[#This Row],[ISSUE DATE]], "MMM"))</f>
        <v>Oct</v>
      </c>
      <c r="L370" s="35" t="str">
        <f>IF(certifications[[#This Row],[ISSUE DATE]]="", "", TEXT(certifications[[#This Row],[ISSUE DATE]], "YYYY"))</f>
        <v>2023</v>
      </c>
    </row>
    <row r="371" spans="1:12" s="29" customFormat="1" ht="23.95" customHeight="1" x14ac:dyDescent="0.3">
      <c r="A371" s="31"/>
      <c r="B371" s="24">
        <v>358</v>
      </c>
      <c r="C371" s="24" t="s">
        <v>447</v>
      </c>
      <c r="D371" s="24" t="s">
        <v>155</v>
      </c>
      <c r="E371" s="24" t="s">
        <v>9</v>
      </c>
      <c r="F371" s="24">
        <v>15763</v>
      </c>
      <c r="G371" s="25">
        <v>45153</v>
      </c>
      <c r="H371" s="25">
        <v>46377</v>
      </c>
      <c r="I371" s="24" t="s">
        <v>10</v>
      </c>
      <c r="J371" s="24" t="s">
        <v>11</v>
      </c>
      <c r="K371" s="24" t="str">
        <f>IF(certifications[[#This Row],[ISSUE DATE]]="", "", TEXT(certifications[[#This Row],[ISSUE DATE]], "MMM"))</f>
        <v>Aug</v>
      </c>
      <c r="L371" s="35" t="str">
        <f>IF(certifications[[#This Row],[ISSUE DATE]]="", "", TEXT(certifications[[#This Row],[ISSUE DATE]], "YYYY"))</f>
        <v>2023</v>
      </c>
    </row>
    <row r="372" spans="1:12" s="29" customFormat="1" ht="23.95" customHeight="1" x14ac:dyDescent="0.3">
      <c r="A372" s="31"/>
      <c r="B372" s="24">
        <v>359</v>
      </c>
      <c r="C372" s="24" t="s">
        <v>448</v>
      </c>
      <c r="D372" s="24" t="s">
        <v>269</v>
      </c>
      <c r="E372" s="24" t="s">
        <v>9</v>
      </c>
      <c r="F372" s="24">
        <v>15354</v>
      </c>
      <c r="G372" s="25">
        <v>44376</v>
      </c>
      <c r="H372" s="25">
        <v>45106</v>
      </c>
      <c r="I372" s="24" t="s">
        <v>16</v>
      </c>
      <c r="J372" s="24" t="s">
        <v>25</v>
      </c>
      <c r="K372" s="24" t="str">
        <f>IF(certifications[[#This Row],[ISSUE DATE]]="", "", TEXT(certifications[[#This Row],[ISSUE DATE]], "MMM"))</f>
        <v>Jun</v>
      </c>
      <c r="L372" s="35" t="str">
        <f>IF(certifications[[#This Row],[ISSUE DATE]]="", "", TEXT(certifications[[#This Row],[ISSUE DATE]], "YYYY"))</f>
        <v>2021</v>
      </c>
    </row>
    <row r="373" spans="1:12" s="29" customFormat="1" ht="23.95" customHeight="1" x14ac:dyDescent="0.3">
      <c r="A373" s="31"/>
      <c r="B373" s="24">
        <v>360</v>
      </c>
      <c r="C373" s="24" t="s">
        <v>449</v>
      </c>
      <c r="D373" s="24" t="s">
        <v>450</v>
      </c>
      <c r="E373" s="24" t="s">
        <v>9</v>
      </c>
      <c r="F373" s="24">
        <v>17845</v>
      </c>
      <c r="G373" s="25">
        <v>44849</v>
      </c>
      <c r="H373" s="25">
        <v>46310</v>
      </c>
      <c r="I373" s="24" t="s">
        <v>10</v>
      </c>
      <c r="J373" s="24" t="s">
        <v>14</v>
      </c>
      <c r="K373" s="24" t="str">
        <f>IF(certifications[[#This Row],[ISSUE DATE]]="", "", TEXT(certifications[[#This Row],[ISSUE DATE]], "MMM"))</f>
        <v>Oct</v>
      </c>
      <c r="L373" s="35" t="str">
        <f>IF(certifications[[#This Row],[ISSUE DATE]]="", "", TEXT(certifications[[#This Row],[ISSUE DATE]], "YYYY"))</f>
        <v>2022</v>
      </c>
    </row>
    <row r="374" spans="1:12" s="29" customFormat="1" ht="23.95" customHeight="1" x14ac:dyDescent="0.3">
      <c r="A374" s="31"/>
      <c r="B374" s="24">
        <v>361</v>
      </c>
      <c r="C374" s="24" t="s">
        <v>449</v>
      </c>
      <c r="D374" s="24" t="s">
        <v>450</v>
      </c>
      <c r="E374" s="24" t="s">
        <v>26</v>
      </c>
      <c r="F374" s="24">
        <v>17845</v>
      </c>
      <c r="G374" s="25">
        <v>44826</v>
      </c>
      <c r="H374" s="25">
        <v>46287</v>
      </c>
      <c r="I374" s="24" t="s">
        <v>10</v>
      </c>
      <c r="J374" s="24" t="s">
        <v>14</v>
      </c>
      <c r="K374" s="24" t="str">
        <f>IF(certifications[[#This Row],[ISSUE DATE]]="", "", TEXT(certifications[[#This Row],[ISSUE DATE]], "MMM"))</f>
        <v>Sep</v>
      </c>
      <c r="L374" s="35" t="str">
        <f>IF(certifications[[#This Row],[ISSUE DATE]]="", "", TEXT(certifications[[#This Row],[ISSUE DATE]], "YYYY"))</f>
        <v>2022</v>
      </c>
    </row>
    <row r="375" spans="1:12" s="29" customFormat="1" ht="23.95" customHeight="1" x14ac:dyDescent="0.3">
      <c r="A375" s="31"/>
      <c r="B375" s="24">
        <v>362</v>
      </c>
      <c r="C375" s="24" t="s">
        <v>451</v>
      </c>
      <c r="D375" s="24" t="s">
        <v>452</v>
      </c>
      <c r="E375" s="24" t="s">
        <v>26</v>
      </c>
      <c r="F375" s="24">
        <v>15675</v>
      </c>
      <c r="G375" s="25">
        <v>44163</v>
      </c>
      <c r="H375" s="25">
        <v>46354</v>
      </c>
      <c r="I375" s="24" t="s">
        <v>10</v>
      </c>
      <c r="J375" s="24" t="s">
        <v>25</v>
      </c>
      <c r="K375" s="24" t="str">
        <f>IF(certifications[[#This Row],[ISSUE DATE]]="", "", TEXT(certifications[[#This Row],[ISSUE DATE]], "MMM"))</f>
        <v>Nov</v>
      </c>
      <c r="L375" s="35" t="str">
        <f>IF(certifications[[#This Row],[ISSUE DATE]]="", "", TEXT(certifications[[#This Row],[ISSUE DATE]], "YYYY"))</f>
        <v>2020</v>
      </c>
    </row>
    <row r="376" spans="1:12" s="29" customFormat="1" ht="23.95" customHeight="1" x14ac:dyDescent="0.3">
      <c r="A376" s="31"/>
      <c r="B376" s="24">
        <v>363</v>
      </c>
      <c r="C376" s="24" t="s">
        <v>453</v>
      </c>
      <c r="D376" s="24" t="s">
        <v>32</v>
      </c>
      <c r="E376" s="24" t="s">
        <v>9</v>
      </c>
      <c r="F376" s="24">
        <v>17584</v>
      </c>
      <c r="G376" s="25">
        <v>44739</v>
      </c>
      <c r="H376" s="25">
        <v>46200</v>
      </c>
      <c r="I376" s="24" t="s">
        <v>10</v>
      </c>
      <c r="J376" s="24" t="s">
        <v>33</v>
      </c>
      <c r="K376" s="24" t="str">
        <f>IF(certifications[[#This Row],[ISSUE DATE]]="", "", TEXT(certifications[[#This Row],[ISSUE DATE]], "MMM"))</f>
        <v>Jun</v>
      </c>
      <c r="L376" s="35" t="str">
        <f>IF(certifications[[#This Row],[ISSUE DATE]]="", "", TEXT(certifications[[#This Row],[ISSUE DATE]], "YYYY"))</f>
        <v>2022</v>
      </c>
    </row>
    <row r="377" spans="1:12" s="29" customFormat="1" ht="23.95" customHeight="1" x14ac:dyDescent="0.3">
      <c r="A377" s="31"/>
      <c r="B377" s="24">
        <v>364</v>
      </c>
      <c r="C377" s="24" t="s">
        <v>454</v>
      </c>
      <c r="D377" s="24" t="s">
        <v>18</v>
      </c>
      <c r="E377" s="24" t="s">
        <v>9</v>
      </c>
      <c r="F377" s="24">
        <v>12737</v>
      </c>
      <c r="G377" s="25">
        <v>43479</v>
      </c>
      <c r="H377" s="25">
        <v>44210</v>
      </c>
      <c r="I377" s="24" t="s">
        <v>321</v>
      </c>
      <c r="J377" s="24" t="s">
        <v>19</v>
      </c>
      <c r="K377" s="24" t="str">
        <f>IF(certifications[[#This Row],[ISSUE DATE]]="", "", TEXT(certifications[[#This Row],[ISSUE DATE]], "MMM"))</f>
        <v>Jan</v>
      </c>
      <c r="L377" s="35" t="str">
        <f>IF(certifications[[#This Row],[ISSUE DATE]]="", "", TEXT(certifications[[#This Row],[ISSUE DATE]], "YYYY"))</f>
        <v>2019</v>
      </c>
    </row>
    <row r="378" spans="1:12" s="29" customFormat="1" ht="23.95" customHeight="1" x14ac:dyDescent="0.3">
      <c r="A378" s="31"/>
      <c r="B378" s="24">
        <v>365</v>
      </c>
      <c r="C378" s="24" t="s">
        <v>455</v>
      </c>
      <c r="D378" s="24" t="s">
        <v>13</v>
      </c>
      <c r="E378" s="24" t="s">
        <v>9</v>
      </c>
      <c r="F378" s="24">
        <v>10030</v>
      </c>
      <c r="G378" s="25">
        <v>42766</v>
      </c>
      <c r="H378" s="25">
        <v>46418</v>
      </c>
      <c r="I378" s="24" t="s">
        <v>10</v>
      </c>
      <c r="J378" s="24" t="s">
        <v>14</v>
      </c>
      <c r="K378" s="24" t="str">
        <f>IF(certifications[[#This Row],[ISSUE DATE]]="", "", TEXT(certifications[[#This Row],[ISSUE DATE]], "MMM"))</f>
        <v>Jan</v>
      </c>
      <c r="L378" s="35" t="str">
        <f>IF(certifications[[#This Row],[ISSUE DATE]]="", "", TEXT(certifications[[#This Row],[ISSUE DATE]], "YYYY"))</f>
        <v>2017</v>
      </c>
    </row>
    <row r="379" spans="1:12" s="29" customFormat="1" ht="23.95" customHeight="1" x14ac:dyDescent="0.3">
      <c r="A379" s="31"/>
      <c r="B379" s="24">
        <v>366</v>
      </c>
      <c r="C379" s="24" t="s">
        <v>456</v>
      </c>
      <c r="D379" s="24" t="s">
        <v>457</v>
      </c>
      <c r="E379" s="24" t="s">
        <v>9</v>
      </c>
      <c r="F379" s="24">
        <v>12574</v>
      </c>
      <c r="G379" s="25">
        <v>43445</v>
      </c>
      <c r="H379" s="25">
        <v>46367</v>
      </c>
      <c r="I379" s="24" t="s">
        <v>10</v>
      </c>
      <c r="J379" s="24" t="s">
        <v>14</v>
      </c>
      <c r="K379" s="24" t="str">
        <f>IF(certifications[[#This Row],[ISSUE DATE]]="", "", TEXT(certifications[[#This Row],[ISSUE DATE]], "MMM"))</f>
        <v>Dec</v>
      </c>
      <c r="L379" s="35" t="str">
        <f>IF(certifications[[#This Row],[ISSUE DATE]]="", "", TEXT(certifications[[#This Row],[ISSUE DATE]], "YYYY"))</f>
        <v>2018</v>
      </c>
    </row>
    <row r="380" spans="1:12" s="29" customFormat="1" ht="23.95" customHeight="1" x14ac:dyDescent="0.3">
      <c r="A380" s="31"/>
      <c r="B380" s="24">
        <v>367</v>
      </c>
      <c r="C380" s="24" t="s">
        <v>456</v>
      </c>
      <c r="D380" s="24" t="s">
        <v>457</v>
      </c>
      <c r="E380" s="24" t="s">
        <v>26</v>
      </c>
      <c r="F380" s="24">
        <v>12574</v>
      </c>
      <c r="G380" s="25">
        <v>43776</v>
      </c>
      <c r="H380" s="25">
        <v>46367</v>
      </c>
      <c r="I380" s="24" t="s">
        <v>10</v>
      </c>
      <c r="J380" s="24" t="s">
        <v>14</v>
      </c>
      <c r="K380" s="24" t="str">
        <f>IF(certifications[[#This Row],[ISSUE DATE]]="", "", TEXT(certifications[[#This Row],[ISSUE DATE]], "MMM"))</f>
        <v>Nov</v>
      </c>
      <c r="L380" s="35" t="str">
        <f>IF(certifications[[#This Row],[ISSUE DATE]]="", "", TEXT(certifications[[#This Row],[ISSUE DATE]], "YYYY"))</f>
        <v>2019</v>
      </c>
    </row>
    <row r="381" spans="1:12" s="29" customFormat="1" ht="23.95" customHeight="1" x14ac:dyDescent="0.3">
      <c r="A381" s="31"/>
      <c r="B381" s="24">
        <v>368</v>
      </c>
      <c r="C381" s="24" t="s">
        <v>458</v>
      </c>
      <c r="D381" s="24" t="s">
        <v>171</v>
      </c>
      <c r="E381" s="24" t="s">
        <v>9</v>
      </c>
      <c r="F381" s="24">
        <v>17326</v>
      </c>
      <c r="G381" s="25">
        <v>44659</v>
      </c>
      <c r="H381" s="25">
        <v>45390</v>
      </c>
      <c r="I381" s="24" t="s">
        <v>16</v>
      </c>
      <c r="J381" s="24" t="s">
        <v>14</v>
      </c>
      <c r="K381" s="24" t="str">
        <f>IF(certifications[[#This Row],[ISSUE DATE]]="", "", TEXT(certifications[[#This Row],[ISSUE DATE]], "MMM"))</f>
        <v>Apr</v>
      </c>
      <c r="L381" s="35" t="str">
        <f>IF(certifications[[#This Row],[ISSUE DATE]]="", "", TEXT(certifications[[#This Row],[ISSUE DATE]], "YYYY"))</f>
        <v>2022</v>
      </c>
    </row>
    <row r="382" spans="1:12" s="29" customFormat="1" ht="23.95" customHeight="1" x14ac:dyDescent="0.3">
      <c r="A382" s="31"/>
      <c r="B382" s="24">
        <v>369</v>
      </c>
      <c r="C382" s="24" t="s">
        <v>459</v>
      </c>
      <c r="D382" s="24" t="s">
        <v>40</v>
      </c>
      <c r="E382" s="24" t="s">
        <v>26</v>
      </c>
      <c r="F382" s="24">
        <v>22131</v>
      </c>
      <c r="G382" s="25">
        <v>45820</v>
      </c>
      <c r="H382" s="25">
        <v>46550</v>
      </c>
      <c r="I382" s="24" t="s">
        <v>10</v>
      </c>
      <c r="J382" s="24" t="s">
        <v>25</v>
      </c>
      <c r="K382" s="24" t="str">
        <f>IF(certifications[[#This Row],[ISSUE DATE]]="", "", TEXT(certifications[[#This Row],[ISSUE DATE]], "MMM"))</f>
        <v>Jun</v>
      </c>
      <c r="L382" s="35" t="str">
        <f>IF(certifications[[#This Row],[ISSUE DATE]]="", "", TEXT(certifications[[#This Row],[ISSUE DATE]], "YYYY"))</f>
        <v>2025</v>
      </c>
    </row>
    <row r="383" spans="1:12" s="29" customFormat="1" ht="23.95" customHeight="1" x14ac:dyDescent="0.3">
      <c r="A383" s="31"/>
      <c r="B383" s="24">
        <v>370</v>
      </c>
      <c r="C383" s="24" t="s">
        <v>460</v>
      </c>
      <c r="D383" s="24" t="s">
        <v>32</v>
      </c>
      <c r="E383" s="24" t="s">
        <v>9</v>
      </c>
      <c r="F383" s="24">
        <v>16967</v>
      </c>
      <c r="G383" s="25">
        <v>44504</v>
      </c>
      <c r="H383" s="25">
        <v>45234</v>
      </c>
      <c r="I383" s="24" t="s">
        <v>16</v>
      </c>
      <c r="J383" s="24" t="s">
        <v>33</v>
      </c>
      <c r="K383" s="24" t="str">
        <f>IF(certifications[[#This Row],[ISSUE DATE]]="", "", TEXT(certifications[[#This Row],[ISSUE DATE]], "MMM"))</f>
        <v>Nov</v>
      </c>
      <c r="L383" s="35" t="str">
        <f>IF(certifications[[#This Row],[ISSUE DATE]]="", "", TEXT(certifications[[#This Row],[ISSUE DATE]], "YYYY"))</f>
        <v>2021</v>
      </c>
    </row>
    <row r="384" spans="1:12" s="29" customFormat="1" ht="23.95" customHeight="1" x14ac:dyDescent="0.3">
      <c r="A384" s="31"/>
      <c r="B384" s="24">
        <v>371</v>
      </c>
      <c r="C384" s="24" t="s">
        <v>461</v>
      </c>
      <c r="D384" s="24" t="s">
        <v>202</v>
      </c>
      <c r="E384" s="24" t="s">
        <v>9</v>
      </c>
      <c r="F384" s="24">
        <v>17261</v>
      </c>
      <c r="G384" s="25">
        <v>44962</v>
      </c>
      <c r="H384" s="25">
        <v>46423</v>
      </c>
      <c r="I384" s="24" t="s">
        <v>10</v>
      </c>
      <c r="J384" s="24" t="s">
        <v>19</v>
      </c>
      <c r="K384" s="24" t="str">
        <f>IF(certifications[[#This Row],[ISSUE DATE]]="", "", TEXT(certifications[[#This Row],[ISSUE DATE]], "MMM"))</f>
        <v>Feb</v>
      </c>
      <c r="L384" s="35" t="str">
        <f>IF(certifications[[#This Row],[ISSUE DATE]]="", "", TEXT(certifications[[#This Row],[ISSUE DATE]], "YYYY"))</f>
        <v>2023</v>
      </c>
    </row>
    <row r="385" spans="1:12" s="29" customFormat="1" ht="23.95" customHeight="1" x14ac:dyDescent="0.3">
      <c r="A385" s="31"/>
      <c r="B385" s="24">
        <v>372</v>
      </c>
      <c r="C385" s="24" t="s">
        <v>462</v>
      </c>
      <c r="D385" s="24" t="s">
        <v>88</v>
      </c>
      <c r="E385" s="24" t="s">
        <v>9</v>
      </c>
      <c r="F385" s="24">
        <v>12723</v>
      </c>
      <c r="G385" s="25">
        <v>43479</v>
      </c>
      <c r="H385" s="25">
        <v>44940</v>
      </c>
      <c r="I385" s="24" t="s">
        <v>16</v>
      </c>
      <c r="J385" s="24" t="s">
        <v>19</v>
      </c>
      <c r="K385" s="24" t="str">
        <f>IF(certifications[[#This Row],[ISSUE DATE]]="", "", TEXT(certifications[[#This Row],[ISSUE DATE]], "MMM"))</f>
        <v>Jan</v>
      </c>
      <c r="L385" s="35" t="str">
        <f>IF(certifications[[#This Row],[ISSUE DATE]]="", "", TEXT(certifications[[#This Row],[ISSUE DATE]], "YYYY"))</f>
        <v>2019</v>
      </c>
    </row>
    <row r="386" spans="1:12" s="29" customFormat="1" ht="23.95" customHeight="1" x14ac:dyDescent="0.3">
      <c r="A386" s="31"/>
      <c r="B386" s="24">
        <v>373</v>
      </c>
      <c r="C386" s="24" t="s">
        <v>462</v>
      </c>
      <c r="D386" s="24" t="s">
        <v>88</v>
      </c>
      <c r="E386" s="24" t="s">
        <v>26</v>
      </c>
      <c r="F386" s="24">
        <v>12723</v>
      </c>
      <c r="G386" s="25">
        <v>44301</v>
      </c>
      <c r="H386" s="25">
        <v>45031</v>
      </c>
      <c r="I386" s="24" t="s">
        <v>16</v>
      </c>
      <c r="J386" s="24" t="s">
        <v>19</v>
      </c>
      <c r="K386" s="24" t="str">
        <f>IF(certifications[[#This Row],[ISSUE DATE]]="", "", TEXT(certifications[[#This Row],[ISSUE DATE]], "MMM"))</f>
        <v>Apr</v>
      </c>
      <c r="L386" s="35" t="str">
        <f>IF(certifications[[#This Row],[ISSUE DATE]]="", "", TEXT(certifications[[#This Row],[ISSUE DATE]], "YYYY"))</f>
        <v>2021</v>
      </c>
    </row>
    <row r="387" spans="1:12" s="29" customFormat="1" ht="23.95" customHeight="1" x14ac:dyDescent="0.3">
      <c r="A387" s="31"/>
      <c r="B387" s="24">
        <v>374</v>
      </c>
      <c r="C387" s="24" t="s">
        <v>463</v>
      </c>
      <c r="D387" s="24" t="s">
        <v>13</v>
      </c>
      <c r="E387" s="24" t="s">
        <v>9</v>
      </c>
      <c r="F387" s="24">
        <v>17626</v>
      </c>
      <c r="G387" s="25">
        <v>44752</v>
      </c>
      <c r="H387" s="25">
        <v>45483</v>
      </c>
      <c r="I387" s="24" t="s">
        <v>82</v>
      </c>
      <c r="J387" s="24" t="s">
        <v>14</v>
      </c>
      <c r="K387" s="24" t="str">
        <f>IF(certifications[[#This Row],[ISSUE DATE]]="", "", TEXT(certifications[[#This Row],[ISSUE DATE]], "MMM"))</f>
        <v>Jul</v>
      </c>
      <c r="L387" s="35" t="str">
        <f>IF(certifications[[#This Row],[ISSUE DATE]]="", "", TEXT(certifications[[#This Row],[ISSUE DATE]], "YYYY"))</f>
        <v>2022</v>
      </c>
    </row>
    <row r="388" spans="1:12" s="29" customFormat="1" ht="23.95" customHeight="1" x14ac:dyDescent="0.3">
      <c r="A388" s="31"/>
      <c r="B388" s="24">
        <v>375</v>
      </c>
      <c r="C388" s="24" t="s">
        <v>464</v>
      </c>
      <c r="D388" s="24" t="s">
        <v>465</v>
      </c>
      <c r="E388" s="24" t="s">
        <v>9</v>
      </c>
      <c r="F388" s="24">
        <v>15302</v>
      </c>
      <c r="G388" s="25">
        <v>44012</v>
      </c>
      <c r="H388" s="25">
        <v>45473</v>
      </c>
      <c r="I388" s="24" t="s">
        <v>82</v>
      </c>
      <c r="J388" s="24" t="s">
        <v>22</v>
      </c>
      <c r="K388" s="24" t="str">
        <f>IF(certifications[[#This Row],[ISSUE DATE]]="", "", TEXT(certifications[[#This Row],[ISSUE DATE]], "MMM"))</f>
        <v>Jun</v>
      </c>
      <c r="L388" s="35" t="str">
        <f>IF(certifications[[#This Row],[ISSUE DATE]]="", "", TEXT(certifications[[#This Row],[ISSUE DATE]], "YYYY"))</f>
        <v>2020</v>
      </c>
    </row>
    <row r="389" spans="1:12" s="29" customFormat="1" ht="23.95" customHeight="1" x14ac:dyDescent="0.3">
      <c r="A389" s="31"/>
      <c r="B389" s="24">
        <v>376</v>
      </c>
      <c r="C389" s="24" t="s">
        <v>466</v>
      </c>
      <c r="D389" s="24" t="s">
        <v>249</v>
      </c>
      <c r="E389" s="24" t="s">
        <v>9</v>
      </c>
      <c r="F389" s="24">
        <v>8665</v>
      </c>
      <c r="G389" s="25">
        <v>41577</v>
      </c>
      <c r="H389" s="25">
        <v>43038</v>
      </c>
      <c r="I389" s="24" t="s">
        <v>16</v>
      </c>
      <c r="J389" s="24" t="s">
        <v>30</v>
      </c>
      <c r="K389" s="24" t="str">
        <f>IF(certifications[[#This Row],[ISSUE DATE]]="", "", TEXT(certifications[[#This Row],[ISSUE DATE]], "MMM"))</f>
        <v>Oct</v>
      </c>
      <c r="L389" s="35" t="str">
        <f>IF(certifications[[#This Row],[ISSUE DATE]]="", "", TEXT(certifications[[#This Row],[ISSUE DATE]], "YYYY"))</f>
        <v>2013</v>
      </c>
    </row>
    <row r="390" spans="1:12" s="29" customFormat="1" ht="23.95" customHeight="1" x14ac:dyDescent="0.3">
      <c r="A390" s="31"/>
      <c r="B390" s="24">
        <v>377</v>
      </c>
      <c r="C390" s="24" t="s">
        <v>467</v>
      </c>
      <c r="D390" s="24" t="s">
        <v>305</v>
      </c>
      <c r="E390" s="24" t="s">
        <v>9</v>
      </c>
      <c r="F390" s="24">
        <v>18109</v>
      </c>
      <c r="G390" s="25">
        <v>44907</v>
      </c>
      <c r="H390" s="25">
        <v>45638</v>
      </c>
      <c r="I390" s="24" t="s">
        <v>82</v>
      </c>
      <c r="J390" s="24" t="s">
        <v>22</v>
      </c>
      <c r="K390" s="24" t="str">
        <f>IF(certifications[[#This Row],[ISSUE DATE]]="", "", TEXT(certifications[[#This Row],[ISSUE DATE]], "MMM"))</f>
        <v>Dec</v>
      </c>
      <c r="L390" s="35" t="str">
        <f>IF(certifications[[#This Row],[ISSUE DATE]]="", "", TEXT(certifications[[#This Row],[ISSUE DATE]], "YYYY"))</f>
        <v>2022</v>
      </c>
    </row>
    <row r="391" spans="1:12" s="29" customFormat="1" ht="23.95" customHeight="1" x14ac:dyDescent="0.3">
      <c r="A391" s="31"/>
      <c r="B391" s="24">
        <v>378</v>
      </c>
      <c r="C391" s="24" t="s">
        <v>468</v>
      </c>
      <c r="D391" s="24" t="s">
        <v>305</v>
      </c>
      <c r="E391" s="24" t="s">
        <v>9</v>
      </c>
      <c r="F391" s="24">
        <v>11070</v>
      </c>
      <c r="G391" s="25">
        <v>43670</v>
      </c>
      <c r="H391" s="25">
        <v>45401</v>
      </c>
      <c r="I391" s="24" t="s">
        <v>16</v>
      </c>
      <c r="J391" s="24" t="s">
        <v>22</v>
      </c>
      <c r="K391" s="24" t="str">
        <f>IF(certifications[[#This Row],[ISSUE DATE]]="", "", TEXT(certifications[[#This Row],[ISSUE DATE]], "MMM"))</f>
        <v>Jul</v>
      </c>
      <c r="L391" s="35" t="str">
        <f>IF(certifications[[#This Row],[ISSUE DATE]]="", "", TEXT(certifications[[#This Row],[ISSUE DATE]], "YYYY"))</f>
        <v>2019</v>
      </c>
    </row>
    <row r="392" spans="1:12" s="29" customFormat="1" ht="23.95" customHeight="1" x14ac:dyDescent="0.3">
      <c r="A392" s="31"/>
      <c r="B392" s="24">
        <v>379</v>
      </c>
      <c r="C392" s="24" t="s">
        <v>469</v>
      </c>
      <c r="D392" s="24" t="s">
        <v>80</v>
      </c>
      <c r="E392" s="24" t="s">
        <v>9</v>
      </c>
      <c r="F392" s="24">
        <v>10260</v>
      </c>
      <c r="G392" s="25">
        <v>42908</v>
      </c>
      <c r="H392" s="25">
        <v>43638</v>
      </c>
      <c r="I392" s="24" t="s">
        <v>16</v>
      </c>
      <c r="J392" s="24" t="s">
        <v>38</v>
      </c>
      <c r="K392" s="24" t="str">
        <f>IF(certifications[[#This Row],[ISSUE DATE]]="", "", TEXT(certifications[[#This Row],[ISSUE DATE]], "MMM"))</f>
        <v>Jun</v>
      </c>
      <c r="L392" s="35" t="str">
        <f>IF(certifications[[#This Row],[ISSUE DATE]]="", "", TEXT(certifications[[#This Row],[ISSUE DATE]], "YYYY"))</f>
        <v>2017</v>
      </c>
    </row>
    <row r="393" spans="1:12" s="29" customFormat="1" ht="23.95" customHeight="1" x14ac:dyDescent="0.3">
      <c r="A393" s="31"/>
      <c r="B393" s="24">
        <v>380</v>
      </c>
      <c r="C393" s="24" t="s">
        <v>470</v>
      </c>
      <c r="D393" s="24" t="s">
        <v>29</v>
      </c>
      <c r="E393" s="24" t="s">
        <v>9</v>
      </c>
      <c r="F393" s="24">
        <v>9606</v>
      </c>
      <c r="G393" s="25">
        <v>42513</v>
      </c>
      <c r="H393" s="25">
        <v>43243</v>
      </c>
      <c r="I393" s="24" t="s">
        <v>321</v>
      </c>
      <c r="J393" s="24" t="s">
        <v>30</v>
      </c>
      <c r="K393" s="24" t="str">
        <f>IF(certifications[[#This Row],[ISSUE DATE]]="", "", TEXT(certifications[[#This Row],[ISSUE DATE]], "MMM"))</f>
        <v>May</v>
      </c>
      <c r="L393" s="35" t="str">
        <f>IF(certifications[[#This Row],[ISSUE DATE]]="", "", TEXT(certifications[[#This Row],[ISSUE DATE]], "YYYY"))</f>
        <v>2016</v>
      </c>
    </row>
    <row r="394" spans="1:12" s="29" customFormat="1" ht="23.95" customHeight="1" x14ac:dyDescent="0.3">
      <c r="A394" s="31"/>
      <c r="B394" s="24">
        <v>381</v>
      </c>
      <c r="C394" s="24" t="s">
        <v>471</v>
      </c>
      <c r="D394" s="24" t="s">
        <v>32</v>
      </c>
      <c r="E394" s="24" t="s">
        <v>9</v>
      </c>
      <c r="F394" s="24">
        <v>10792</v>
      </c>
      <c r="G394" s="25">
        <v>43168</v>
      </c>
      <c r="H394" s="25">
        <v>43899</v>
      </c>
      <c r="I394" s="24" t="s">
        <v>16</v>
      </c>
      <c r="J394" s="24" t="s">
        <v>33</v>
      </c>
      <c r="K394" s="24" t="str">
        <f>IF(certifications[[#This Row],[ISSUE DATE]]="", "", TEXT(certifications[[#This Row],[ISSUE DATE]], "MMM"))</f>
        <v>Mar</v>
      </c>
      <c r="L394" s="35" t="str">
        <f>IF(certifications[[#This Row],[ISSUE DATE]]="", "", TEXT(certifications[[#This Row],[ISSUE DATE]], "YYYY"))</f>
        <v>2018</v>
      </c>
    </row>
    <row r="395" spans="1:12" s="29" customFormat="1" ht="23.95" customHeight="1" x14ac:dyDescent="0.3">
      <c r="A395" s="31"/>
      <c r="B395" s="24">
        <v>382</v>
      </c>
      <c r="C395" s="24" t="s">
        <v>472</v>
      </c>
      <c r="D395" s="24" t="s">
        <v>473</v>
      </c>
      <c r="E395" s="24" t="s">
        <v>9</v>
      </c>
      <c r="F395" s="24">
        <v>14525</v>
      </c>
      <c r="G395" s="25">
        <v>43705</v>
      </c>
      <c r="H395" s="25">
        <v>44436</v>
      </c>
      <c r="I395" s="24" t="s">
        <v>16</v>
      </c>
      <c r="J395" s="24" t="s">
        <v>30</v>
      </c>
      <c r="K395" s="24" t="str">
        <f>IF(certifications[[#This Row],[ISSUE DATE]]="", "", TEXT(certifications[[#This Row],[ISSUE DATE]], "MMM"))</f>
        <v>Aug</v>
      </c>
      <c r="L395" s="35" t="str">
        <f>IF(certifications[[#This Row],[ISSUE DATE]]="", "", TEXT(certifications[[#This Row],[ISSUE DATE]], "YYYY"))</f>
        <v>2019</v>
      </c>
    </row>
    <row r="396" spans="1:12" s="29" customFormat="1" ht="23.95" customHeight="1" x14ac:dyDescent="0.3">
      <c r="A396" s="31"/>
      <c r="B396" s="24">
        <v>383</v>
      </c>
      <c r="C396" s="24" t="s">
        <v>474</v>
      </c>
      <c r="D396" s="24" t="s">
        <v>13</v>
      </c>
      <c r="E396" s="24" t="s">
        <v>9</v>
      </c>
      <c r="F396" s="24">
        <v>17389</v>
      </c>
      <c r="G396" s="25">
        <v>44676</v>
      </c>
      <c r="H396" s="25">
        <v>45407</v>
      </c>
      <c r="I396" s="24" t="s">
        <v>16</v>
      </c>
      <c r="J396" s="24" t="s">
        <v>14</v>
      </c>
      <c r="K396" s="24" t="str">
        <f>IF(certifications[[#This Row],[ISSUE DATE]]="", "", TEXT(certifications[[#This Row],[ISSUE DATE]], "MMM"))</f>
        <v>Apr</v>
      </c>
      <c r="L396" s="35" t="str">
        <f>IF(certifications[[#This Row],[ISSUE DATE]]="", "", TEXT(certifications[[#This Row],[ISSUE DATE]], "YYYY"))</f>
        <v>2022</v>
      </c>
    </row>
    <row r="397" spans="1:12" s="29" customFormat="1" ht="23.95" customHeight="1" x14ac:dyDescent="0.3">
      <c r="A397" s="31"/>
      <c r="B397" s="24">
        <v>384</v>
      </c>
      <c r="C397" s="24" t="s">
        <v>475</v>
      </c>
      <c r="D397" s="24" t="s">
        <v>13</v>
      </c>
      <c r="E397" s="24" t="s">
        <v>9</v>
      </c>
      <c r="F397" s="24">
        <v>8053</v>
      </c>
      <c r="G397" s="25">
        <v>40977</v>
      </c>
      <c r="H397" s="25">
        <v>42438</v>
      </c>
      <c r="I397" s="24" t="s">
        <v>16</v>
      </c>
      <c r="J397" s="24" t="s">
        <v>14</v>
      </c>
      <c r="K397" s="24" t="str">
        <f>IF(certifications[[#This Row],[ISSUE DATE]]="", "", TEXT(certifications[[#This Row],[ISSUE DATE]], "MMM"))</f>
        <v>Mar</v>
      </c>
      <c r="L397" s="35" t="str">
        <f>IF(certifications[[#This Row],[ISSUE DATE]]="", "", TEXT(certifications[[#This Row],[ISSUE DATE]], "YYYY"))</f>
        <v>2012</v>
      </c>
    </row>
    <row r="398" spans="1:12" s="29" customFormat="1" ht="23.95" customHeight="1" x14ac:dyDescent="0.3">
      <c r="A398" s="31"/>
      <c r="B398" s="24">
        <v>385</v>
      </c>
      <c r="C398" s="24" t="s">
        <v>476</v>
      </c>
      <c r="D398" s="24" t="s">
        <v>155</v>
      </c>
      <c r="E398" s="24" t="s">
        <v>9</v>
      </c>
      <c r="F398" s="24">
        <v>9818</v>
      </c>
      <c r="G398" s="25">
        <v>42627</v>
      </c>
      <c r="H398" s="25">
        <v>44088</v>
      </c>
      <c r="I398" s="24" t="s">
        <v>16</v>
      </c>
      <c r="J398" s="24" t="s">
        <v>11</v>
      </c>
      <c r="K398" s="24" t="str">
        <f>IF(certifications[[#This Row],[ISSUE DATE]]="", "", TEXT(certifications[[#This Row],[ISSUE DATE]], "MMM"))</f>
        <v>Sep</v>
      </c>
      <c r="L398" s="35" t="str">
        <f>IF(certifications[[#This Row],[ISSUE DATE]]="", "", TEXT(certifications[[#This Row],[ISSUE DATE]], "YYYY"))</f>
        <v>2016</v>
      </c>
    </row>
    <row r="399" spans="1:12" s="29" customFormat="1" ht="23.95" customHeight="1" x14ac:dyDescent="0.3">
      <c r="A399" s="31"/>
      <c r="B399" s="24">
        <v>386</v>
      </c>
      <c r="C399" s="24" t="s">
        <v>476</v>
      </c>
      <c r="D399" s="24" t="s">
        <v>155</v>
      </c>
      <c r="E399" s="24" t="s">
        <v>26</v>
      </c>
      <c r="F399" s="24">
        <v>9818</v>
      </c>
      <c r="G399" s="25">
        <v>43497</v>
      </c>
      <c r="H399" s="25">
        <v>44228</v>
      </c>
      <c r="I399" s="24" t="s">
        <v>16</v>
      </c>
      <c r="J399" s="24" t="s">
        <v>11</v>
      </c>
      <c r="K399" s="24" t="str">
        <f>IF(certifications[[#This Row],[ISSUE DATE]]="", "", TEXT(certifications[[#This Row],[ISSUE DATE]], "MMM"))</f>
        <v>Feb</v>
      </c>
      <c r="L399" s="35" t="str">
        <f>IF(certifications[[#This Row],[ISSUE DATE]]="", "", TEXT(certifications[[#This Row],[ISSUE DATE]], "YYYY"))</f>
        <v>2019</v>
      </c>
    </row>
    <row r="400" spans="1:12" s="29" customFormat="1" ht="23.95" customHeight="1" x14ac:dyDescent="0.3">
      <c r="A400" s="31"/>
      <c r="B400" s="24">
        <v>387</v>
      </c>
      <c r="C400" s="24" t="s">
        <v>477</v>
      </c>
      <c r="D400" s="24" t="s">
        <v>337</v>
      </c>
      <c r="E400" s="24" t="s">
        <v>26</v>
      </c>
      <c r="F400" s="24">
        <v>17088</v>
      </c>
      <c r="G400" s="25">
        <v>44565</v>
      </c>
      <c r="H400" s="25">
        <v>46026</v>
      </c>
      <c r="I400" s="24" t="s">
        <v>10</v>
      </c>
      <c r="J400" s="24" t="s">
        <v>30</v>
      </c>
      <c r="K400" s="24" t="str">
        <f>IF(certifications[[#This Row],[ISSUE DATE]]="", "", TEXT(certifications[[#This Row],[ISSUE DATE]], "MMM"))</f>
        <v>Jan</v>
      </c>
      <c r="L400" s="35" t="str">
        <f>IF(certifications[[#This Row],[ISSUE DATE]]="", "", TEXT(certifications[[#This Row],[ISSUE DATE]], "YYYY"))</f>
        <v>2022</v>
      </c>
    </row>
    <row r="401" spans="1:12" s="29" customFormat="1" ht="23.95" customHeight="1" x14ac:dyDescent="0.3">
      <c r="A401" s="31"/>
      <c r="B401" s="24">
        <v>388</v>
      </c>
      <c r="C401" s="24" t="s">
        <v>478</v>
      </c>
      <c r="D401" s="24" t="s">
        <v>32</v>
      </c>
      <c r="E401" s="24" t="s">
        <v>9</v>
      </c>
      <c r="F401" s="24">
        <v>12688</v>
      </c>
      <c r="G401" s="25">
        <v>43474</v>
      </c>
      <c r="H401" s="25">
        <v>44205</v>
      </c>
      <c r="I401" s="24" t="s">
        <v>16</v>
      </c>
      <c r="J401" s="24" t="s">
        <v>33</v>
      </c>
      <c r="K401" s="24" t="str">
        <f>IF(certifications[[#This Row],[ISSUE DATE]]="", "", TEXT(certifications[[#This Row],[ISSUE DATE]], "MMM"))</f>
        <v>Jan</v>
      </c>
      <c r="L401" s="35" t="str">
        <f>IF(certifications[[#This Row],[ISSUE DATE]]="", "", TEXT(certifications[[#This Row],[ISSUE DATE]], "YYYY"))</f>
        <v>2019</v>
      </c>
    </row>
    <row r="402" spans="1:12" s="29" customFormat="1" ht="23.95" customHeight="1" x14ac:dyDescent="0.3">
      <c r="A402" s="31"/>
      <c r="B402" s="24">
        <v>389</v>
      </c>
      <c r="C402" s="24" t="s">
        <v>479</v>
      </c>
      <c r="D402" s="24" t="s">
        <v>32</v>
      </c>
      <c r="E402" s="24" t="s">
        <v>9</v>
      </c>
      <c r="F402" s="24">
        <v>16518</v>
      </c>
      <c r="G402" s="25">
        <v>44373</v>
      </c>
      <c r="H402" s="25">
        <v>45103</v>
      </c>
      <c r="I402" s="24" t="s">
        <v>16</v>
      </c>
      <c r="J402" s="24" t="s">
        <v>33</v>
      </c>
      <c r="K402" s="24" t="str">
        <f>IF(certifications[[#This Row],[ISSUE DATE]]="", "", TEXT(certifications[[#This Row],[ISSUE DATE]], "MMM"))</f>
        <v>Jun</v>
      </c>
      <c r="L402" s="35" t="str">
        <f>IF(certifications[[#This Row],[ISSUE DATE]]="", "", TEXT(certifications[[#This Row],[ISSUE DATE]], "YYYY"))</f>
        <v>2021</v>
      </c>
    </row>
    <row r="403" spans="1:12" s="29" customFormat="1" ht="23.95" customHeight="1" x14ac:dyDescent="0.3">
      <c r="A403" s="31"/>
      <c r="B403" s="24">
        <v>390</v>
      </c>
      <c r="C403" s="24" t="s">
        <v>480</v>
      </c>
      <c r="D403" s="24" t="s">
        <v>13</v>
      </c>
      <c r="E403" s="24" t="s">
        <v>9</v>
      </c>
      <c r="F403" s="24">
        <v>7937</v>
      </c>
      <c r="G403" s="25">
        <v>40823</v>
      </c>
      <c r="H403" s="25">
        <v>41554</v>
      </c>
      <c r="I403" s="24" t="s">
        <v>16</v>
      </c>
      <c r="J403" s="24" t="s">
        <v>14</v>
      </c>
      <c r="K403" s="24" t="str">
        <f>IF(certifications[[#This Row],[ISSUE DATE]]="", "", TEXT(certifications[[#This Row],[ISSUE DATE]], "MMM"))</f>
        <v>Oct</v>
      </c>
      <c r="L403" s="35" t="str">
        <f>IF(certifications[[#This Row],[ISSUE DATE]]="", "", TEXT(certifications[[#This Row],[ISSUE DATE]], "YYYY"))</f>
        <v>2011</v>
      </c>
    </row>
    <row r="404" spans="1:12" s="29" customFormat="1" ht="23.95" customHeight="1" x14ac:dyDescent="0.3">
      <c r="A404" s="31"/>
      <c r="B404" s="24">
        <v>391</v>
      </c>
      <c r="C404" s="24" t="s">
        <v>481</v>
      </c>
      <c r="D404" s="24" t="s">
        <v>141</v>
      </c>
      <c r="E404" s="24" t="s">
        <v>9</v>
      </c>
      <c r="F404" s="24">
        <v>9348</v>
      </c>
      <c r="G404" s="25">
        <v>42258</v>
      </c>
      <c r="H404" s="25">
        <v>43719</v>
      </c>
      <c r="I404" s="24" t="s">
        <v>16</v>
      </c>
      <c r="J404" s="24" t="s">
        <v>38</v>
      </c>
      <c r="K404" s="24" t="str">
        <f>IF(certifications[[#This Row],[ISSUE DATE]]="", "", TEXT(certifications[[#This Row],[ISSUE DATE]], "MMM"))</f>
        <v>Sep</v>
      </c>
      <c r="L404" s="35" t="str">
        <f>IF(certifications[[#This Row],[ISSUE DATE]]="", "", TEXT(certifications[[#This Row],[ISSUE DATE]], "YYYY"))</f>
        <v>2015</v>
      </c>
    </row>
    <row r="405" spans="1:12" s="29" customFormat="1" ht="23.95" customHeight="1" x14ac:dyDescent="0.3">
      <c r="A405" s="31"/>
      <c r="B405" s="24">
        <v>392</v>
      </c>
      <c r="C405" s="24" t="s">
        <v>482</v>
      </c>
      <c r="D405" s="24" t="s">
        <v>48</v>
      </c>
      <c r="E405" s="24" t="s">
        <v>9</v>
      </c>
      <c r="F405" s="24">
        <v>8715</v>
      </c>
      <c r="G405" s="25">
        <v>41624</v>
      </c>
      <c r="H405" s="25">
        <v>43085</v>
      </c>
      <c r="I405" s="24" t="s">
        <v>16</v>
      </c>
      <c r="J405" s="24" t="s">
        <v>38</v>
      </c>
      <c r="K405" s="24" t="str">
        <f>IF(certifications[[#This Row],[ISSUE DATE]]="", "", TEXT(certifications[[#This Row],[ISSUE DATE]], "MMM"))</f>
        <v>Dec</v>
      </c>
      <c r="L405" s="35" t="str">
        <f>IF(certifications[[#This Row],[ISSUE DATE]]="", "", TEXT(certifications[[#This Row],[ISSUE DATE]], "YYYY"))</f>
        <v>2013</v>
      </c>
    </row>
    <row r="406" spans="1:12" s="29" customFormat="1" ht="23.95" customHeight="1" x14ac:dyDescent="0.3">
      <c r="A406" s="31"/>
      <c r="B406" s="24">
        <v>393</v>
      </c>
      <c r="C406" s="24" t="s">
        <v>483</v>
      </c>
      <c r="D406" s="24" t="s">
        <v>13</v>
      </c>
      <c r="E406" s="24" t="s">
        <v>9</v>
      </c>
      <c r="F406" s="24">
        <v>8981</v>
      </c>
      <c r="G406" s="25">
        <v>41852</v>
      </c>
      <c r="H406" s="25">
        <v>43313</v>
      </c>
      <c r="I406" s="24" t="s">
        <v>16</v>
      </c>
      <c r="J406" s="24" t="s">
        <v>14</v>
      </c>
      <c r="K406" s="24" t="str">
        <f>IF(certifications[[#This Row],[ISSUE DATE]]="", "", TEXT(certifications[[#This Row],[ISSUE DATE]], "MMM"))</f>
        <v>Aug</v>
      </c>
      <c r="L406" s="35" t="str">
        <f>IF(certifications[[#This Row],[ISSUE DATE]]="", "", TEXT(certifications[[#This Row],[ISSUE DATE]], "YYYY"))</f>
        <v>2014</v>
      </c>
    </row>
    <row r="407" spans="1:12" s="29" customFormat="1" ht="23.95" customHeight="1" x14ac:dyDescent="0.3">
      <c r="A407" s="31"/>
      <c r="B407" s="24">
        <v>394</v>
      </c>
      <c r="C407" s="24" t="s">
        <v>484</v>
      </c>
      <c r="D407" s="24" t="s">
        <v>252</v>
      </c>
      <c r="E407" s="24" t="s">
        <v>9</v>
      </c>
      <c r="F407" s="24">
        <v>8280</v>
      </c>
      <c r="G407" s="25">
        <v>41255</v>
      </c>
      <c r="H407" s="25">
        <v>41985</v>
      </c>
      <c r="I407" s="24" t="s">
        <v>16</v>
      </c>
      <c r="J407" s="24" t="s">
        <v>38</v>
      </c>
      <c r="K407" s="24" t="str">
        <f>IF(certifications[[#This Row],[ISSUE DATE]]="", "", TEXT(certifications[[#This Row],[ISSUE DATE]], "MMM"))</f>
        <v>Dec</v>
      </c>
      <c r="L407" s="35" t="str">
        <f>IF(certifications[[#This Row],[ISSUE DATE]]="", "", TEXT(certifications[[#This Row],[ISSUE DATE]], "YYYY"))</f>
        <v>2012</v>
      </c>
    </row>
    <row r="408" spans="1:12" s="29" customFormat="1" ht="23.95" customHeight="1" x14ac:dyDescent="0.3">
      <c r="A408" s="31"/>
      <c r="B408" s="24">
        <v>395</v>
      </c>
      <c r="C408" s="24" t="s">
        <v>485</v>
      </c>
      <c r="D408" s="24" t="s">
        <v>13</v>
      </c>
      <c r="E408" s="24" t="s">
        <v>9</v>
      </c>
      <c r="F408" s="24">
        <v>8861</v>
      </c>
      <c r="G408" s="25">
        <v>43404</v>
      </c>
      <c r="H408" s="25">
        <v>44135</v>
      </c>
      <c r="I408" s="24" t="s">
        <v>16</v>
      </c>
      <c r="J408" s="24" t="s">
        <v>14</v>
      </c>
      <c r="K408" s="24" t="str">
        <f>IF(certifications[[#This Row],[ISSUE DATE]]="", "", TEXT(certifications[[#This Row],[ISSUE DATE]], "MMM"))</f>
        <v>Oct</v>
      </c>
      <c r="L408" s="35" t="str">
        <f>IF(certifications[[#This Row],[ISSUE DATE]]="", "", TEXT(certifications[[#This Row],[ISSUE DATE]], "YYYY"))</f>
        <v>2018</v>
      </c>
    </row>
    <row r="409" spans="1:12" s="29" customFormat="1" ht="23.95" customHeight="1" x14ac:dyDescent="0.3">
      <c r="A409" s="31"/>
      <c r="B409" s="24">
        <v>396</v>
      </c>
      <c r="C409" s="24" t="s">
        <v>486</v>
      </c>
      <c r="D409" s="24" t="s">
        <v>153</v>
      </c>
      <c r="E409" s="24" t="s">
        <v>9</v>
      </c>
      <c r="F409" s="24">
        <v>9350</v>
      </c>
      <c r="G409" s="25">
        <v>42258</v>
      </c>
      <c r="H409" s="25">
        <v>42989</v>
      </c>
      <c r="I409" s="24" t="s">
        <v>16</v>
      </c>
      <c r="J409" s="24" t="s">
        <v>22</v>
      </c>
      <c r="K409" s="24" t="str">
        <f>IF(certifications[[#This Row],[ISSUE DATE]]="", "", TEXT(certifications[[#This Row],[ISSUE DATE]], "MMM"))</f>
        <v>Sep</v>
      </c>
      <c r="L409" s="35" t="str">
        <f>IF(certifications[[#This Row],[ISSUE DATE]]="", "", TEXT(certifications[[#This Row],[ISSUE DATE]], "YYYY"))</f>
        <v>2015</v>
      </c>
    </row>
    <row r="410" spans="1:12" s="29" customFormat="1" ht="23.95" customHeight="1" x14ac:dyDescent="0.3">
      <c r="A410" s="31"/>
      <c r="B410" s="24">
        <v>397</v>
      </c>
      <c r="C410" s="24" t="s">
        <v>487</v>
      </c>
      <c r="D410" s="24" t="s">
        <v>32</v>
      </c>
      <c r="E410" s="24" t="s">
        <v>9</v>
      </c>
      <c r="F410" s="24">
        <v>12002</v>
      </c>
      <c r="G410" s="25">
        <v>43313</v>
      </c>
      <c r="H410" s="25">
        <v>45505</v>
      </c>
      <c r="I410" s="24" t="s">
        <v>82</v>
      </c>
      <c r="J410" s="24" t="s">
        <v>33</v>
      </c>
      <c r="K410" s="24" t="str">
        <f>IF(certifications[[#This Row],[ISSUE DATE]]="", "", TEXT(certifications[[#This Row],[ISSUE DATE]], "MMM"))</f>
        <v>Aug</v>
      </c>
      <c r="L410" s="35" t="str">
        <f>IF(certifications[[#This Row],[ISSUE DATE]]="", "", TEXT(certifications[[#This Row],[ISSUE DATE]], "YYYY"))</f>
        <v>2018</v>
      </c>
    </row>
    <row r="411" spans="1:12" s="29" customFormat="1" ht="23.95" customHeight="1" x14ac:dyDescent="0.3">
      <c r="A411" s="31"/>
      <c r="B411" s="24">
        <v>398</v>
      </c>
      <c r="C411" s="24" t="s">
        <v>488</v>
      </c>
      <c r="D411" s="24" t="s">
        <v>61</v>
      </c>
      <c r="E411" s="24" t="s">
        <v>9</v>
      </c>
      <c r="F411" s="24">
        <v>21014</v>
      </c>
      <c r="G411" s="25">
        <v>45581</v>
      </c>
      <c r="H411" s="25">
        <v>46311</v>
      </c>
      <c r="I411" s="24" t="s">
        <v>10</v>
      </c>
      <c r="J411" s="24" t="s">
        <v>19</v>
      </c>
      <c r="K411" s="24" t="str">
        <f>IF(certifications[[#This Row],[ISSUE DATE]]="", "", TEXT(certifications[[#This Row],[ISSUE DATE]], "MMM"))</f>
        <v>Oct</v>
      </c>
      <c r="L411" s="35" t="str">
        <f>IF(certifications[[#This Row],[ISSUE DATE]]="", "", TEXT(certifications[[#This Row],[ISSUE DATE]], "YYYY"))</f>
        <v>2024</v>
      </c>
    </row>
    <row r="412" spans="1:12" s="29" customFormat="1" ht="23.95" customHeight="1" x14ac:dyDescent="0.3">
      <c r="A412" s="31"/>
      <c r="B412" s="24">
        <v>399</v>
      </c>
      <c r="C412" s="24" t="s">
        <v>489</v>
      </c>
      <c r="D412" s="24" t="s">
        <v>32</v>
      </c>
      <c r="E412" s="24" t="s">
        <v>9</v>
      </c>
      <c r="F412" s="24">
        <v>9982</v>
      </c>
      <c r="G412" s="25">
        <v>42746</v>
      </c>
      <c r="H412" s="25">
        <v>44207</v>
      </c>
      <c r="I412" s="24" t="s">
        <v>16</v>
      </c>
      <c r="J412" s="24" t="s">
        <v>33</v>
      </c>
      <c r="K412" s="24" t="str">
        <f>IF(certifications[[#This Row],[ISSUE DATE]]="", "", TEXT(certifications[[#This Row],[ISSUE DATE]], "MMM"))</f>
        <v>Jan</v>
      </c>
      <c r="L412" s="35" t="str">
        <f>IF(certifications[[#This Row],[ISSUE DATE]]="", "", TEXT(certifications[[#This Row],[ISSUE DATE]], "YYYY"))</f>
        <v>2017</v>
      </c>
    </row>
    <row r="413" spans="1:12" s="29" customFormat="1" ht="23.95" customHeight="1" x14ac:dyDescent="0.3">
      <c r="A413" s="31"/>
      <c r="B413" s="24">
        <v>400</v>
      </c>
      <c r="C413" s="24" t="s">
        <v>490</v>
      </c>
      <c r="D413" s="24" t="s">
        <v>32</v>
      </c>
      <c r="E413" s="24" t="s">
        <v>9</v>
      </c>
      <c r="F413" s="24">
        <v>11347</v>
      </c>
      <c r="G413" s="25">
        <v>43227</v>
      </c>
      <c r="H413" s="25">
        <v>43958</v>
      </c>
      <c r="I413" s="24" t="s">
        <v>16</v>
      </c>
      <c r="J413" s="24" t="s">
        <v>33</v>
      </c>
      <c r="K413" s="24" t="str">
        <f>IF(certifications[[#This Row],[ISSUE DATE]]="", "", TEXT(certifications[[#This Row],[ISSUE DATE]], "MMM"))</f>
        <v>May</v>
      </c>
      <c r="L413" s="35" t="str">
        <f>IF(certifications[[#This Row],[ISSUE DATE]]="", "", TEXT(certifications[[#This Row],[ISSUE DATE]], "YYYY"))</f>
        <v>2018</v>
      </c>
    </row>
    <row r="414" spans="1:12" s="29" customFormat="1" ht="23.95" customHeight="1" x14ac:dyDescent="0.3">
      <c r="A414" s="31"/>
      <c r="B414" s="24">
        <v>401</v>
      </c>
      <c r="C414" s="24" t="s">
        <v>491</v>
      </c>
      <c r="D414" s="24" t="s">
        <v>32</v>
      </c>
      <c r="E414" s="24" t="s">
        <v>9</v>
      </c>
      <c r="F414" s="24">
        <v>18938</v>
      </c>
      <c r="G414" s="25">
        <v>45135</v>
      </c>
      <c r="H414" s="25">
        <v>45866</v>
      </c>
      <c r="I414" s="24" t="s">
        <v>10</v>
      </c>
      <c r="J414" s="24" t="s">
        <v>33</v>
      </c>
      <c r="K414" s="24" t="str">
        <f>IF(certifications[[#This Row],[ISSUE DATE]]="", "", TEXT(certifications[[#This Row],[ISSUE DATE]], "MMM"))</f>
        <v>Jul</v>
      </c>
      <c r="L414" s="35" t="str">
        <f>IF(certifications[[#This Row],[ISSUE DATE]]="", "", TEXT(certifications[[#This Row],[ISSUE DATE]], "YYYY"))</f>
        <v>2023</v>
      </c>
    </row>
    <row r="415" spans="1:12" s="29" customFormat="1" ht="23.95" customHeight="1" x14ac:dyDescent="0.3">
      <c r="A415" s="31"/>
      <c r="B415" s="24">
        <v>402</v>
      </c>
      <c r="C415" s="24" t="s">
        <v>492</v>
      </c>
      <c r="D415" s="24" t="s">
        <v>155</v>
      </c>
      <c r="E415" s="24" t="s">
        <v>9</v>
      </c>
      <c r="F415" s="24">
        <v>10588</v>
      </c>
      <c r="G415" s="25">
        <v>43081</v>
      </c>
      <c r="H415" s="25">
        <v>46003</v>
      </c>
      <c r="I415" s="24" t="s">
        <v>10</v>
      </c>
      <c r="J415" s="24" t="s">
        <v>11</v>
      </c>
      <c r="K415" s="24" t="str">
        <f>IF(certifications[[#This Row],[ISSUE DATE]]="", "", TEXT(certifications[[#This Row],[ISSUE DATE]], "MMM"))</f>
        <v>Dec</v>
      </c>
      <c r="L415" s="35" t="str">
        <f>IF(certifications[[#This Row],[ISSUE DATE]]="", "", TEXT(certifications[[#This Row],[ISSUE DATE]], "YYYY"))</f>
        <v>2017</v>
      </c>
    </row>
    <row r="416" spans="1:12" s="29" customFormat="1" ht="23.95" customHeight="1" x14ac:dyDescent="0.3">
      <c r="A416" s="31"/>
      <c r="B416" s="24">
        <v>403</v>
      </c>
      <c r="C416" s="24" t="s">
        <v>493</v>
      </c>
      <c r="D416" s="24" t="s">
        <v>61</v>
      </c>
      <c r="E416" s="24" t="s">
        <v>9</v>
      </c>
      <c r="F416" s="24">
        <v>9656</v>
      </c>
      <c r="G416" s="25">
        <v>42537</v>
      </c>
      <c r="H416" s="25">
        <v>43998</v>
      </c>
      <c r="I416" s="24" t="s">
        <v>16</v>
      </c>
      <c r="J416" s="24" t="s">
        <v>19</v>
      </c>
      <c r="K416" s="24" t="str">
        <f>IF(certifications[[#This Row],[ISSUE DATE]]="", "", TEXT(certifications[[#This Row],[ISSUE DATE]], "MMM"))</f>
        <v>Jun</v>
      </c>
      <c r="L416" s="35" t="str">
        <f>IF(certifications[[#This Row],[ISSUE DATE]]="", "", TEXT(certifications[[#This Row],[ISSUE DATE]], "YYYY"))</f>
        <v>2016</v>
      </c>
    </row>
    <row r="417" spans="1:12" s="29" customFormat="1" ht="23.95" customHeight="1" x14ac:dyDescent="0.3">
      <c r="A417" s="31"/>
      <c r="B417" s="24">
        <v>404</v>
      </c>
      <c r="C417" s="24" t="s">
        <v>494</v>
      </c>
      <c r="D417" s="24" t="s">
        <v>46</v>
      </c>
      <c r="E417" s="24" t="s">
        <v>9</v>
      </c>
      <c r="F417" s="24">
        <v>11702</v>
      </c>
      <c r="G417" s="25">
        <v>43272</v>
      </c>
      <c r="H417" s="25">
        <v>44733</v>
      </c>
      <c r="I417" s="24" t="s">
        <v>16</v>
      </c>
      <c r="J417" s="24" t="s">
        <v>38</v>
      </c>
      <c r="K417" s="24" t="str">
        <f>IF(certifications[[#This Row],[ISSUE DATE]]="", "", TEXT(certifications[[#This Row],[ISSUE DATE]], "MMM"))</f>
        <v>Jun</v>
      </c>
      <c r="L417" s="35" t="str">
        <f>IF(certifications[[#This Row],[ISSUE DATE]]="", "", TEXT(certifications[[#This Row],[ISSUE DATE]], "YYYY"))</f>
        <v>2018</v>
      </c>
    </row>
    <row r="418" spans="1:12" s="29" customFormat="1" ht="23.95" customHeight="1" x14ac:dyDescent="0.3">
      <c r="A418" s="31"/>
      <c r="B418" s="24">
        <v>405</v>
      </c>
      <c r="C418" s="24" t="s">
        <v>494</v>
      </c>
      <c r="D418" s="24" t="s">
        <v>46</v>
      </c>
      <c r="E418" s="24" t="s">
        <v>26</v>
      </c>
      <c r="F418" s="24">
        <v>11702</v>
      </c>
      <c r="G418" s="25">
        <v>44119</v>
      </c>
      <c r="H418" s="25">
        <v>44849</v>
      </c>
      <c r="I418" s="24" t="s">
        <v>16</v>
      </c>
      <c r="J418" s="24" t="s">
        <v>38</v>
      </c>
      <c r="K418" s="24" t="str">
        <f>IF(certifications[[#This Row],[ISSUE DATE]]="", "", TEXT(certifications[[#This Row],[ISSUE DATE]], "MMM"))</f>
        <v>Oct</v>
      </c>
      <c r="L418" s="35" t="str">
        <f>IF(certifications[[#This Row],[ISSUE DATE]]="", "", TEXT(certifications[[#This Row],[ISSUE DATE]], "YYYY"))</f>
        <v>2020</v>
      </c>
    </row>
    <row r="419" spans="1:12" s="29" customFormat="1" ht="23.95" customHeight="1" x14ac:dyDescent="0.3">
      <c r="A419" s="31"/>
      <c r="B419" s="24">
        <v>406</v>
      </c>
      <c r="C419" s="24" t="s">
        <v>495</v>
      </c>
      <c r="D419" s="24" t="s">
        <v>109</v>
      </c>
      <c r="E419" s="24" t="s">
        <v>9</v>
      </c>
      <c r="F419" s="24">
        <v>14939</v>
      </c>
      <c r="G419" s="25">
        <v>43818</v>
      </c>
      <c r="H419" s="25">
        <v>44549</v>
      </c>
      <c r="I419" s="24" t="s">
        <v>16</v>
      </c>
      <c r="J419" s="24" t="s">
        <v>38</v>
      </c>
      <c r="K419" s="24" t="str">
        <f>IF(certifications[[#This Row],[ISSUE DATE]]="", "", TEXT(certifications[[#This Row],[ISSUE DATE]], "MMM"))</f>
        <v>Dec</v>
      </c>
      <c r="L419" s="35" t="str">
        <f>IF(certifications[[#This Row],[ISSUE DATE]]="", "", TEXT(certifications[[#This Row],[ISSUE DATE]], "YYYY"))</f>
        <v>2019</v>
      </c>
    </row>
    <row r="420" spans="1:12" s="29" customFormat="1" ht="23.95" customHeight="1" x14ac:dyDescent="0.3">
      <c r="A420" s="31"/>
      <c r="B420" s="24">
        <v>407</v>
      </c>
      <c r="C420" s="24" t="s">
        <v>496</v>
      </c>
      <c r="D420" s="24" t="s">
        <v>18</v>
      </c>
      <c r="E420" s="24" t="s">
        <v>9</v>
      </c>
      <c r="F420" s="24">
        <v>12716</v>
      </c>
      <c r="G420" s="25">
        <v>43479</v>
      </c>
      <c r="H420" s="25">
        <v>45671</v>
      </c>
      <c r="I420" s="24" t="s">
        <v>82</v>
      </c>
      <c r="J420" s="24" t="s">
        <v>19</v>
      </c>
      <c r="K420" s="24" t="str">
        <f>IF(certifications[[#This Row],[ISSUE DATE]]="", "", TEXT(certifications[[#This Row],[ISSUE DATE]], "MMM"))</f>
        <v>Jan</v>
      </c>
      <c r="L420" s="35" t="str">
        <f>IF(certifications[[#This Row],[ISSUE DATE]]="", "", TEXT(certifications[[#This Row],[ISSUE DATE]], "YYYY"))</f>
        <v>2019</v>
      </c>
    </row>
    <row r="421" spans="1:12" s="29" customFormat="1" ht="23.95" customHeight="1" x14ac:dyDescent="0.3">
      <c r="A421" s="31"/>
      <c r="B421" s="24">
        <v>408</v>
      </c>
      <c r="C421" s="24" t="s">
        <v>497</v>
      </c>
      <c r="D421" s="24" t="s">
        <v>35</v>
      </c>
      <c r="E421" s="24" t="s">
        <v>9</v>
      </c>
      <c r="F421" s="24">
        <v>12357</v>
      </c>
      <c r="G421" s="25">
        <v>43369</v>
      </c>
      <c r="H421" s="25">
        <v>44830</v>
      </c>
      <c r="I421" s="24" t="s">
        <v>16</v>
      </c>
      <c r="J421" s="24" t="s">
        <v>22</v>
      </c>
      <c r="K421" s="24" t="str">
        <f>IF(certifications[[#This Row],[ISSUE DATE]]="", "", TEXT(certifications[[#This Row],[ISSUE DATE]], "MMM"))</f>
        <v>Sep</v>
      </c>
      <c r="L421" s="35" t="str">
        <f>IF(certifications[[#This Row],[ISSUE DATE]]="", "", TEXT(certifications[[#This Row],[ISSUE DATE]], "YYYY"))</f>
        <v>2018</v>
      </c>
    </row>
    <row r="422" spans="1:12" s="29" customFormat="1" ht="23.95" customHeight="1" x14ac:dyDescent="0.3">
      <c r="A422" s="31"/>
      <c r="B422" s="24">
        <v>409</v>
      </c>
      <c r="C422" s="24" t="s">
        <v>498</v>
      </c>
      <c r="D422" s="24" t="s">
        <v>57</v>
      </c>
      <c r="E422" s="24" t="s">
        <v>9</v>
      </c>
      <c r="F422" s="24">
        <v>17940</v>
      </c>
      <c r="G422" s="25">
        <v>44875</v>
      </c>
      <c r="H422" s="25">
        <v>46336</v>
      </c>
      <c r="I422" s="24" t="s">
        <v>10</v>
      </c>
      <c r="J422" s="24" t="s">
        <v>38</v>
      </c>
      <c r="K422" s="24" t="str">
        <f>IF(certifications[[#This Row],[ISSUE DATE]]="", "", TEXT(certifications[[#This Row],[ISSUE DATE]], "MMM"))</f>
        <v>Nov</v>
      </c>
      <c r="L422" s="35" t="str">
        <f>IF(certifications[[#This Row],[ISSUE DATE]]="", "", TEXT(certifications[[#This Row],[ISSUE DATE]], "YYYY"))</f>
        <v>2022</v>
      </c>
    </row>
    <row r="423" spans="1:12" s="29" customFormat="1" ht="23.95" customHeight="1" x14ac:dyDescent="0.3">
      <c r="A423" s="31"/>
      <c r="B423" s="24">
        <v>410</v>
      </c>
      <c r="C423" s="24" t="s">
        <v>499</v>
      </c>
      <c r="D423" s="24" t="s">
        <v>500</v>
      </c>
      <c r="E423" s="24" t="s">
        <v>9</v>
      </c>
      <c r="F423" s="24">
        <v>10649</v>
      </c>
      <c r="G423" s="25">
        <v>43118</v>
      </c>
      <c r="H423" s="25">
        <v>45309</v>
      </c>
      <c r="I423" s="24" t="s">
        <v>16</v>
      </c>
      <c r="J423" s="24" t="s">
        <v>30</v>
      </c>
      <c r="K423" s="24" t="str">
        <f>IF(certifications[[#This Row],[ISSUE DATE]]="", "", TEXT(certifications[[#This Row],[ISSUE DATE]], "MMM"))</f>
        <v>Jan</v>
      </c>
      <c r="L423" s="35" t="str">
        <f>IF(certifications[[#This Row],[ISSUE DATE]]="", "", TEXT(certifications[[#This Row],[ISSUE DATE]], "YYYY"))</f>
        <v>2018</v>
      </c>
    </row>
    <row r="424" spans="1:12" s="29" customFormat="1" ht="23.95" customHeight="1" x14ac:dyDescent="0.3">
      <c r="A424" s="31"/>
      <c r="B424" s="24">
        <v>411</v>
      </c>
      <c r="C424" s="24" t="s">
        <v>501</v>
      </c>
      <c r="D424" s="24" t="s">
        <v>13</v>
      </c>
      <c r="E424" s="24" t="s">
        <v>9</v>
      </c>
      <c r="F424" s="24">
        <v>10708</v>
      </c>
      <c r="G424" s="25">
        <v>43154</v>
      </c>
      <c r="H424" s="25">
        <v>43884</v>
      </c>
      <c r="I424" s="24" t="s">
        <v>16</v>
      </c>
      <c r="J424" s="24" t="s">
        <v>14</v>
      </c>
      <c r="K424" s="24" t="str">
        <f>IF(certifications[[#This Row],[ISSUE DATE]]="", "", TEXT(certifications[[#This Row],[ISSUE DATE]], "MMM"))</f>
        <v>Feb</v>
      </c>
      <c r="L424" s="35" t="str">
        <f>IF(certifications[[#This Row],[ISSUE DATE]]="", "", TEXT(certifications[[#This Row],[ISSUE DATE]], "YYYY"))</f>
        <v>2018</v>
      </c>
    </row>
    <row r="425" spans="1:12" s="29" customFormat="1" ht="23.95" customHeight="1" x14ac:dyDescent="0.3">
      <c r="A425" s="31"/>
      <c r="B425" s="24">
        <v>412</v>
      </c>
      <c r="C425" s="24" t="s">
        <v>502</v>
      </c>
      <c r="D425" s="24" t="s">
        <v>18</v>
      </c>
      <c r="E425" s="24" t="s">
        <v>9</v>
      </c>
      <c r="F425" s="24">
        <v>12777</v>
      </c>
      <c r="G425" s="25">
        <v>43490</v>
      </c>
      <c r="H425" s="25">
        <v>44221</v>
      </c>
      <c r="I425" s="24" t="s">
        <v>16</v>
      </c>
      <c r="J425" s="24" t="s">
        <v>19</v>
      </c>
      <c r="K425" s="24" t="str">
        <f>IF(certifications[[#This Row],[ISSUE DATE]]="", "", TEXT(certifications[[#This Row],[ISSUE DATE]], "MMM"))</f>
        <v>Jan</v>
      </c>
      <c r="L425" s="35" t="str">
        <f>IF(certifications[[#This Row],[ISSUE DATE]]="", "", TEXT(certifications[[#This Row],[ISSUE DATE]], "YYYY"))</f>
        <v>2019</v>
      </c>
    </row>
    <row r="426" spans="1:12" s="29" customFormat="1" ht="23.95" customHeight="1" x14ac:dyDescent="0.3">
      <c r="A426" s="31"/>
      <c r="B426" s="24">
        <v>413</v>
      </c>
      <c r="C426" s="24" t="s">
        <v>503</v>
      </c>
      <c r="D426" s="24" t="s">
        <v>504</v>
      </c>
      <c r="E426" s="24" t="s">
        <v>9</v>
      </c>
      <c r="F426" s="24">
        <v>15709</v>
      </c>
      <c r="G426" s="25">
        <v>44172</v>
      </c>
      <c r="H426" s="25">
        <v>44902</v>
      </c>
      <c r="I426" s="24" t="s">
        <v>16</v>
      </c>
      <c r="J426" s="24" t="s">
        <v>38</v>
      </c>
      <c r="K426" s="24" t="str">
        <f>IF(certifications[[#This Row],[ISSUE DATE]]="", "", TEXT(certifications[[#This Row],[ISSUE DATE]], "MMM"))</f>
        <v>Dec</v>
      </c>
      <c r="L426" s="35" t="str">
        <f>IF(certifications[[#This Row],[ISSUE DATE]]="", "", TEXT(certifications[[#This Row],[ISSUE DATE]], "YYYY"))</f>
        <v>2020</v>
      </c>
    </row>
    <row r="427" spans="1:12" s="29" customFormat="1" ht="23.95" customHeight="1" x14ac:dyDescent="0.3">
      <c r="A427" s="31"/>
      <c r="B427" s="24">
        <v>414</v>
      </c>
      <c r="C427" s="24" t="s">
        <v>505</v>
      </c>
      <c r="D427" s="24" t="s">
        <v>46</v>
      </c>
      <c r="E427" s="24" t="s">
        <v>9</v>
      </c>
      <c r="F427" s="24">
        <v>17011</v>
      </c>
      <c r="G427" s="25">
        <v>44531</v>
      </c>
      <c r="H427" s="25">
        <v>45261</v>
      </c>
      <c r="I427" s="24" t="s">
        <v>16</v>
      </c>
      <c r="J427" s="24" t="s">
        <v>38</v>
      </c>
      <c r="K427" s="24" t="str">
        <f>IF(certifications[[#This Row],[ISSUE DATE]]="", "", TEXT(certifications[[#This Row],[ISSUE DATE]], "MMM"))</f>
        <v>Dec</v>
      </c>
      <c r="L427" s="35" t="str">
        <f>IF(certifications[[#This Row],[ISSUE DATE]]="", "", TEXT(certifications[[#This Row],[ISSUE DATE]], "YYYY"))</f>
        <v>2021</v>
      </c>
    </row>
    <row r="428" spans="1:12" s="29" customFormat="1" ht="23.95" customHeight="1" x14ac:dyDescent="0.3">
      <c r="A428" s="31"/>
      <c r="B428" s="24">
        <v>415</v>
      </c>
      <c r="C428" s="24" t="s">
        <v>506</v>
      </c>
      <c r="D428" s="24" t="s">
        <v>215</v>
      </c>
      <c r="E428" s="24" t="s">
        <v>9</v>
      </c>
      <c r="F428" s="24">
        <v>21388</v>
      </c>
      <c r="G428" s="25">
        <v>45679</v>
      </c>
      <c r="H428" s="25">
        <v>46409</v>
      </c>
      <c r="I428" s="24" t="s">
        <v>10</v>
      </c>
      <c r="J428" s="24" t="s">
        <v>14</v>
      </c>
      <c r="K428" s="24" t="str">
        <f>IF(certifications[[#This Row],[ISSUE DATE]]="", "", TEXT(certifications[[#This Row],[ISSUE DATE]], "MMM"))</f>
        <v>Jan</v>
      </c>
      <c r="L428" s="35" t="str">
        <f>IF(certifications[[#This Row],[ISSUE DATE]]="", "", TEXT(certifications[[#This Row],[ISSUE DATE]], "YYYY"))</f>
        <v>2025</v>
      </c>
    </row>
    <row r="429" spans="1:12" s="29" customFormat="1" ht="23.95" customHeight="1" x14ac:dyDescent="0.3">
      <c r="A429" s="31"/>
      <c r="B429" s="24">
        <v>416</v>
      </c>
      <c r="C429" s="24" t="s">
        <v>507</v>
      </c>
      <c r="D429" s="24" t="s">
        <v>508</v>
      </c>
      <c r="E429" s="24" t="s">
        <v>9</v>
      </c>
      <c r="F429" s="24">
        <v>13724</v>
      </c>
      <c r="G429" s="25">
        <v>43640</v>
      </c>
      <c r="H429" s="25">
        <v>44371</v>
      </c>
      <c r="I429" s="24" t="s">
        <v>16</v>
      </c>
      <c r="J429" s="24" t="s">
        <v>19</v>
      </c>
      <c r="K429" s="24" t="str">
        <f>IF(certifications[[#This Row],[ISSUE DATE]]="", "", TEXT(certifications[[#This Row],[ISSUE DATE]], "MMM"))</f>
        <v>Jun</v>
      </c>
      <c r="L429" s="35" t="str">
        <f>IF(certifications[[#This Row],[ISSUE DATE]]="", "", TEXT(certifications[[#This Row],[ISSUE DATE]], "YYYY"))</f>
        <v>2019</v>
      </c>
    </row>
    <row r="430" spans="1:12" s="29" customFormat="1" ht="23.95" customHeight="1" x14ac:dyDescent="0.3">
      <c r="A430" s="31"/>
      <c r="B430" s="24">
        <v>417</v>
      </c>
      <c r="C430" s="24" t="s">
        <v>509</v>
      </c>
      <c r="D430" s="24" t="s">
        <v>13</v>
      </c>
      <c r="E430" s="24" t="s">
        <v>9</v>
      </c>
      <c r="F430" s="24">
        <v>21638</v>
      </c>
      <c r="G430" s="25">
        <v>45718</v>
      </c>
      <c r="H430" s="25">
        <v>46448</v>
      </c>
      <c r="I430" s="24" t="s">
        <v>10</v>
      </c>
      <c r="J430" s="24" t="s">
        <v>14</v>
      </c>
      <c r="K430" s="24" t="str">
        <f>IF(certifications[[#This Row],[ISSUE DATE]]="", "", TEXT(certifications[[#This Row],[ISSUE DATE]], "MMM"))</f>
        <v>Mar</v>
      </c>
      <c r="L430" s="35" t="str">
        <f>IF(certifications[[#This Row],[ISSUE DATE]]="", "", TEXT(certifications[[#This Row],[ISSUE DATE]], "YYYY"))</f>
        <v>2025</v>
      </c>
    </row>
    <row r="431" spans="1:12" s="29" customFormat="1" ht="23.95" customHeight="1" x14ac:dyDescent="0.3">
      <c r="A431" s="31"/>
      <c r="B431" s="24">
        <v>418</v>
      </c>
      <c r="C431" s="24" t="s">
        <v>510</v>
      </c>
      <c r="D431" s="24" t="s">
        <v>398</v>
      </c>
      <c r="E431" s="24" t="s">
        <v>9</v>
      </c>
      <c r="F431" s="24">
        <v>9976</v>
      </c>
      <c r="G431" s="25">
        <v>42746</v>
      </c>
      <c r="H431" s="25">
        <v>43476</v>
      </c>
      <c r="I431" s="24" t="s">
        <v>16</v>
      </c>
      <c r="J431" s="24" t="s">
        <v>38</v>
      </c>
      <c r="K431" s="24" t="str">
        <f>IF(certifications[[#This Row],[ISSUE DATE]]="", "", TEXT(certifications[[#This Row],[ISSUE DATE]], "MMM"))</f>
        <v>Jan</v>
      </c>
      <c r="L431" s="35" t="str">
        <f>IF(certifications[[#This Row],[ISSUE DATE]]="", "", TEXT(certifications[[#This Row],[ISSUE DATE]], "YYYY"))</f>
        <v>2017</v>
      </c>
    </row>
    <row r="432" spans="1:12" s="29" customFormat="1" ht="23.95" customHeight="1" x14ac:dyDescent="0.3">
      <c r="A432" s="31"/>
      <c r="B432" s="24">
        <v>419</v>
      </c>
      <c r="C432" s="24" t="s">
        <v>511</v>
      </c>
      <c r="D432" s="24" t="s">
        <v>249</v>
      </c>
      <c r="E432" s="24" t="s">
        <v>9</v>
      </c>
      <c r="F432" s="24">
        <v>9343</v>
      </c>
      <c r="G432" s="25">
        <v>42258</v>
      </c>
      <c r="H432" s="25">
        <v>44450</v>
      </c>
      <c r="I432" s="24" t="s">
        <v>16</v>
      </c>
      <c r="J432" s="24" t="s">
        <v>30</v>
      </c>
      <c r="K432" s="24" t="str">
        <f>IF(certifications[[#This Row],[ISSUE DATE]]="", "", TEXT(certifications[[#This Row],[ISSUE DATE]], "MMM"))</f>
        <v>Sep</v>
      </c>
      <c r="L432" s="35" t="str">
        <f>IF(certifications[[#This Row],[ISSUE DATE]]="", "", TEXT(certifications[[#This Row],[ISSUE DATE]], "YYYY"))</f>
        <v>2015</v>
      </c>
    </row>
    <row r="433" spans="1:12" s="29" customFormat="1" ht="23.95" customHeight="1" x14ac:dyDescent="0.3">
      <c r="A433" s="31"/>
      <c r="B433" s="24">
        <v>420</v>
      </c>
      <c r="C433" s="24" t="s">
        <v>512</v>
      </c>
      <c r="D433" s="24" t="s">
        <v>80</v>
      </c>
      <c r="E433" s="24" t="s">
        <v>9</v>
      </c>
      <c r="F433" s="24">
        <v>9168</v>
      </c>
      <c r="G433" s="25">
        <v>42132</v>
      </c>
      <c r="H433" s="25">
        <v>42863</v>
      </c>
      <c r="I433" s="24" t="s">
        <v>16</v>
      </c>
      <c r="J433" s="24" t="s">
        <v>38</v>
      </c>
      <c r="K433" s="24" t="str">
        <f>IF(certifications[[#This Row],[ISSUE DATE]]="", "", TEXT(certifications[[#This Row],[ISSUE DATE]], "MMM"))</f>
        <v>May</v>
      </c>
      <c r="L433" s="35" t="str">
        <f>IF(certifications[[#This Row],[ISSUE DATE]]="", "", TEXT(certifications[[#This Row],[ISSUE DATE]], "YYYY"))</f>
        <v>2015</v>
      </c>
    </row>
    <row r="434" spans="1:12" s="29" customFormat="1" ht="23.95" customHeight="1" x14ac:dyDescent="0.3">
      <c r="A434" s="31"/>
      <c r="B434" s="24">
        <v>421</v>
      </c>
      <c r="C434" s="24" t="s">
        <v>513</v>
      </c>
      <c r="D434" s="24" t="s">
        <v>80</v>
      </c>
      <c r="E434" s="24" t="s">
        <v>9</v>
      </c>
      <c r="F434" s="24">
        <v>17888</v>
      </c>
      <c r="G434" s="25">
        <v>44837</v>
      </c>
      <c r="H434" s="25">
        <v>45568</v>
      </c>
      <c r="I434" s="24" t="s">
        <v>82</v>
      </c>
      <c r="J434" s="24" t="s">
        <v>38</v>
      </c>
      <c r="K434" s="24" t="str">
        <f>IF(certifications[[#This Row],[ISSUE DATE]]="", "", TEXT(certifications[[#This Row],[ISSUE DATE]], "MMM"))</f>
        <v>Oct</v>
      </c>
      <c r="L434" s="35" t="str">
        <f>IF(certifications[[#This Row],[ISSUE DATE]]="", "", TEXT(certifications[[#This Row],[ISSUE DATE]], "YYYY"))</f>
        <v>2022</v>
      </c>
    </row>
    <row r="435" spans="1:12" s="29" customFormat="1" ht="23.95" customHeight="1" x14ac:dyDescent="0.3">
      <c r="A435" s="31"/>
      <c r="B435" s="24">
        <v>422</v>
      </c>
      <c r="C435" s="3" t="s">
        <v>514</v>
      </c>
      <c r="D435" s="3" t="s">
        <v>515</v>
      </c>
      <c r="E435" s="3" t="s">
        <v>27</v>
      </c>
      <c r="F435" s="3">
        <v>21002</v>
      </c>
      <c r="G435" s="4">
        <v>45580</v>
      </c>
      <c r="H435" s="4">
        <v>46310</v>
      </c>
      <c r="I435" s="3" t="s">
        <v>10</v>
      </c>
      <c r="J435" s="3" t="s">
        <v>14</v>
      </c>
      <c r="K435" s="3" t="str">
        <f>IF(certifications[[#This Row],[ISSUE DATE]]="", "", TEXT(certifications[[#This Row],[ISSUE DATE]], "MMM"))</f>
        <v>Oct</v>
      </c>
      <c r="L435" s="36" t="str">
        <f>IF(certifications[[#This Row],[ISSUE DATE]]="", "", TEXT(certifications[[#This Row],[ISSUE DATE]], "YYYY"))</f>
        <v>2024</v>
      </c>
    </row>
    <row r="436" spans="1:12" s="29" customFormat="1" ht="23.95" customHeight="1" x14ac:dyDescent="0.3">
      <c r="A436" s="31"/>
      <c r="B436" s="24">
        <v>423</v>
      </c>
      <c r="C436" s="24" t="s">
        <v>516</v>
      </c>
      <c r="D436" s="24" t="s">
        <v>32</v>
      </c>
      <c r="E436" s="24" t="s">
        <v>9</v>
      </c>
      <c r="F436" s="24">
        <v>17885</v>
      </c>
      <c r="G436" s="25">
        <v>44837</v>
      </c>
      <c r="H436" s="25">
        <v>46298</v>
      </c>
      <c r="I436" s="24" t="s">
        <v>10</v>
      </c>
      <c r="J436" s="24" t="s">
        <v>33</v>
      </c>
      <c r="K436" s="24" t="str">
        <f>IF(certifications[[#This Row],[ISSUE DATE]]="", "", TEXT(certifications[[#This Row],[ISSUE DATE]], "MMM"))</f>
        <v>Oct</v>
      </c>
      <c r="L436" s="35" t="str">
        <f>IF(certifications[[#This Row],[ISSUE DATE]]="", "", TEXT(certifications[[#This Row],[ISSUE DATE]], "YYYY"))</f>
        <v>2022</v>
      </c>
    </row>
    <row r="437" spans="1:12" s="29" customFormat="1" ht="23.95" customHeight="1" x14ac:dyDescent="0.3">
      <c r="A437" s="31"/>
      <c r="B437" s="24">
        <v>424</v>
      </c>
      <c r="C437" s="24" t="s">
        <v>517</v>
      </c>
      <c r="D437" s="24" t="s">
        <v>78</v>
      </c>
      <c r="E437" s="24" t="s">
        <v>9</v>
      </c>
      <c r="F437" s="24">
        <v>18485</v>
      </c>
      <c r="G437" s="25">
        <v>45022</v>
      </c>
      <c r="H437" s="25">
        <v>45753</v>
      </c>
      <c r="I437" s="24" t="s">
        <v>82</v>
      </c>
      <c r="J437" s="24" t="s">
        <v>25</v>
      </c>
      <c r="K437" s="24" t="str">
        <f>IF(certifications[[#This Row],[ISSUE DATE]]="", "", TEXT(certifications[[#This Row],[ISSUE DATE]], "MMM"))</f>
        <v>Apr</v>
      </c>
      <c r="L437" s="35" t="str">
        <f>IF(certifications[[#This Row],[ISSUE DATE]]="", "", TEXT(certifications[[#This Row],[ISSUE DATE]], "YYYY"))</f>
        <v>2023</v>
      </c>
    </row>
    <row r="438" spans="1:12" s="29" customFormat="1" ht="23.95" customHeight="1" x14ac:dyDescent="0.3">
      <c r="A438" s="31"/>
      <c r="B438" s="24">
        <v>425</v>
      </c>
      <c r="C438" s="24" t="s">
        <v>517</v>
      </c>
      <c r="D438" s="24" t="s">
        <v>78</v>
      </c>
      <c r="E438" s="24" t="s">
        <v>26</v>
      </c>
      <c r="F438" s="24">
        <v>18485</v>
      </c>
      <c r="G438" s="25">
        <v>45033</v>
      </c>
      <c r="H438" s="25">
        <v>45764</v>
      </c>
      <c r="I438" s="24" t="s">
        <v>82</v>
      </c>
      <c r="J438" s="24" t="s">
        <v>25</v>
      </c>
      <c r="K438" s="24" t="str">
        <f>IF(certifications[[#This Row],[ISSUE DATE]]="", "", TEXT(certifications[[#This Row],[ISSUE DATE]], "MMM"))</f>
        <v>Apr</v>
      </c>
      <c r="L438" s="35" t="str">
        <f>IF(certifications[[#This Row],[ISSUE DATE]]="", "", TEXT(certifications[[#This Row],[ISSUE DATE]], "YYYY"))</f>
        <v>2023</v>
      </c>
    </row>
    <row r="439" spans="1:12" s="29" customFormat="1" ht="23.95" customHeight="1" x14ac:dyDescent="0.3">
      <c r="A439" s="31"/>
      <c r="B439" s="24">
        <v>426</v>
      </c>
      <c r="C439" s="24" t="s">
        <v>518</v>
      </c>
      <c r="D439" s="24" t="s">
        <v>46</v>
      </c>
      <c r="E439" s="24" t="s">
        <v>9</v>
      </c>
      <c r="F439" s="24">
        <v>10374</v>
      </c>
      <c r="G439" s="25">
        <v>42986</v>
      </c>
      <c r="H439" s="25">
        <v>44447</v>
      </c>
      <c r="I439" s="24" t="s">
        <v>16</v>
      </c>
      <c r="J439" s="24" t="s">
        <v>38</v>
      </c>
      <c r="K439" s="24" t="str">
        <f>IF(certifications[[#This Row],[ISSUE DATE]]="", "", TEXT(certifications[[#This Row],[ISSUE DATE]], "MMM"))</f>
        <v>Sep</v>
      </c>
      <c r="L439" s="35" t="str">
        <f>IF(certifications[[#This Row],[ISSUE DATE]]="", "", TEXT(certifications[[#This Row],[ISSUE DATE]], "YYYY"))</f>
        <v>2017</v>
      </c>
    </row>
    <row r="440" spans="1:12" s="29" customFormat="1" ht="23.95" customHeight="1" x14ac:dyDescent="0.3">
      <c r="A440" s="31"/>
      <c r="B440" s="24">
        <v>427</v>
      </c>
      <c r="C440" s="24" t="s">
        <v>519</v>
      </c>
      <c r="D440" s="24" t="s">
        <v>32</v>
      </c>
      <c r="E440" s="24" t="s">
        <v>9</v>
      </c>
      <c r="F440" s="24">
        <v>7773</v>
      </c>
      <c r="G440" s="25">
        <v>40613</v>
      </c>
      <c r="H440" s="25">
        <v>41344</v>
      </c>
      <c r="I440" s="24" t="s">
        <v>16</v>
      </c>
      <c r="J440" s="24" t="s">
        <v>33</v>
      </c>
      <c r="K440" s="24" t="str">
        <f>IF(certifications[[#This Row],[ISSUE DATE]]="", "", TEXT(certifications[[#This Row],[ISSUE DATE]], "MMM"))</f>
        <v>Mar</v>
      </c>
      <c r="L440" s="35" t="str">
        <f>IF(certifications[[#This Row],[ISSUE DATE]]="", "", TEXT(certifications[[#This Row],[ISSUE DATE]], "YYYY"))</f>
        <v>2011</v>
      </c>
    </row>
    <row r="441" spans="1:12" s="29" customFormat="1" ht="23.95" customHeight="1" x14ac:dyDescent="0.3">
      <c r="A441" s="31"/>
      <c r="B441" s="24">
        <v>428</v>
      </c>
      <c r="C441" s="24" t="s">
        <v>520</v>
      </c>
      <c r="D441" s="24" t="s">
        <v>32</v>
      </c>
      <c r="E441" s="24" t="s">
        <v>9</v>
      </c>
      <c r="F441" s="24">
        <v>13340</v>
      </c>
      <c r="G441" s="25">
        <v>43599</v>
      </c>
      <c r="H441" s="25">
        <v>44330</v>
      </c>
      <c r="I441" s="24" t="s">
        <v>16</v>
      </c>
      <c r="J441" s="24" t="s">
        <v>33</v>
      </c>
      <c r="K441" s="24" t="str">
        <f>IF(certifications[[#This Row],[ISSUE DATE]]="", "", TEXT(certifications[[#This Row],[ISSUE DATE]], "MMM"))</f>
        <v>May</v>
      </c>
      <c r="L441" s="35" t="str">
        <f>IF(certifications[[#This Row],[ISSUE DATE]]="", "", TEXT(certifications[[#This Row],[ISSUE DATE]], "YYYY"))</f>
        <v>2019</v>
      </c>
    </row>
    <row r="442" spans="1:12" s="29" customFormat="1" ht="23.95" customHeight="1" x14ac:dyDescent="0.3">
      <c r="A442" s="31"/>
      <c r="B442" s="24">
        <v>429</v>
      </c>
      <c r="C442" s="24" t="s">
        <v>521</v>
      </c>
      <c r="D442" s="24" t="s">
        <v>32</v>
      </c>
      <c r="E442" s="24" t="s">
        <v>9</v>
      </c>
      <c r="F442" s="24">
        <v>17102</v>
      </c>
      <c r="G442" s="25">
        <v>44570</v>
      </c>
      <c r="H442" s="25">
        <v>46031</v>
      </c>
      <c r="I442" s="24" t="s">
        <v>10</v>
      </c>
      <c r="J442" s="24" t="s">
        <v>33</v>
      </c>
      <c r="K442" s="24" t="str">
        <f>IF(certifications[[#This Row],[ISSUE DATE]]="", "", TEXT(certifications[[#This Row],[ISSUE DATE]], "MMM"))</f>
        <v>Jan</v>
      </c>
      <c r="L442" s="35" t="str">
        <f>IF(certifications[[#This Row],[ISSUE DATE]]="", "", TEXT(certifications[[#This Row],[ISSUE DATE]], "YYYY"))</f>
        <v>2022</v>
      </c>
    </row>
    <row r="443" spans="1:12" s="29" customFormat="1" ht="23.95" customHeight="1" x14ac:dyDescent="0.3">
      <c r="A443" s="31"/>
      <c r="B443" s="24">
        <v>430</v>
      </c>
      <c r="C443" s="24" t="s">
        <v>522</v>
      </c>
      <c r="D443" s="24" t="s">
        <v>523</v>
      </c>
      <c r="E443" s="24" t="s">
        <v>9</v>
      </c>
      <c r="F443" s="24">
        <v>15342</v>
      </c>
      <c r="G443" s="25">
        <v>44041</v>
      </c>
      <c r="H443" s="25">
        <v>44771</v>
      </c>
      <c r="I443" s="24" t="s">
        <v>16</v>
      </c>
      <c r="J443" s="24" t="s">
        <v>22</v>
      </c>
      <c r="K443" s="24" t="str">
        <f>IF(certifications[[#This Row],[ISSUE DATE]]="", "", TEXT(certifications[[#This Row],[ISSUE DATE]], "MMM"))</f>
        <v>Jul</v>
      </c>
      <c r="L443" s="35" t="str">
        <f>IF(certifications[[#This Row],[ISSUE DATE]]="", "", TEXT(certifications[[#This Row],[ISSUE DATE]], "YYYY"))</f>
        <v>2020</v>
      </c>
    </row>
    <row r="444" spans="1:12" s="29" customFormat="1" ht="23.95" customHeight="1" x14ac:dyDescent="0.3">
      <c r="A444" s="31"/>
      <c r="B444" s="24">
        <v>431</v>
      </c>
      <c r="C444" s="24" t="s">
        <v>524</v>
      </c>
      <c r="D444" s="24" t="s">
        <v>53</v>
      </c>
      <c r="E444" s="24" t="s">
        <v>9</v>
      </c>
      <c r="F444" s="24">
        <v>17509</v>
      </c>
      <c r="G444" s="25">
        <v>44713</v>
      </c>
      <c r="H444" s="25">
        <v>46174</v>
      </c>
      <c r="I444" s="24" t="s">
        <v>10</v>
      </c>
      <c r="J444" s="24" t="s">
        <v>25</v>
      </c>
      <c r="K444" s="24" t="str">
        <f>IF(certifications[[#This Row],[ISSUE DATE]]="", "", TEXT(certifications[[#This Row],[ISSUE DATE]], "MMM"))</f>
        <v>Jun</v>
      </c>
      <c r="L444" s="35" t="str">
        <f>IF(certifications[[#This Row],[ISSUE DATE]]="", "", TEXT(certifications[[#This Row],[ISSUE DATE]], "YYYY"))</f>
        <v>2022</v>
      </c>
    </row>
    <row r="445" spans="1:12" s="29" customFormat="1" ht="23.95" customHeight="1" x14ac:dyDescent="0.3">
      <c r="A445" s="31"/>
      <c r="B445" s="24">
        <v>432</v>
      </c>
      <c r="C445" s="24" t="s">
        <v>525</v>
      </c>
      <c r="D445" s="24" t="s">
        <v>32</v>
      </c>
      <c r="E445" s="24" t="s">
        <v>9</v>
      </c>
      <c r="F445" s="24">
        <v>21087</v>
      </c>
      <c r="G445" s="25">
        <v>45601</v>
      </c>
      <c r="H445" s="25">
        <v>46331</v>
      </c>
      <c r="I445" s="24" t="s">
        <v>10</v>
      </c>
      <c r="J445" s="24" t="s">
        <v>33</v>
      </c>
      <c r="K445" s="24" t="str">
        <f>IF(certifications[[#This Row],[ISSUE DATE]]="", "", TEXT(certifications[[#This Row],[ISSUE DATE]], "MMM"))</f>
        <v>Nov</v>
      </c>
      <c r="L445" s="35" t="str">
        <f>IF(certifications[[#This Row],[ISSUE DATE]]="", "", TEXT(certifications[[#This Row],[ISSUE DATE]], "YYYY"))</f>
        <v>2024</v>
      </c>
    </row>
    <row r="446" spans="1:12" s="29" customFormat="1" ht="23.95" customHeight="1" x14ac:dyDescent="0.3">
      <c r="A446" s="31"/>
      <c r="B446" s="24">
        <v>433</v>
      </c>
      <c r="C446" s="24" t="s">
        <v>526</v>
      </c>
      <c r="D446" s="24" t="s">
        <v>32</v>
      </c>
      <c r="E446" s="24" t="s">
        <v>9</v>
      </c>
      <c r="F446" s="24">
        <v>21762</v>
      </c>
      <c r="G446" s="25">
        <v>45741</v>
      </c>
      <c r="H446" s="25">
        <v>46471</v>
      </c>
      <c r="I446" s="24" t="s">
        <v>10</v>
      </c>
      <c r="J446" s="24" t="s">
        <v>33</v>
      </c>
      <c r="K446" s="24" t="str">
        <f>IF(certifications[[#This Row],[ISSUE DATE]]="", "", TEXT(certifications[[#This Row],[ISSUE DATE]], "MMM"))</f>
        <v>Mar</v>
      </c>
      <c r="L446" s="35" t="str">
        <f>IF(certifications[[#This Row],[ISSUE DATE]]="", "", TEXT(certifications[[#This Row],[ISSUE DATE]], "YYYY"))</f>
        <v>2025</v>
      </c>
    </row>
    <row r="447" spans="1:12" s="29" customFormat="1" ht="23.95" customHeight="1" x14ac:dyDescent="0.3">
      <c r="A447" s="31"/>
      <c r="B447" s="24">
        <v>434</v>
      </c>
      <c r="C447" s="24" t="s">
        <v>527</v>
      </c>
      <c r="D447" s="24" t="s">
        <v>363</v>
      </c>
      <c r="E447" s="24" t="s">
        <v>9</v>
      </c>
      <c r="F447" s="24">
        <v>18740</v>
      </c>
      <c r="G447" s="25">
        <v>45093</v>
      </c>
      <c r="H447" s="25">
        <v>46554</v>
      </c>
      <c r="I447" s="24" t="s">
        <v>10</v>
      </c>
      <c r="J447" s="24" t="s">
        <v>19</v>
      </c>
      <c r="K447" s="24" t="str">
        <f>IF(certifications[[#This Row],[ISSUE DATE]]="", "", TEXT(certifications[[#This Row],[ISSUE DATE]], "MMM"))</f>
        <v>Jun</v>
      </c>
      <c r="L447" s="35" t="str">
        <f>IF(certifications[[#This Row],[ISSUE DATE]]="", "", TEXT(certifications[[#This Row],[ISSUE DATE]], "YYYY"))</f>
        <v>2023</v>
      </c>
    </row>
    <row r="448" spans="1:12" s="29" customFormat="1" ht="23.95" customHeight="1" x14ac:dyDescent="0.3">
      <c r="A448" s="31"/>
      <c r="B448" s="24">
        <v>435</v>
      </c>
      <c r="C448" s="24" t="s">
        <v>528</v>
      </c>
      <c r="D448" s="24" t="s">
        <v>529</v>
      </c>
      <c r="E448" s="24" t="s">
        <v>9</v>
      </c>
      <c r="F448" s="24">
        <v>9413</v>
      </c>
      <c r="G448" s="25">
        <v>42327</v>
      </c>
      <c r="H448" s="25">
        <v>43058</v>
      </c>
      <c r="I448" s="24" t="s">
        <v>16</v>
      </c>
      <c r="J448" s="24" t="s">
        <v>38</v>
      </c>
      <c r="K448" s="24" t="str">
        <f>IF(certifications[[#This Row],[ISSUE DATE]]="", "", TEXT(certifications[[#This Row],[ISSUE DATE]], "MMM"))</f>
        <v>Nov</v>
      </c>
      <c r="L448" s="35" t="str">
        <f>IF(certifications[[#This Row],[ISSUE DATE]]="", "", TEXT(certifications[[#This Row],[ISSUE DATE]], "YYYY"))</f>
        <v>2015</v>
      </c>
    </row>
    <row r="449" spans="1:12" s="29" customFormat="1" ht="23.95" customHeight="1" x14ac:dyDescent="0.3">
      <c r="A449" s="31"/>
      <c r="B449" s="24">
        <v>436</v>
      </c>
      <c r="C449" s="24" t="s">
        <v>530</v>
      </c>
      <c r="D449" s="24" t="s">
        <v>18</v>
      </c>
      <c r="E449" s="24" t="s">
        <v>9</v>
      </c>
      <c r="F449" s="24">
        <v>15177</v>
      </c>
      <c r="G449" s="25">
        <v>43900</v>
      </c>
      <c r="H449" s="25">
        <v>44630</v>
      </c>
      <c r="I449" s="24" t="s">
        <v>16</v>
      </c>
      <c r="J449" s="24" t="s">
        <v>19</v>
      </c>
      <c r="K449" s="24" t="str">
        <f>IF(certifications[[#This Row],[ISSUE DATE]]="", "", TEXT(certifications[[#This Row],[ISSUE DATE]], "MMM"))</f>
        <v>Mar</v>
      </c>
      <c r="L449" s="35" t="str">
        <f>IF(certifications[[#This Row],[ISSUE DATE]]="", "", TEXT(certifications[[#This Row],[ISSUE DATE]], "YYYY"))</f>
        <v>2020</v>
      </c>
    </row>
    <row r="450" spans="1:12" s="29" customFormat="1" ht="23.95" customHeight="1" x14ac:dyDescent="0.3">
      <c r="A450" s="31"/>
      <c r="B450" s="24">
        <v>437</v>
      </c>
      <c r="C450" s="24" t="s">
        <v>531</v>
      </c>
      <c r="D450" s="24" t="s">
        <v>109</v>
      </c>
      <c r="E450" s="24" t="s">
        <v>9</v>
      </c>
      <c r="F450" s="24">
        <v>18653</v>
      </c>
      <c r="G450" s="25">
        <v>45074</v>
      </c>
      <c r="H450" s="25">
        <v>45805</v>
      </c>
      <c r="I450" s="24" t="s">
        <v>82</v>
      </c>
      <c r="J450" s="24" t="s">
        <v>38</v>
      </c>
      <c r="K450" s="24" t="str">
        <f>IF(certifications[[#This Row],[ISSUE DATE]]="", "", TEXT(certifications[[#This Row],[ISSUE DATE]], "MMM"))</f>
        <v>May</v>
      </c>
      <c r="L450" s="35" t="str">
        <f>IF(certifications[[#This Row],[ISSUE DATE]]="", "", TEXT(certifications[[#This Row],[ISSUE DATE]], "YYYY"))</f>
        <v>2023</v>
      </c>
    </row>
    <row r="451" spans="1:12" s="29" customFormat="1" ht="23.95" customHeight="1" x14ac:dyDescent="0.3">
      <c r="A451" s="31"/>
      <c r="B451" s="24">
        <v>438</v>
      </c>
      <c r="C451" s="24" t="s">
        <v>531</v>
      </c>
      <c r="D451" s="24" t="s">
        <v>109</v>
      </c>
      <c r="E451" s="24" t="s">
        <v>26</v>
      </c>
      <c r="F451" s="24">
        <v>18653</v>
      </c>
      <c r="G451" s="25">
        <v>45070</v>
      </c>
      <c r="H451" s="25">
        <v>45801</v>
      </c>
      <c r="I451" s="24" t="s">
        <v>82</v>
      </c>
      <c r="J451" s="24" t="s">
        <v>38</v>
      </c>
      <c r="K451" s="24" t="str">
        <f>IF(certifications[[#This Row],[ISSUE DATE]]="", "", TEXT(certifications[[#This Row],[ISSUE DATE]], "MMM"))</f>
        <v>May</v>
      </c>
      <c r="L451" s="35" t="str">
        <f>IF(certifications[[#This Row],[ISSUE DATE]]="", "", TEXT(certifications[[#This Row],[ISSUE DATE]], "YYYY"))</f>
        <v>2023</v>
      </c>
    </row>
    <row r="452" spans="1:12" s="29" customFormat="1" ht="23.95" customHeight="1" x14ac:dyDescent="0.3">
      <c r="A452" s="31"/>
      <c r="B452" s="24">
        <v>439</v>
      </c>
      <c r="C452" s="24" t="s">
        <v>532</v>
      </c>
      <c r="D452" s="24" t="s">
        <v>40</v>
      </c>
      <c r="E452" s="24" t="s">
        <v>9</v>
      </c>
      <c r="F452" s="24">
        <v>9167</v>
      </c>
      <c r="G452" s="25">
        <v>42132</v>
      </c>
      <c r="H452" s="25">
        <v>42863</v>
      </c>
      <c r="I452" s="24" t="s">
        <v>16</v>
      </c>
      <c r="J452" s="24" t="s">
        <v>25</v>
      </c>
      <c r="K452" s="24" t="str">
        <f>IF(certifications[[#This Row],[ISSUE DATE]]="", "", TEXT(certifications[[#This Row],[ISSUE DATE]], "MMM"))</f>
        <v>May</v>
      </c>
      <c r="L452" s="35" t="str">
        <f>IF(certifications[[#This Row],[ISSUE DATE]]="", "", TEXT(certifications[[#This Row],[ISSUE DATE]], "YYYY"))</f>
        <v>2015</v>
      </c>
    </row>
    <row r="453" spans="1:12" s="29" customFormat="1" ht="23.95" customHeight="1" x14ac:dyDescent="0.3">
      <c r="A453" s="31"/>
      <c r="B453" s="24">
        <v>440</v>
      </c>
      <c r="C453" s="24" t="s">
        <v>533</v>
      </c>
      <c r="D453" s="24" t="s">
        <v>111</v>
      </c>
      <c r="E453" s="24" t="s">
        <v>9</v>
      </c>
      <c r="F453" s="24">
        <v>8497</v>
      </c>
      <c r="G453" s="25">
        <v>41450</v>
      </c>
      <c r="H453" s="25">
        <v>42180</v>
      </c>
      <c r="I453" s="24" t="s">
        <v>16</v>
      </c>
      <c r="J453" s="24" t="s">
        <v>38</v>
      </c>
      <c r="K453" s="24" t="str">
        <f>IF(certifications[[#This Row],[ISSUE DATE]]="", "", TEXT(certifications[[#This Row],[ISSUE DATE]], "MMM"))</f>
        <v>Jun</v>
      </c>
      <c r="L453" s="35" t="str">
        <f>IF(certifications[[#This Row],[ISSUE DATE]]="", "", TEXT(certifications[[#This Row],[ISSUE DATE]], "YYYY"))</f>
        <v>2013</v>
      </c>
    </row>
    <row r="454" spans="1:12" s="29" customFormat="1" ht="23.95" customHeight="1" x14ac:dyDescent="0.3">
      <c r="A454" s="31"/>
      <c r="B454" s="24">
        <v>441</v>
      </c>
      <c r="C454" s="24" t="s">
        <v>534</v>
      </c>
      <c r="D454" s="24" t="s">
        <v>13</v>
      </c>
      <c r="E454" s="24" t="s">
        <v>9</v>
      </c>
      <c r="F454" s="24">
        <v>9429</v>
      </c>
      <c r="G454" s="25">
        <v>42341</v>
      </c>
      <c r="H454" s="25">
        <v>45994</v>
      </c>
      <c r="I454" s="24" t="s">
        <v>10</v>
      </c>
      <c r="J454" s="24" t="s">
        <v>14</v>
      </c>
      <c r="K454" s="24" t="str">
        <f>IF(certifications[[#This Row],[ISSUE DATE]]="", "", TEXT(certifications[[#This Row],[ISSUE DATE]], "MMM"))</f>
        <v>Dec</v>
      </c>
      <c r="L454" s="35" t="str">
        <f>IF(certifications[[#This Row],[ISSUE DATE]]="", "", TEXT(certifications[[#This Row],[ISSUE DATE]], "YYYY"))</f>
        <v>2015</v>
      </c>
    </row>
    <row r="455" spans="1:12" s="29" customFormat="1" ht="23.95" customHeight="1" x14ac:dyDescent="0.3">
      <c r="A455" s="31"/>
      <c r="B455" s="24">
        <v>442</v>
      </c>
      <c r="C455" s="24" t="s">
        <v>535</v>
      </c>
      <c r="D455" s="24" t="s">
        <v>48</v>
      </c>
      <c r="E455" s="24" t="s">
        <v>9</v>
      </c>
      <c r="F455" s="24">
        <v>16855</v>
      </c>
      <c r="G455" s="25">
        <v>44461</v>
      </c>
      <c r="H455" s="25">
        <v>45922</v>
      </c>
      <c r="I455" s="24" t="s">
        <v>10</v>
      </c>
      <c r="J455" s="24" t="s">
        <v>38</v>
      </c>
      <c r="K455" s="24" t="str">
        <f>IF(certifications[[#This Row],[ISSUE DATE]]="", "", TEXT(certifications[[#This Row],[ISSUE DATE]], "MMM"))</f>
        <v>Sep</v>
      </c>
      <c r="L455" s="35" t="str">
        <f>IF(certifications[[#This Row],[ISSUE DATE]]="", "", TEXT(certifications[[#This Row],[ISSUE DATE]], "YYYY"))</f>
        <v>2021</v>
      </c>
    </row>
    <row r="456" spans="1:12" s="29" customFormat="1" ht="23.95" customHeight="1" x14ac:dyDescent="0.3">
      <c r="A456" s="31"/>
      <c r="B456" s="24">
        <v>443</v>
      </c>
      <c r="C456" s="24" t="s">
        <v>536</v>
      </c>
      <c r="D456" s="24" t="s">
        <v>18</v>
      </c>
      <c r="E456" s="24" t="s">
        <v>9</v>
      </c>
      <c r="F456" s="24">
        <v>9765</v>
      </c>
      <c r="G456" s="25">
        <v>42601</v>
      </c>
      <c r="H456" s="25">
        <v>43331</v>
      </c>
      <c r="I456" s="24" t="s">
        <v>16</v>
      </c>
      <c r="J456" s="24" t="s">
        <v>19</v>
      </c>
      <c r="K456" s="24" t="str">
        <f>IF(certifications[[#This Row],[ISSUE DATE]]="", "", TEXT(certifications[[#This Row],[ISSUE DATE]], "MMM"))</f>
        <v>Aug</v>
      </c>
      <c r="L456" s="35" t="str">
        <f>IF(certifications[[#This Row],[ISSUE DATE]]="", "", TEXT(certifications[[#This Row],[ISSUE DATE]], "YYYY"))</f>
        <v>2016</v>
      </c>
    </row>
    <row r="457" spans="1:12" s="29" customFormat="1" ht="23.95" customHeight="1" x14ac:dyDescent="0.3">
      <c r="A457" s="31"/>
      <c r="B457" s="24">
        <v>444</v>
      </c>
      <c r="C457" s="24" t="s">
        <v>537</v>
      </c>
      <c r="D457" s="24" t="s">
        <v>102</v>
      </c>
      <c r="E457" s="24" t="s">
        <v>9</v>
      </c>
      <c r="F457" s="24">
        <v>11996</v>
      </c>
      <c r="G457" s="25">
        <v>43313</v>
      </c>
      <c r="H457" s="25">
        <v>44044</v>
      </c>
      <c r="I457" s="24" t="s">
        <v>16</v>
      </c>
      <c r="J457" s="24" t="s">
        <v>38</v>
      </c>
      <c r="K457" s="24" t="str">
        <f>IF(certifications[[#This Row],[ISSUE DATE]]="", "", TEXT(certifications[[#This Row],[ISSUE DATE]], "MMM"))</f>
        <v>Aug</v>
      </c>
      <c r="L457" s="35" t="str">
        <f>IF(certifications[[#This Row],[ISSUE DATE]]="", "", TEXT(certifications[[#This Row],[ISSUE DATE]], "YYYY"))</f>
        <v>2018</v>
      </c>
    </row>
    <row r="458" spans="1:12" s="29" customFormat="1" ht="23.95" customHeight="1" x14ac:dyDescent="0.3">
      <c r="A458" s="31"/>
      <c r="B458" s="24">
        <v>445</v>
      </c>
      <c r="C458" s="24" t="s">
        <v>538</v>
      </c>
      <c r="D458" s="24" t="s">
        <v>40</v>
      </c>
      <c r="E458" s="24" t="s">
        <v>9</v>
      </c>
      <c r="F458" s="24">
        <v>11997</v>
      </c>
      <c r="G458" s="25">
        <v>43313</v>
      </c>
      <c r="H458" s="25">
        <v>44044</v>
      </c>
      <c r="I458" s="24" t="s">
        <v>16</v>
      </c>
      <c r="J458" s="24" t="s">
        <v>25</v>
      </c>
      <c r="K458" s="24" t="str">
        <f>IF(certifications[[#This Row],[ISSUE DATE]]="", "", TEXT(certifications[[#This Row],[ISSUE DATE]], "MMM"))</f>
        <v>Aug</v>
      </c>
      <c r="L458" s="35" t="str">
        <f>IF(certifications[[#This Row],[ISSUE DATE]]="", "", TEXT(certifications[[#This Row],[ISSUE DATE]], "YYYY"))</f>
        <v>2018</v>
      </c>
    </row>
    <row r="459" spans="1:12" s="29" customFormat="1" ht="23.95" customHeight="1" x14ac:dyDescent="0.3">
      <c r="A459" s="31"/>
      <c r="B459" s="24">
        <v>446</v>
      </c>
      <c r="C459" s="24" t="s">
        <v>539</v>
      </c>
      <c r="D459" s="24" t="s">
        <v>540</v>
      </c>
      <c r="E459" s="24" t="s">
        <v>9</v>
      </c>
      <c r="F459" s="24">
        <v>16431</v>
      </c>
      <c r="G459" s="25">
        <v>44365</v>
      </c>
      <c r="H459" s="25">
        <v>46556</v>
      </c>
      <c r="I459" s="24" t="s">
        <v>10</v>
      </c>
      <c r="J459" s="24" t="s">
        <v>30</v>
      </c>
      <c r="K459" s="24" t="str">
        <f>IF(certifications[[#This Row],[ISSUE DATE]]="", "", TEXT(certifications[[#This Row],[ISSUE DATE]], "MMM"))</f>
        <v>Jun</v>
      </c>
      <c r="L459" s="35" t="str">
        <f>IF(certifications[[#This Row],[ISSUE DATE]]="", "", TEXT(certifications[[#This Row],[ISSUE DATE]], "YYYY"))</f>
        <v>2021</v>
      </c>
    </row>
    <row r="460" spans="1:12" s="29" customFormat="1" ht="23.95" customHeight="1" x14ac:dyDescent="0.3">
      <c r="A460" s="31"/>
      <c r="B460" s="24">
        <v>447</v>
      </c>
      <c r="C460" s="24" t="s">
        <v>541</v>
      </c>
      <c r="D460" s="24" t="s">
        <v>32</v>
      </c>
      <c r="E460" s="24" t="s">
        <v>9</v>
      </c>
      <c r="F460" s="24">
        <v>9349</v>
      </c>
      <c r="G460" s="25">
        <v>42258</v>
      </c>
      <c r="H460" s="25">
        <v>42989</v>
      </c>
      <c r="I460" s="24" t="s">
        <v>16</v>
      </c>
      <c r="J460" s="24" t="s">
        <v>33</v>
      </c>
      <c r="K460" s="24" t="str">
        <f>IF(certifications[[#This Row],[ISSUE DATE]]="", "", TEXT(certifications[[#This Row],[ISSUE DATE]], "MMM"))</f>
        <v>Sep</v>
      </c>
      <c r="L460" s="35" t="str">
        <f>IF(certifications[[#This Row],[ISSUE DATE]]="", "", TEXT(certifications[[#This Row],[ISSUE DATE]], "YYYY"))</f>
        <v>2015</v>
      </c>
    </row>
    <row r="461" spans="1:12" s="29" customFormat="1" ht="23.95" customHeight="1" x14ac:dyDescent="0.3">
      <c r="A461" s="31"/>
      <c r="B461" s="24">
        <v>448</v>
      </c>
      <c r="C461" s="24" t="s">
        <v>542</v>
      </c>
      <c r="D461" s="24" t="s">
        <v>32</v>
      </c>
      <c r="E461" s="24" t="s">
        <v>9</v>
      </c>
      <c r="F461" s="24">
        <v>14014</v>
      </c>
      <c r="G461" s="25">
        <v>43670</v>
      </c>
      <c r="H461" s="25">
        <v>45862</v>
      </c>
      <c r="I461" s="24" t="s">
        <v>10</v>
      </c>
      <c r="J461" s="24" t="s">
        <v>33</v>
      </c>
      <c r="K461" s="24" t="str">
        <f>IF(certifications[[#This Row],[ISSUE DATE]]="", "", TEXT(certifications[[#This Row],[ISSUE DATE]], "MMM"))</f>
        <v>Jul</v>
      </c>
      <c r="L461" s="35" t="str">
        <f>IF(certifications[[#This Row],[ISSUE DATE]]="", "", TEXT(certifications[[#This Row],[ISSUE DATE]], "YYYY"))</f>
        <v>2019</v>
      </c>
    </row>
    <row r="462" spans="1:12" s="29" customFormat="1" ht="23.95" customHeight="1" x14ac:dyDescent="0.3">
      <c r="A462" s="31"/>
      <c r="B462" s="24">
        <v>449</v>
      </c>
      <c r="C462" s="24" t="s">
        <v>543</v>
      </c>
      <c r="D462" s="24" t="s">
        <v>32</v>
      </c>
      <c r="E462" s="24" t="s">
        <v>9</v>
      </c>
      <c r="F462" s="24">
        <v>20795</v>
      </c>
      <c r="G462" s="25">
        <v>45541</v>
      </c>
      <c r="H462" s="25">
        <v>46271</v>
      </c>
      <c r="I462" s="24" t="s">
        <v>10</v>
      </c>
      <c r="J462" s="24" t="s">
        <v>33</v>
      </c>
      <c r="K462" s="24" t="str">
        <f>IF(certifications[[#This Row],[ISSUE DATE]]="", "", TEXT(certifications[[#This Row],[ISSUE DATE]], "MMM"))</f>
        <v>Sep</v>
      </c>
      <c r="L462" s="35" t="str">
        <f>IF(certifications[[#This Row],[ISSUE DATE]]="", "", TEXT(certifications[[#This Row],[ISSUE DATE]], "YYYY"))</f>
        <v>2024</v>
      </c>
    </row>
    <row r="463" spans="1:12" s="29" customFormat="1" ht="23.95" customHeight="1" x14ac:dyDescent="0.3">
      <c r="A463" s="31"/>
      <c r="B463" s="24">
        <v>450</v>
      </c>
      <c r="C463" s="24" t="s">
        <v>544</v>
      </c>
      <c r="D463" s="24" t="s">
        <v>545</v>
      </c>
      <c r="E463" s="24" t="s">
        <v>9</v>
      </c>
      <c r="F463" s="24">
        <v>12321</v>
      </c>
      <c r="G463" s="25">
        <v>43367</v>
      </c>
      <c r="H463" s="25">
        <v>44828</v>
      </c>
      <c r="I463" s="24" t="s">
        <v>16</v>
      </c>
      <c r="J463" s="24" t="s">
        <v>38</v>
      </c>
      <c r="K463" s="24" t="str">
        <f>IF(certifications[[#This Row],[ISSUE DATE]]="", "", TEXT(certifications[[#This Row],[ISSUE DATE]], "MMM"))</f>
        <v>Sep</v>
      </c>
      <c r="L463" s="35" t="str">
        <f>IF(certifications[[#This Row],[ISSUE DATE]]="", "", TEXT(certifications[[#This Row],[ISSUE DATE]], "YYYY"))</f>
        <v>2018</v>
      </c>
    </row>
    <row r="464" spans="1:12" s="29" customFormat="1" ht="23.95" customHeight="1" x14ac:dyDescent="0.3">
      <c r="A464" s="31"/>
      <c r="B464" s="24">
        <v>451</v>
      </c>
      <c r="C464" s="24" t="s">
        <v>546</v>
      </c>
      <c r="D464" s="24" t="s">
        <v>13</v>
      </c>
      <c r="E464" s="24" t="s">
        <v>9</v>
      </c>
      <c r="F464" s="24">
        <v>9435</v>
      </c>
      <c r="G464" s="25">
        <v>42341</v>
      </c>
      <c r="H464" s="25">
        <v>43072</v>
      </c>
      <c r="I464" s="24" t="s">
        <v>321</v>
      </c>
      <c r="J464" s="24" t="s">
        <v>14</v>
      </c>
      <c r="K464" s="24" t="str">
        <f>IF(certifications[[#This Row],[ISSUE DATE]]="", "", TEXT(certifications[[#This Row],[ISSUE DATE]], "MMM"))</f>
        <v>Dec</v>
      </c>
      <c r="L464" s="35" t="str">
        <f>IF(certifications[[#This Row],[ISSUE DATE]]="", "", TEXT(certifications[[#This Row],[ISSUE DATE]], "YYYY"))</f>
        <v>2015</v>
      </c>
    </row>
    <row r="465" spans="1:12" s="29" customFormat="1" ht="23.95" customHeight="1" x14ac:dyDescent="0.3">
      <c r="A465" s="31"/>
      <c r="B465" s="24">
        <v>452</v>
      </c>
      <c r="C465" s="24" t="s">
        <v>547</v>
      </c>
      <c r="D465" s="24" t="s">
        <v>210</v>
      </c>
      <c r="E465" s="24" t="s">
        <v>9</v>
      </c>
      <c r="F465" s="24">
        <v>9661</v>
      </c>
      <c r="G465" s="25">
        <v>42537</v>
      </c>
      <c r="H465" s="25">
        <v>43998</v>
      </c>
      <c r="I465" s="24" t="s">
        <v>16</v>
      </c>
      <c r="J465" s="24" t="s">
        <v>19</v>
      </c>
      <c r="K465" s="24" t="str">
        <f>IF(certifications[[#This Row],[ISSUE DATE]]="", "", TEXT(certifications[[#This Row],[ISSUE DATE]], "MMM"))</f>
        <v>Jun</v>
      </c>
      <c r="L465" s="35" t="str">
        <f>IF(certifications[[#This Row],[ISSUE DATE]]="", "", TEXT(certifications[[#This Row],[ISSUE DATE]], "YYYY"))</f>
        <v>2016</v>
      </c>
    </row>
    <row r="466" spans="1:12" s="29" customFormat="1" ht="23.95" customHeight="1" x14ac:dyDescent="0.3">
      <c r="A466" s="31"/>
      <c r="B466" s="24">
        <v>453</v>
      </c>
      <c r="C466" s="24" t="s">
        <v>548</v>
      </c>
      <c r="D466" s="24" t="s">
        <v>32</v>
      </c>
      <c r="E466" s="24" t="s">
        <v>9</v>
      </c>
      <c r="F466" s="24">
        <v>8566</v>
      </c>
      <c r="G466" s="25">
        <v>42891</v>
      </c>
      <c r="H466" s="25">
        <v>46543</v>
      </c>
      <c r="I466" s="24" t="s">
        <v>10</v>
      </c>
      <c r="J466" s="24" t="s">
        <v>33</v>
      </c>
      <c r="K466" s="24" t="str">
        <f>IF(certifications[[#This Row],[ISSUE DATE]]="", "", TEXT(certifications[[#This Row],[ISSUE DATE]], "MMM"))</f>
        <v>Jun</v>
      </c>
      <c r="L466" s="35" t="str">
        <f>IF(certifications[[#This Row],[ISSUE DATE]]="", "", TEXT(certifications[[#This Row],[ISSUE DATE]], "YYYY"))</f>
        <v>2017</v>
      </c>
    </row>
    <row r="467" spans="1:12" s="29" customFormat="1" ht="23.95" customHeight="1" x14ac:dyDescent="0.3">
      <c r="A467" s="31"/>
      <c r="B467" s="24">
        <v>454</v>
      </c>
      <c r="C467" s="24" t="s">
        <v>548</v>
      </c>
      <c r="D467" s="24" t="s">
        <v>32</v>
      </c>
      <c r="E467" s="24" t="s">
        <v>26</v>
      </c>
      <c r="F467" s="24">
        <v>8566</v>
      </c>
      <c r="G467" s="25">
        <v>44284</v>
      </c>
      <c r="H467" s="25">
        <v>46475</v>
      </c>
      <c r="I467" s="24" t="s">
        <v>10</v>
      </c>
      <c r="J467" s="24" t="s">
        <v>33</v>
      </c>
      <c r="K467" s="24" t="str">
        <f>IF(certifications[[#This Row],[ISSUE DATE]]="", "", TEXT(certifications[[#This Row],[ISSUE DATE]], "MMM"))</f>
        <v>Mar</v>
      </c>
      <c r="L467" s="35" t="str">
        <f>IF(certifications[[#This Row],[ISSUE DATE]]="", "", TEXT(certifications[[#This Row],[ISSUE DATE]], "YYYY"))</f>
        <v>2021</v>
      </c>
    </row>
    <row r="468" spans="1:12" s="29" customFormat="1" ht="23.95" customHeight="1" x14ac:dyDescent="0.3">
      <c r="A468" s="31"/>
      <c r="B468" s="24">
        <v>455</v>
      </c>
      <c r="C468" s="24" t="s">
        <v>549</v>
      </c>
      <c r="D468" s="24" t="s">
        <v>133</v>
      </c>
      <c r="E468" s="24" t="s">
        <v>9</v>
      </c>
      <c r="F468" s="24">
        <v>9782</v>
      </c>
      <c r="G468" s="25">
        <v>42622</v>
      </c>
      <c r="H468" s="25">
        <v>43352</v>
      </c>
      <c r="I468" s="24" t="s">
        <v>16</v>
      </c>
      <c r="J468" s="24" t="s">
        <v>14</v>
      </c>
      <c r="K468" s="24" t="str">
        <f>IF(certifications[[#This Row],[ISSUE DATE]]="", "", TEXT(certifications[[#This Row],[ISSUE DATE]], "MMM"))</f>
        <v>Sep</v>
      </c>
      <c r="L468" s="35" t="str">
        <f>IF(certifications[[#This Row],[ISSUE DATE]]="", "", TEXT(certifications[[#This Row],[ISSUE DATE]], "YYYY"))</f>
        <v>2016</v>
      </c>
    </row>
    <row r="469" spans="1:12" s="29" customFormat="1" ht="23.95" customHeight="1" x14ac:dyDescent="0.3">
      <c r="A469" s="31"/>
      <c r="B469" s="24">
        <v>456</v>
      </c>
      <c r="C469" s="24" t="s">
        <v>549</v>
      </c>
      <c r="D469" s="24" t="s">
        <v>133</v>
      </c>
      <c r="E469" s="24" t="s">
        <v>26</v>
      </c>
      <c r="F469" s="24">
        <v>8782</v>
      </c>
      <c r="G469" s="25">
        <v>43326</v>
      </c>
      <c r="H469" s="25">
        <v>44787</v>
      </c>
      <c r="I469" s="24" t="s">
        <v>16</v>
      </c>
      <c r="J469" s="24" t="s">
        <v>14</v>
      </c>
      <c r="K469" s="24" t="str">
        <f>IF(certifications[[#This Row],[ISSUE DATE]]="", "", TEXT(certifications[[#This Row],[ISSUE DATE]], "MMM"))</f>
        <v>Aug</v>
      </c>
      <c r="L469" s="35" t="str">
        <f>IF(certifications[[#This Row],[ISSUE DATE]]="", "", TEXT(certifications[[#This Row],[ISSUE DATE]], "YYYY"))</f>
        <v>2018</v>
      </c>
    </row>
    <row r="470" spans="1:12" s="29" customFormat="1" ht="23.95" customHeight="1" x14ac:dyDescent="0.3">
      <c r="A470" s="31"/>
      <c r="B470" s="24">
        <v>457</v>
      </c>
      <c r="C470" s="24" t="s">
        <v>550</v>
      </c>
      <c r="D470" s="24" t="s">
        <v>148</v>
      </c>
      <c r="E470" s="24" t="s">
        <v>9</v>
      </c>
      <c r="F470" s="24">
        <v>12774</v>
      </c>
      <c r="G470" s="25">
        <v>43490</v>
      </c>
      <c r="H470" s="25">
        <v>44221</v>
      </c>
      <c r="I470" s="24" t="s">
        <v>16</v>
      </c>
      <c r="J470" s="24" t="s">
        <v>14</v>
      </c>
      <c r="K470" s="24" t="str">
        <f>IF(certifications[[#This Row],[ISSUE DATE]]="", "", TEXT(certifications[[#This Row],[ISSUE DATE]], "MMM"))</f>
        <v>Jan</v>
      </c>
      <c r="L470" s="35" t="str">
        <f>IF(certifications[[#This Row],[ISSUE DATE]]="", "", TEXT(certifications[[#This Row],[ISSUE DATE]], "YYYY"))</f>
        <v>2019</v>
      </c>
    </row>
    <row r="471" spans="1:12" s="29" customFormat="1" ht="23.95" customHeight="1" x14ac:dyDescent="0.3">
      <c r="A471" s="31"/>
      <c r="B471" s="24">
        <v>458</v>
      </c>
      <c r="C471" s="24" t="s">
        <v>551</v>
      </c>
      <c r="D471" s="24" t="s">
        <v>18</v>
      </c>
      <c r="E471" s="24" t="s">
        <v>9</v>
      </c>
      <c r="F471" s="24">
        <v>10354</v>
      </c>
      <c r="G471" s="25">
        <v>42975</v>
      </c>
      <c r="H471" s="25">
        <v>45166</v>
      </c>
      <c r="I471" s="24" t="s">
        <v>16</v>
      </c>
      <c r="J471" s="24" t="s">
        <v>19</v>
      </c>
      <c r="K471" s="24" t="str">
        <f>IF(certifications[[#This Row],[ISSUE DATE]]="", "", TEXT(certifications[[#This Row],[ISSUE DATE]], "MMM"))</f>
        <v>Aug</v>
      </c>
      <c r="L471" s="35" t="str">
        <f>IF(certifications[[#This Row],[ISSUE DATE]]="", "", TEXT(certifications[[#This Row],[ISSUE DATE]], "YYYY"))</f>
        <v>2017</v>
      </c>
    </row>
    <row r="472" spans="1:12" s="29" customFormat="1" ht="23.95" customHeight="1" x14ac:dyDescent="0.3">
      <c r="A472" s="31"/>
      <c r="B472" s="24">
        <v>459</v>
      </c>
      <c r="C472" s="24" t="s">
        <v>552</v>
      </c>
      <c r="D472" s="24" t="s">
        <v>40</v>
      </c>
      <c r="E472" s="24" t="s">
        <v>9</v>
      </c>
      <c r="F472" s="24">
        <v>17823</v>
      </c>
      <c r="G472" s="25">
        <v>44840</v>
      </c>
      <c r="H472" s="25">
        <v>46301</v>
      </c>
      <c r="I472" s="24" t="s">
        <v>10</v>
      </c>
      <c r="J472" s="24" t="s">
        <v>25</v>
      </c>
      <c r="K472" s="24" t="str">
        <f>IF(certifications[[#This Row],[ISSUE DATE]]="", "", TEXT(certifications[[#This Row],[ISSUE DATE]], "MMM"))</f>
        <v>Oct</v>
      </c>
      <c r="L472" s="35" t="str">
        <f>IF(certifications[[#This Row],[ISSUE DATE]]="", "", TEXT(certifications[[#This Row],[ISSUE DATE]], "YYYY"))</f>
        <v>2022</v>
      </c>
    </row>
    <row r="473" spans="1:12" s="29" customFormat="1" ht="23.95" customHeight="1" x14ac:dyDescent="0.3">
      <c r="A473" s="31"/>
      <c r="B473" s="24">
        <v>460</v>
      </c>
      <c r="C473" s="24" t="s">
        <v>552</v>
      </c>
      <c r="D473" s="24" t="s">
        <v>40</v>
      </c>
      <c r="E473" s="24" t="s">
        <v>26</v>
      </c>
      <c r="F473" s="24">
        <v>17823</v>
      </c>
      <c r="G473" s="25">
        <v>44816</v>
      </c>
      <c r="H473" s="25">
        <v>46277</v>
      </c>
      <c r="I473" s="24" t="s">
        <v>10</v>
      </c>
      <c r="J473" s="24" t="s">
        <v>25</v>
      </c>
      <c r="K473" s="24" t="str">
        <f>IF(certifications[[#This Row],[ISSUE DATE]]="", "", TEXT(certifications[[#This Row],[ISSUE DATE]], "MMM"))</f>
        <v>Sep</v>
      </c>
      <c r="L473" s="35" t="str">
        <f>IF(certifications[[#This Row],[ISSUE DATE]]="", "", TEXT(certifications[[#This Row],[ISSUE DATE]], "YYYY"))</f>
        <v>2022</v>
      </c>
    </row>
    <row r="474" spans="1:12" s="29" customFormat="1" ht="23.95" customHeight="1" x14ac:dyDescent="0.3">
      <c r="A474" s="31"/>
      <c r="B474" s="24">
        <v>461</v>
      </c>
      <c r="C474" s="24" t="s">
        <v>553</v>
      </c>
      <c r="D474" s="24" t="s">
        <v>315</v>
      </c>
      <c r="E474" s="24" t="s">
        <v>9</v>
      </c>
      <c r="F474" s="24">
        <v>9096</v>
      </c>
      <c r="G474" s="25">
        <v>45483</v>
      </c>
      <c r="H474" s="25">
        <v>46213</v>
      </c>
      <c r="I474" s="24" t="s">
        <v>10</v>
      </c>
      <c r="J474" s="24" t="s">
        <v>30</v>
      </c>
      <c r="K474" s="24" t="str">
        <f>IF(certifications[[#This Row],[ISSUE DATE]]="", "", TEXT(certifications[[#This Row],[ISSUE DATE]], "MMM"))</f>
        <v>Jul</v>
      </c>
      <c r="L474" s="35" t="str">
        <f>IF(certifications[[#This Row],[ISSUE DATE]]="", "", TEXT(certifications[[#This Row],[ISSUE DATE]], "YYYY"))</f>
        <v>2024</v>
      </c>
    </row>
    <row r="475" spans="1:12" s="29" customFormat="1" ht="23.95" customHeight="1" x14ac:dyDescent="0.3">
      <c r="A475" s="31"/>
      <c r="B475" s="24">
        <v>462</v>
      </c>
      <c r="C475" s="24" t="s">
        <v>553</v>
      </c>
      <c r="D475" s="24" t="s">
        <v>315</v>
      </c>
      <c r="E475" s="24" t="s">
        <v>26</v>
      </c>
      <c r="F475" s="24">
        <v>9096</v>
      </c>
      <c r="G475" s="25">
        <v>43157</v>
      </c>
      <c r="H475" s="25">
        <v>46079</v>
      </c>
      <c r="I475" s="24" t="s">
        <v>10</v>
      </c>
      <c r="J475" s="24" t="s">
        <v>30</v>
      </c>
      <c r="K475" s="24" t="str">
        <f>IF(certifications[[#This Row],[ISSUE DATE]]="", "", TEXT(certifications[[#This Row],[ISSUE DATE]], "MMM"))</f>
        <v>Feb</v>
      </c>
      <c r="L475" s="35" t="str">
        <f>IF(certifications[[#This Row],[ISSUE DATE]]="", "", TEXT(certifications[[#This Row],[ISSUE DATE]], "YYYY"))</f>
        <v>2018</v>
      </c>
    </row>
    <row r="476" spans="1:12" s="29" customFormat="1" ht="23.95" customHeight="1" x14ac:dyDescent="0.3">
      <c r="A476" s="31"/>
      <c r="B476" s="24">
        <v>463</v>
      </c>
      <c r="C476" s="3" t="s">
        <v>553</v>
      </c>
      <c r="D476" s="3" t="s">
        <v>315</v>
      </c>
      <c r="E476" s="3" t="s">
        <v>27</v>
      </c>
      <c r="F476" s="3">
        <v>9096</v>
      </c>
      <c r="G476" s="4">
        <v>45691</v>
      </c>
      <c r="H476" s="4">
        <v>46421</v>
      </c>
      <c r="I476" s="3" t="s">
        <v>10</v>
      </c>
      <c r="J476" s="3" t="s">
        <v>30</v>
      </c>
      <c r="K476" s="3" t="str">
        <f>IF(certifications[[#This Row],[ISSUE DATE]]="", "", TEXT(certifications[[#This Row],[ISSUE DATE]], "MMM"))</f>
        <v>Feb</v>
      </c>
      <c r="L476" s="36" t="str">
        <f>IF(certifications[[#This Row],[ISSUE DATE]]="", "", TEXT(certifications[[#This Row],[ISSUE DATE]], "YYYY"))</f>
        <v>2025</v>
      </c>
    </row>
    <row r="477" spans="1:12" s="29" customFormat="1" ht="23.95" customHeight="1" x14ac:dyDescent="0.3">
      <c r="A477" s="31"/>
      <c r="B477" s="24">
        <v>464</v>
      </c>
      <c r="C477" s="24" t="s">
        <v>554</v>
      </c>
      <c r="D477" s="24" t="s">
        <v>32</v>
      </c>
      <c r="E477" s="24" t="s">
        <v>9</v>
      </c>
      <c r="F477" s="24">
        <v>16104</v>
      </c>
      <c r="G477" s="25">
        <v>44277</v>
      </c>
      <c r="H477" s="25">
        <v>45007</v>
      </c>
      <c r="I477" s="24" t="s">
        <v>16</v>
      </c>
      <c r="J477" s="24" t="s">
        <v>33</v>
      </c>
      <c r="K477" s="24" t="str">
        <f>IF(certifications[[#This Row],[ISSUE DATE]]="", "", TEXT(certifications[[#This Row],[ISSUE DATE]], "MMM"))</f>
        <v>Mar</v>
      </c>
      <c r="L477" s="35" t="str">
        <f>IF(certifications[[#This Row],[ISSUE DATE]]="", "", TEXT(certifications[[#This Row],[ISSUE DATE]], "YYYY"))</f>
        <v>2021</v>
      </c>
    </row>
    <row r="478" spans="1:12" s="29" customFormat="1" ht="23.95" customHeight="1" x14ac:dyDescent="0.3">
      <c r="A478" s="31"/>
      <c r="B478" s="24">
        <v>465</v>
      </c>
      <c r="C478" s="24" t="s">
        <v>555</v>
      </c>
      <c r="D478" s="24" t="s">
        <v>32</v>
      </c>
      <c r="E478" s="24" t="s">
        <v>9</v>
      </c>
      <c r="F478" s="24">
        <v>10378</v>
      </c>
      <c r="G478" s="25">
        <v>42986</v>
      </c>
      <c r="H478" s="25">
        <v>45177</v>
      </c>
      <c r="I478" s="24" t="s">
        <v>16</v>
      </c>
      <c r="J478" s="24" t="s">
        <v>33</v>
      </c>
      <c r="K478" s="24" t="str">
        <f>IF(certifications[[#This Row],[ISSUE DATE]]="", "", TEXT(certifications[[#This Row],[ISSUE DATE]], "MMM"))</f>
        <v>Sep</v>
      </c>
      <c r="L478" s="35" t="str">
        <f>IF(certifications[[#This Row],[ISSUE DATE]]="", "", TEXT(certifications[[#This Row],[ISSUE DATE]], "YYYY"))</f>
        <v>2017</v>
      </c>
    </row>
    <row r="479" spans="1:12" s="29" customFormat="1" ht="23.95" customHeight="1" x14ac:dyDescent="0.3">
      <c r="A479" s="31"/>
      <c r="B479" s="24">
        <v>466</v>
      </c>
      <c r="C479" s="24" t="s">
        <v>556</v>
      </c>
      <c r="D479" s="24" t="s">
        <v>13</v>
      </c>
      <c r="E479" s="24" t="s">
        <v>9</v>
      </c>
      <c r="F479" s="24">
        <v>8334</v>
      </c>
      <c r="G479" s="25">
        <v>41331</v>
      </c>
      <c r="H479" s="25">
        <v>42792</v>
      </c>
      <c r="I479" s="24" t="s">
        <v>16</v>
      </c>
      <c r="J479" s="24" t="s">
        <v>14</v>
      </c>
      <c r="K479" s="24" t="str">
        <f>IF(certifications[[#This Row],[ISSUE DATE]]="", "", TEXT(certifications[[#This Row],[ISSUE DATE]], "MMM"))</f>
        <v>Feb</v>
      </c>
      <c r="L479" s="35" t="str">
        <f>IF(certifications[[#This Row],[ISSUE DATE]]="", "", TEXT(certifications[[#This Row],[ISSUE DATE]], "YYYY"))</f>
        <v>2013</v>
      </c>
    </row>
    <row r="480" spans="1:12" s="29" customFormat="1" ht="23.95" customHeight="1" x14ac:dyDescent="0.3">
      <c r="A480" s="31"/>
      <c r="B480" s="24">
        <v>467</v>
      </c>
      <c r="C480" s="24" t="s">
        <v>557</v>
      </c>
      <c r="D480" s="24" t="s">
        <v>40</v>
      </c>
      <c r="E480" s="24" t="s">
        <v>9</v>
      </c>
      <c r="F480" s="24">
        <v>14754</v>
      </c>
      <c r="G480" s="25">
        <v>43770</v>
      </c>
      <c r="H480" s="25">
        <v>45962</v>
      </c>
      <c r="I480" s="24" t="s">
        <v>10</v>
      </c>
      <c r="J480" s="24" t="s">
        <v>25</v>
      </c>
      <c r="K480" s="24" t="str">
        <f>IF(certifications[[#This Row],[ISSUE DATE]]="", "", TEXT(certifications[[#This Row],[ISSUE DATE]], "MMM"))</f>
        <v>Nov</v>
      </c>
      <c r="L480" s="35" t="str">
        <f>IF(certifications[[#This Row],[ISSUE DATE]]="", "", TEXT(certifications[[#This Row],[ISSUE DATE]], "YYYY"))</f>
        <v>2019</v>
      </c>
    </row>
    <row r="481" spans="1:12" s="29" customFormat="1" ht="23.95" customHeight="1" x14ac:dyDescent="0.3">
      <c r="A481" s="31"/>
      <c r="B481" s="24">
        <v>468</v>
      </c>
      <c r="C481" s="24" t="s">
        <v>558</v>
      </c>
      <c r="D481" s="24" t="s">
        <v>32</v>
      </c>
      <c r="E481" s="24" t="s">
        <v>9</v>
      </c>
      <c r="F481" s="24">
        <v>8451</v>
      </c>
      <c r="G481" s="25">
        <v>41412</v>
      </c>
      <c r="H481" s="25">
        <v>42142</v>
      </c>
      <c r="I481" s="24" t="s">
        <v>16</v>
      </c>
      <c r="J481" s="24" t="s">
        <v>33</v>
      </c>
      <c r="K481" s="24" t="str">
        <f>IF(certifications[[#This Row],[ISSUE DATE]]="", "", TEXT(certifications[[#This Row],[ISSUE DATE]], "MMM"))</f>
        <v>May</v>
      </c>
      <c r="L481" s="35" t="str">
        <f>IF(certifications[[#This Row],[ISSUE DATE]]="", "", TEXT(certifications[[#This Row],[ISSUE DATE]], "YYYY"))</f>
        <v>2013</v>
      </c>
    </row>
    <row r="482" spans="1:12" s="29" customFormat="1" ht="23.95" customHeight="1" x14ac:dyDescent="0.3">
      <c r="A482" s="31"/>
      <c r="B482" s="24">
        <v>469</v>
      </c>
      <c r="C482" s="24" t="s">
        <v>559</v>
      </c>
      <c r="D482" s="24" t="s">
        <v>109</v>
      </c>
      <c r="E482" s="24" t="s">
        <v>9</v>
      </c>
      <c r="F482" s="24">
        <v>9607</v>
      </c>
      <c r="G482" s="25">
        <v>42513</v>
      </c>
      <c r="H482" s="25">
        <v>43974</v>
      </c>
      <c r="I482" s="24" t="s">
        <v>16</v>
      </c>
      <c r="J482" s="24" t="s">
        <v>38</v>
      </c>
      <c r="K482" s="24" t="str">
        <f>IF(certifications[[#This Row],[ISSUE DATE]]="", "", TEXT(certifications[[#This Row],[ISSUE DATE]], "MMM"))</f>
        <v>May</v>
      </c>
      <c r="L482" s="35" t="str">
        <f>IF(certifications[[#This Row],[ISSUE DATE]]="", "", TEXT(certifications[[#This Row],[ISSUE DATE]], "YYYY"))</f>
        <v>2016</v>
      </c>
    </row>
    <row r="483" spans="1:12" s="29" customFormat="1" ht="23.95" customHeight="1" x14ac:dyDescent="0.3">
      <c r="A483" s="31"/>
      <c r="B483" s="24">
        <v>470</v>
      </c>
      <c r="C483" s="24" t="s">
        <v>560</v>
      </c>
      <c r="D483" s="24" t="s">
        <v>561</v>
      </c>
      <c r="E483" s="24" t="s">
        <v>9</v>
      </c>
      <c r="F483" s="24">
        <v>10595</v>
      </c>
      <c r="G483" s="25">
        <v>43081</v>
      </c>
      <c r="H483" s="25">
        <v>43811</v>
      </c>
      <c r="I483" s="24" t="s">
        <v>16</v>
      </c>
      <c r="J483" s="24" t="s">
        <v>19</v>
      </c>
      <c r="K483" s="24" t="str">
        <f>IF(certifications[[#This Row],[ISSUE DATE]]="", "", TEXT(certifications[[#This Row],[ISSUE DATE]], "MMM"))</f>
        <v>Dec</v>
      </c>
      <c r="L483" s="35" t="str">
        <f>IF(certifications[[#This Row],[ISSUE DATE]]="", "", TEXT(certifications[[#This Row],[ISSUE DATE]], "YYYY"))</f>
        <v>2017</v>
      </c>
    </row>
    <row r="484" spans="1:12" s="29" customFormat="1" ht="23.95" customHeight="1" x14ac:dyDescent="0.3">
      <c r="A484" s="31"/>
      <c r="B484" s="24">
        <v>471</v>
      </c>
      <c r="C484" s="24" t="s">
        <v>562</v>
      </c>
      <c r="D484" s="24" t="s">
        <v>32</v>
      </c>
      <c r="E484" s="24" t="s">
        <v>9</v>
      </c>
      <c r="F484" s="24">
        <v>14911</v>
      </c>
      <c r="G484" s="25">
        <v>43809</v>
      </c>
      <c r="H484" s="25">
        <v>44540</v>
      </c>
      <c r="I484" s="24" t="s">
        <v>16</v>
      </c>
      <c r="J484" s="24" t="s">
        <v>33</v>
      </c>
      <c r="K484" s="24" t="str">
        <f>IF(certifications[[#This Row],[ISSUE DATE]]="", "", TEXT(certifications[[#This Row],[ISSUE DATE]], "MMM"))</f>
        <v>Dec</v>
      </c>
      <c r="L484" s="35" t="str">
        <f>IF(certifications[[#This Row],[ISSUE DATE]]="", "", TEXT(certifications[[#This Row],[ISSUE DATE]], "YYYY"))</f>
        <v>2019</v>
      </c>
    </row>
    <row r="485" spans="1:12" s="29" customFormat="1" ht="23.95" customHeight="1" x14ac:dyDescent="0.3">
      <c r="A485" s="31"/>
      <c r="B485" s="24">
        <v>472</v>
      </c>
      <c r="C485" s="24" t="s">
        <v>563</v>
      </c>
      <c r="D485" s="24" t="s">
        <v>32</v>
      </c>
      <c r="E485" s="24" t="s">
        <v>9</v>
      </c>
      <c r="F485" s="24">
        <v>8153</v>
      </c>
      <c r="G485" s="25">
        <v>41111</v>
      </c>
      <c r="H485" s="25">
        <v>41841</v>
      </c>
      <c r="I485" s="24" t="s">
        <v>16</v>
      </c>
      <c r="J485" s="24" t="s">
        <v>33</v>
      </c>
      <c r="K485" s="24" t="str">
        <f>IF(certifications[[#This Row],[ISSUE DATE]]="", "", TEXT(certifications[[#This Row],[ISSUE DATE]], "MMM"))</f>
        <v>Jul</v>
      </c>
      <c r="L485" s="35" t="str">
        <f>IF(certifications[[#This Row],[ISSUE DATE]]="", "", TEXT(certifications[[#This Row],[ISSUE DATE]], "YYYY"))</f>
        <v>2012</v>
      </c>
    </row>
    <row r="486" spans="1:12" s="29" customFormat="1" ht="23.95" customHeight="1" x14ac:dyDescent="0.3">
      <c r="A486" s="31"/>
      <c r="B486" s="24">
        <v>473</v>
      </c>
      <c r="C486" s="24" t="s">
        <v>564</v>
      </c>
      <c r="D486" s="24" t="s">
        <v>565</v>
      </c>
      <c r="E486" s="24" t="s">
        <v>9</v>
      </c>
      <c r="F486" s="24">
        <v>15695</v>
      </c>
      <c r="G486" s="25">
        <v>44172</v>
      </c>
      <c r="H486" s="25">
        <v>46363</v>
      </c>
      <c r="I486" s="24" t="s">
        <v>10</v>
      </c>
      <c r="J486" s="24" t="s">
        <v>38</v>
      </c>
      <c r="K486" s="24" t="str">
        <f>IF(certifications[[#This Row],[ISSUE DATE]]="", "", TEXT(certifications[[#This Row],[ISSUE DATE]], "MMM"))</f>
        <v>Dec</v>
      </c>
      <c r="L486" s="35" t="str">
        <f>IF(certifications[[#This Row],[ISSUE DATE]]="", "", TEXT(certifications[[#This Row],[ISSUE DATE]], "YYYY"))</f>
        <v>2020</v>
      </c>
    </row>
    <row r="487" spans="1:12" s="29" customFormat="1" ht="23.95" customHeight="1" x14ac:dyDescent="0.3">
      <c r="A487" s="31"/>
      <c r="B487" s="24">
        <v>474</v>
      </c>
      <c r="C487" s="24" t="s">
        <v>566</v>
      </c>
      <c r="D487" s="24" t="s">
        <v>337</v>
      </c>
      <c r="E487" s="24" t="s">
        <v>26</v>
      </c>
      <c r="F487" s="24">
        <v>13501</v>
      </c>
      <c r="G487" s="25">
        <v>43626</v>
      </c>
      <c r="H487" s="25">
        <v>44357</v>
      </c>
      <c r="I487" s="24" t="s">
        <v>16</v>
      </c>
      <c r="J487" s="24" t="s">
        <v>30</v>
      </c>
      <c r="K487" s="24" t="str">
        <f>IF(certifications[[#This Row],[ISSUE DATE]]="", "", TEXT(certifications[[#This Row],[ISSUE DATE]], "MMM"))</f>
        <v>Jun</v>
      </c>
      <c r="L487" s="35" t="str">
        <f>IF(certifications[[#This Row],[ISSUE DATE]]="", "", TEXT(certifications[[#This Row],[ISSUE DATE]], "YYYY"))</f>
        <v>2019</v>
      </c>
    </row>
    <row r="488" spans="1:12" s="29" customFormat="1" ht="23.95" customHeight="1" x14ac:dyDescent="0.3">
      <c r="A488" s="31"/>
      <c r="B488" s="24">
        <v>475</v>
      </c>
      <c r="C488" s="24" t="s">
        <v>567</v>
      </c>
      <c r="D488" s="24" t="s">
        <v>305</v>
      </c>
      <c r="E488" s="24" t="s">
        <v>9</v>
      </c>
      <c r="F488" s="24">
        <v>7348</v>
      </c>
      <c r="G488" s="25">
        <v>41816</v>
      </c>
      <c r="H488" s="25">
        <v>43277</v>
      </c>
      <c r="I488" s="24" t="s">
        <v>16</v>
      </c>
      <c r="J488" s="24" t="s">
        <v>22</v>
      </c>
      <c r="K488" s="24" t="str">
        <f>IF(certifications[[#This Row],[ISSUE DATE]]="", "", TEXT(certifications[[#This Row],[ISSUE DATE]], "MMM"))</f>
        <v>Jun</v>
      </c>
      <c r="L488" s="35" t="str">
        <f>IF(certifications[[#This Row],[ISSUE DATE]]="", "", TEXT(certifications[[#This Row],[ISSUE DATE]], "YYYY"))</f>
        <v>2014</v>
      </c>
    </row>
    <row r="489" spans="1:12" s="29" customFormat="1" ht="23.95" customHeight="1" x14ac:dyDescent="0.3">
      <c r="A489" s="31"/>
      <c r="B489" s="24">
        <v>476</v>
      </c>
      <c r="C489" s="24" t="s">
        <v>568</v>
      </c>
      <c r="D489" s="24" t="s">
        <v>13</v>
      </c>
      <c r="E489" s="24" t="s">
        <v>9</v>
      </c>
      <c r="F489" s="24">
        <v>10111</v>
      </c>
      <c r="G489" s="25">
        <v>42846</v>
      </c>
      <c r="H489" s="25">
        <v>44307</v>
      </c>
      <c r="I489" s="24" t="s">
        <v>16</v>
      </c>
      <c r="J489" s="24" t="s">
        <v>14</v>
      </c>
      <c r="K489" s="24" t="str">
        <f>IF(certifications[[#This Row],[ISSUE DATE]]="", "", TEXT(certifications[[#This Row],[ISSUE DATE]], "MMM"))</f>
        <v>Apr</v>
      </c>
      <c r="L489" s="35" t="str">
        <f>IF(certifications[[#This Row],[ISSUE DATE]]="", "", TEXT(certifications[[#This Row],[ISSUE DATE]], "YYYY"))</f>
        <v>2017</v>
      </c>
    </row>
    <row r="490" spans="1:12" s="29" customFormat="1" ht="23.95" customHeight="1" x14ac:dyDescent="0.3">
      <c r="A490" s="31"/>
      <c r="B490" s="24">
        <v>477</v>
      </c>
      <c r="C490" s="24" t="s">
        <v>569</v>
      </c>
      <c r="D490" s="24" t="s">
        <v>298</v>
      </c>
      <c r="E490" s="24" t="s">
        <v>9</v>
      </c>
      <c r="F490" s="24">
        <v>8155</v>
      </c>
      <c r="G490" s="25">
        <v>41111</v>
      </c>
      <c r="H490" s="25">
        <v>42572</v>
      </c>
      <c r="I490" s="24" t="s">
        <v>16</v>
      </c>
      <c r="J490" s="24" t="s">
        <v>30</v>
      </c>
      <c r="K490" s="24" t="str">
        <f>IF(certifications[[#This Row],[ISSUE DATE]]="", "", TEXT(certifications[[#This Row],[ISSUE DATE]], "MMM"))</f>
        <v>Jul</v>
      </c>
      <c r="L490" s="35" t="str">
        <f>IF(certifications[[#This Row],[ISSUE DATE]]="", "", TEXT(certifications[[#This Row],[ISSUE DATE]], "YYYY"))</f>
        <v>2012</v>
      </c>
    </row>
    <row r="491" spans="1:12" s="29" customFormat="1" ht="23.95" customHeight="1" x14ac:dyDescent="0.3">
      <c r="A491" s="31"/>
      <c r="B491" s="24">
        <v>478</v>
      </c>
      <c r="C491" s="24" t="s">
        <v>570</v>
      </c>
      <c r="D491" s="24" t="s">
        <v>13</v>
      </c>
      <c r="E491" s="24" t="s">
        <v>9</v>
      </c>
      <c r="F491" s="24">
        <v>16857</v>
      </c>
      <c r="G491" s="25">
        <v>44461</v>
      </c>
      <c r="H491" s="25">
        <v>45922</v>
      </c>
      <c r="I491" s="24" t="s">
        <v>10</v>
      </c>
      <c r="J491" s="24" t="s">
        <v>14</v>
      </c>
      <c r="K491" s="24" t="str">
        <f>IF(certifications[[#This Row],[ISSUE DATE]]="", "", TEXT(certifications[[#This Row],[ISSUE DATE]], "MMM"))</f>
        <v>Sep</v>
      </c>
      <c r="L491" s="35" t="str">
        <f>IF(certifications[[#This Row],[ISSUE DATE]]="", "", TEXT(certifications[[#This Row],[ISSUE DATE]], "YYYY"))</f>
        <v>2021</v>
      </c>
    </row>
    <row r="492" spans="1:12" s="29" customFormat="1" ht="23.95" customHeight="1" x14ac:dyDescent="0.3">
      <c r="A492" s="31"/>
      <c r="B492" s="24">
        <v>479</v>
      </c>
      <c r="C492" s="24" t="s">
        <v>570</v>
      </c>
      <c r="D492" s="24" t="s">
        <v>13</v>
      </c>
      <c r="E492" s="24" t="s">
        <v>26</v>
      </c>
      <c r="F492" s="24">
        <v>16857</v>
      </c>
      <c r="G492" s="25">
        <v>45174</v>
      </c>
      <c r="H492" s="25">
        <v>45905</v>
      </c>
      <c r="I492" s="24" t="s">
        <v>10</v>
      </c>
      <c r="J492" s="24" t="s">
        <v>14</v>
      </c>
      <c r="K492" s="24" t="str">
        <f>IF(certifications[[#This Row],[ISSUE DATE]]="", "", TEXT(certifications[[#This Row],[ISSUE DATE]], "MMM"))</f>
        <v>Sep</v>
      </c>
      <c r="L492" s="35" t="str">
        <f>IF(certifications[[#This Row],[ISSUE DATE]]="", "", TEXT(certifications[[#This Row],[ISSUE DATE]], "YYYY"))</f>
        <v>2023</v>
      </c>
    </row>
    <row r="493" spans="1:12" s="29" customFormat="1" ht="23.95" customHeight="1" x14ac:dyDescent="0.3">
      <c r="A493" s="31"/>
      <c r="B493" s="24">
        <v>480</v>
      </c>
      <c r="C493" s="24" t="s">
        <v>571</v>
      </c>
      <c r="D493" s="24" t="s">
        <v>269</v>
      </c>
      <c r="E493" s="24" t="s">
        <v>9</v>
      </c>
      <c r="F493" s="24">
        <v>15522</v>
      </c>
      <c r="G493" s="25">
        <v>44096</v>
      </c>
      <c r="H493" s="25">
        <v>44826</v>
      </c>
      <c r="I493" s="24" t="s">
        <v>16</v>
      </c>
      <c r="J493" s="24" t="s">
        <v>25</v>
      </c>
      <c r="K493" s="24" t="str">
        <f>IF(certifications[[#This Row],[ISSUE DATE]]="", "", TEXT(certifications[[#This Row],[ISSUE DATE]], "MMM"))</f>
        <v>Sep</v>
      </c>
      <c r="L493" s="35" t="str">
        <f>IF(certifications[[#This Row],[ISSUE DATE]]="", "", TEXT(certifications[[#This Row],[ISSUE DATE]], "YYYY"))</f>
        <v>2020</v>
      </c>
    </row>
    <row r="494" spans="1:12" s="29" customFormat="1" ht="23.95" customHeight="1" x14ac:dyDescent="0.3">
      <c r="A494" s="31"/>
      <c r="B494" s="24">
        <v>481</v>
      </c>
      <c r="C494" s="24" t="s">
        <v>572</v>
      </c>
      <c r="D494" s="24" t="s">
        <v>238</v>
      </c>
      <c r="E494" s="24" t="s">
        <v>9</v>
      </c>
      <c r="F494" s="24">
        <v>21081</v>
      </c>
      <c r="G494" s="25">
        <v>45600</v>
      </c>
      <c r="H494" s="25">
        <v>46330</v>
      </c>
      <c r="I494" s="24" t="s">
        <v>10</v>
      </c>
      <c r="J494" s="24" t="s">
        <v>38</v>
      </c>
      <c r="K494" s="24" t="str">
        <f>IF(certifications[[#This Row],[ISSUE DATE]]="", "", TEXT(certifications[[#This Row],[ISSUE DATE]], "MMM"))</f>
        <v>Nov</v>
      </c>
      <c r="L494" s="35" t="str">
        <f>IF(certifications[[#This Row],[ISSUE DATE]]="", "", TEXT(certifications[[#This Row],[ISSUE DATE]], "YYYY"))</f>
        <v>2024</v>
      </c>
    </row>
    <row r="495" spans="1:12" s="29" customFormat="1" ht="23.95" customHeight="1" x14ac:dyDescent="0.3">
      <c r="A495" s="31"/>
      <c r="B495" s="24">
        <v>482</v>
      </c>
      <c r="C495" s="24" t="s">
        <v>573</v>
      </c>
      <c r="D495" s="24" t="s">
        <v>545</v>
      </c>
      <c r="E495" s="24" t="s">
        <v>9</v>
      </c>
      <c r="F495" s="24">
        <v>8452</v>
      </c>
      <c r="G495" s="25">
        <v>41412</v>
      </c>
      <c r="H495" s="25">
        <v>45795</v>
      </c>
      <c r="I495" s="24" t="s">
        <v>82</v>
      </c>
      <c r="J495" s="24" t="s">
        <v>38</v>
      </c>
      <c r="K495" s="24" t="str">
        <f>IF(certifications[[#This Row],[ISSUE DATE]]="", "", TEXT(certifications[[#This Row],[ISSUE DATE]], "MMM"))</f>
        <v>May</v>
      </c>
      <c r="L495" s="35" t="str">
        <f>IF(certifications[[#This Row],[ISSUE DATE]]="", "", TEXT(certifications[[#This Row],[ISSUE DATE]], "YYYY"))</f>
        <v>2013</v>
      </c>
    </row>
    <row r="496" spans="1:12" s="29" customFormat="1" ht="23.95" customHeight="1" x14ac:dyDescent="0.3">
      <c r="A496" s="31"/>
      <c r="B496" s="24">
        <v>483</v>
      </c>
      <c r="C496" s="24" t="s">
        <v>574</v>
      </c>
      <c r="D496" s="24" t="s">
        <v>109</v>
      </c>
      <c r="E496" s="24" t="s">
        <v>9</v>
      </c>
      <c r="F496" s="24">
        <v>9041</v>
      </c>
      <c r="G496" s="25">
        <v>41922</v>
      </c>
      <c r="H496" s="25">
        <v>43383</v>
      </c>
      <c r="I496" s="24" t="s">
        <v>16</v>
      </c>
      <c r="J496" s="24" t="s">
        <v>38</v>
      </c>
      <c r="K496" s="24" t="str">
        <f>IF(certifications[[#This Row],[ISSUE DATE]]="", "", TEXT(certifications[[#This Row],[ISSUE DATE]], "MMM"))</f>
        <v>Oct</v>
      </c>
      <c r="L496" s="35" t="str">
        <f>IF(certifications[[#This Row],[ISSUE DATE]]="", "", TEXT(certifications[[#This Row],[ISSUE DATE]], "YYYY"))</f>
        <v>2014</v>
      </c>
    </row>
    <row r="497" spans="1:12" s="29" customFormat="1" ht="23.95" customHeight="1" x14ac:dyDescent="0.3">
      <c r="A497" s="31"/>
      <c r="B497" s="24">
        <v>484</v>
      </c>
      <c r="C497" s="24" t="s">
        <v>575</v>
      </c>
      <c r="D497" s="24" t="s">
        <v>32</v>
      </c>
      <c r="E497" s="24" t="s">
        <v>9</v>
      </c>
      <c r="F497" s="24">
        <v>10013</v>
      </c>
      <c r="G497" s="25">
        <v>42753</v>
      </c>
      <c r="H497" s="25">
        <v>43483</v>
      </c>
      <c r="I497" s="24" t="s">
        <v>16</v>
      </c>
      <c r="J497" s="24" t="s">
        <v>33</v>
      </c>
      <c r="K497" s="24" t="str">
        <f>IF(certifications[[#This Row],[ISSUE DATE]]="", "", TEXT(certifications[[#This Row],[ISSUE DATE]], "MMM"))</f>
        <v>Jan</v>
      </c>
      <c r="L497" s="35" t="str">
        <f>IF(certifications[[#This Row],[ISSUE DATE]]="", "", TEXT(certifications[[#This Row],[ISSUE DATE]], "YYYY"))</f>
        <v>2017</v>
      </c>
    </row>
    <row r="498" spans="1:12" s="29" customFormat="1" ht="23.95" customHeight="1" x14ac:dyDescent="0.3">
      <c r="A498" s="31"/>
      <c r="B498" s="24">
        <v>485</v>
      </c>
      <c r="C498" s="24" t="s">
        <v>576</v>
      </c>
      <c r="D498" s="24" t="s">
        <v>577</v>
      </c>
      <c r="E498" s="24" t="s">
        <v>9</v>
      </c>
      <c r="F498" s="24">
        <v>17240</v>
      </c>
      <c r="G498" s="25">
        <v>44801</v>
      </c>
      <c r="H498" s="25">
        <v>45532</v>
      </c>
      <c r="I498" s="24" t="s">
        <v>82</v>
      </c>
      <c r="J498" s="24" t="s">
        <v>19</v>
      </c>
      <c r="K498" s="24" t="str">
        <f>IF(certifications[[#This Row],[ISSUE DATE]]="", "", TEXT(certifications[[#This Row],[ISSUE DATE]], "MMM"))</f>
        <v>Aug</v>
      </c>
      <c r="L498" s="35" t="str">
        <f>IF(certifications[[#This Row],[ISSUE DATE]]="", "", TEXT(certifications[[#This Row],[ISSUE DATE]], "YYYY"))</f>
        <v>2022</v>
      </c>
    </row>
    <row r="499" spans="1:12" s="29" customFormat="1" ht="23.95" customHeight="1" x14ac:dyDescent="0.3">
      <c r="A499" s="31"/>
      <c r="B499" s="24">
        <v>486</v>
      </c>
      <c r="C499" s="24" t="s">
        <v>576</v>
      </c>
      <c r="D499" s="24" t="s">
        <v>577</v>
      </c>
      <c r="E499" s="24" t="s">
        <v>26</v>
      </c>
      <c r="F499" s="24">
        <v>17240</v>
      </c>
      <c r="G499" s="25">
        <v>44635</v>
      </c>
      <c r="H499" s="25">
        <v>45366</v>
      </c>
      <c r="I499" s="24" t="s">
        <v>16</v>
      </c>
      <c r="J499" s="24" t="s">
        <v>19</v>
      </c>
      <c r="K499" s="24" t="str">
        <f>IF(certifications[[#This Row],[ISSUE DATE]]="", "", TEXT(certifications[[#This Row],[ISSUE DATE]], "MMM"))</f>
        <v>Mar</v>
      </c>
      <c r="L499" s="35" t="str">
        <f>IF(certifications[[#This Row],[ISSUE DATE]]="", "", TEXT(certifications[[#This Row],[ISSUE DATE]], "YYYY"))</f>
        <v>2022</v>
      </c>
    </row>
    <row r="500" spans="1:12" s="29" customFormat="1" ht="23.95" customHeight="1" x14ac:dyDescent="0.3">
      <c r="A500" s="31"/>
      <c r="B500" s="24">
        <v>487</v>
      </c>
      <c r="C500" s="24" t="s">
        <v>578</v>
      </c>
      <c r="D500" s="24" t="s">
        <v>579</v>
      </c>
      <c r="E500" s="24" t="s">
        <v>9</v>
      </c>
      <c r="F500" s="24">
        <v>16951</v>
      </c>
      <c r="G500" s="25">
        <v>44498</v>
      </c>
      <c r="H500" s="25">
        <v>45959</v>
      </c>
      <c r="I500" s="24" t="s">
        <v>10</v>
      </c>
      <c r="J500" s="24" t="s">
        <v>19</v>
      </c>
      <c r="K500" s="24" t="str">
        <f>IF(certifications[[#This Row],[ISSUE DATE]]="", "", TEXT(certifications[[#This Row],[ISSUE DATE]], "MMM"))</f>
        <v>Oct</v>
      </c>
      <c r="L500" s="35" t="str">
        <f>IF(certifications[[#This Row],[ISSUE DATE]]="", "", TEXT(certifications[[#This Row],[ISSUE DATE]], "YYYY"))</f>
        <v>2021</v>
      </c>
    </row>
    <row r="501" spans="1:12" s="29" customFormat="1" ht="23.95" customHeight="1" x14ac:dyDescent="0.3">
      <c r="A501" s="31"/>
      <c r="B501" s="24">
        <v>488</v>
      </c>
      <c r="C501" s="24" t="s">
        <v>580</v>
      </c>
      <c r="D501" s="24" t="s">
        <v>80</v>
      </c>
      <c r="E501" s="24" t="s">
        <v>26</v>
      </c>
      <c r="F501" s="24">
        <v>16140</v>
      </c>
      <c r="G501" s="25">
        <v>44286</v>
      </c>
      <c r="H501" s="25">
        <v>45016</v>
      </c>
      <c r="I501" s="24" t="s">
        <v>16</v>
      </c>
      <c r="J501" s="24" t="s">
        <v>38</v>
      </c>
      <c r="K501" s="24" t="str">
        <f>IF(certifications[[#This Row],[ISSUE DATE]]="", "", TEXT(certifications[[#This Row],[ISSUE DATE]], "MMM"))</f>
        <v>Mar</v>
      </c>
      <c r="L501" s="35" t="str">
        <f>IF(certifications[[#This Row],[ISSUE DATE]]="", "", TEXT(certifications[[#This Row],[ISSUE DATE]], "YYYY"))</f>
        <v>2021</v>
      </c>
    </row>
    <row r="502" spans="1:12" s="29" customFormat="1" ht="23.95" customHeight="1" x14ac:dyDescent="0.3">
      <c r="A502" s="31"/>
      <c r="B502" s="24">
        <v>489</v>
      </c>
      <c r="C502" s="24" t="s">
        <v>581</v>
      </c>
      <c r="D502" s="24" t="s">
        <v>32</v>
      </c>
      <c r="E502" s="24" t="s">
        <v>9</v>
      </c>
      <c r="F502" s="24">
        <v>14015</v>
      </c>
      <c r="G502" s="25">
        <v>43670</v>
      </c>
      <c r="H502" s="25">
        <v>44401</v>
      </c>
      <c r="I502" s="24" t="s">
        <v>16</v>
      </c>
      <c r="J502" s="24" t="s">
        <v>33</v>
      </c>
      <c r="K502" s="24" t="str">
        <f>IF(certifications[[#This Row],[ISSUE DATE]]="", "", TEXT(certifications[[#This Row],[ISSUE DATE]], "MMM"))</f>
        <v>Jul</v>
      </c>
      <c r="L502" s="35" t="str">
        <f>IF(certifications[[#This Row],[ISSUE DATE]]="", "", TEXT(certifications[[#This Row],[ISSUE DATE]], "YYYY"))</f>
        <v>2019</v>
      </c>
    </row>
    <row r="503" spans="1:12" s="29" customFormat="1" ht="23.95" customHeight="1" x14ac:dyDescent="0.3">
      <c r="A503" s="31"/>
      <c r="B503" s="24">
        <v>490</v>
      </c>
      <c r="C503" s="24" t="s">
        <v>582</v>
      </c>
      <c r="D503" s="24" t="s">
        <v>32</v>
      </c>
      <c r="E503" s="24" t="s">
        <v>9</v>
      </c>
      <c r="F503" s="24">
        <v>8322</v>
      </c>
      <c r="G503" s="25">
        <v>41325</v>
      </c>
      <c r="H503" s="25">
        <v>42055</v>
      </c>
      <c r="I503" s="24" t="s">
        <v>16</v>
      </c>
      <c r="J503" s="24" t="s">
        <v>33</v>
      </c>
      <c r="K503" s="24" t="str">
        <f>IF(certifications[[#This Row],[ISSUE DATE]]="", "", TEXT(certifications[[#This Row],[ISSUE DATE]], "MMM"))</f>
        <v>Feb</v>
      </c>
      <c r="L503" s="35" t="str">
        <f>IF(certifications[[#This Row],[ISSUE DATE]]="", "", TEXT(certifications[[#This Row],[ISSUE DATE]], "YYYY"))</f>
        <v>2013</v>
      </c>
    </row>
    <row r="504" spans="1:12" s="29" customFormat="1" ht="23.95" customHeight="1" x14ac:dyDescent="0.3">
      <c r="A504" s="31"/>
      <c r="B504" s="24">
        <v>491</v>
      </c>
      <c r="C504" s="24" t="s">
        <v>583</v>
      </c>
      <c r="D504" s="24" t="s">
        <v>53</v>
      </c>
      <c r="E504" s="24" t="s">
        <v>9</v>
      </c>
      <c r="F504" s="24">
        <v>18434</v>
      </c>
      <c r="G504" s="25">
        <v>45005</v>
      </c>
      <c r="H504" s="25">
        <v>46466</v>
      </c>
      <c r="I504" s="24" t="s">
        <v>10</v>
      </c>
      <c r="J504" s="24" t="s">
        <v>25</v>
      </c>
      <c r="K504" s="24" t="str">
        <f>IF(certifications[[#This Row],[ISSUE DATE]]="", "", TEXT(certifications[[#This Row],[ISSUE DATE]], "MMM"))</f>
        <v>Mar</v>
      </c>
      <c r="L504" s="35" t="str">
        <f>IF(certifications[[#This Row],[ISSUE DATE]]="", "", TEXT(certifications[[#This Row],[ISSUE DATE]], "YYYY"))</f>
        <v>2023</v>
      </c>
    </row>
    <row r="505" spans="1:12" s="29" customFormat="1" ht="23.95" customHeight="1" x14ac:dyDescent="0.3">
      <c r="A505" s="31"/>
      <c r="B505" s="24">
        <v>492</v>
      </c>
      <c r="C505" s="24" t="s">
        <v>583</v>
      </c>
      <c r="D505" s="24" t="s">
        <v>53</v>
      </c>
      <c r="E505" s="24" t="s">
        <v>26</v>
      </c>
      <c r="F505" s="24">
        <v>18434</v>
      </c>
      <c r="G505" s="25">
        <v>45005</v>
      </c>
      <c r="H505" s="25">
        <v>46466</v>
      </c>
      <c r="I505" s="24" t="s">
        <v>10</v>
      </c>
      <c r="J505" s="24" t="s">
        <v>25</v>
      </c>
      <c r="K505" s="24" t="str">
        <f>IF(certifications[[#This Row],[ISSUE DATE]]="", "", TEXT(certifications[[#This Row],[ISSUE DATE]], "MMM"))</f>
        <v>Mar</v>
      </c>
      <c r="L505" s="35" t="str">
        <f>IF(certifications[[#This Row],[ISSUE DATE]]="", "", TEXT(certifications[[#This Row],[ISSUE DATE]], "YYYY"))</f>
        <v>2023</v>
      </c>
    </row>
    <row r="506" spans="1:12" s="29" customFormat="1" ht="23.95" customHeight="1" x14ac:dyDescent="0.3">
      <c r="A506" s="31"/>
      <c r="B506" s="24">
        <v>493</v>
      </c>
      <c r="C506" s="24" t="s">
        <v>584</v>
      </c>
      <c r="D506" s="24" t="s">
        <v>32</v>
      </c>
      <c r="E506" s="24" t="s">
        <v>9</v>
      </c>
      <c r="F506" s="24">
        <v>20335</v>
      </c>
      <c r="G506" s="25">
        <v>45436</v>
      </c>
      <c r="H506" s="25">
        <v>46166</v>
      </c>
      <c r="I506" s="24" t="s">
        <v>10</v>
      </c>
      <c r="J506" s="24" t="s">
        <v>33</v>
      </c>
      <c r="K506" s="24" t="str">
        <f>IF(certifications[[#This Row],[ISSUE DATE]]="", "", TEXT(certifications[[#This Row],[ISSUE DATE]], "MMM"))</f>
        <v>May</v>
      </c>
      <c r="L506" s="35" t="str">
        <f>IF(certifications[[#This Row],[ISSUE DATE]]="", "", TEXT(certifications[[#This Row],[ISSUE DATE]], "YYYY"))</f>
        <v>2024</v>
      </c>
    </row>
    <row r="507" spans="1:12" s="29" customFormat="1" ht="23.95" customHeight="1" x14ac:dyDescent="0.3">
      <c r="A507" s="31"/>
      <c r="B507" s="24">
        <v>494</v>
      </c>
      <c r="C507" s="24" t="s">
        <v>585</v>
      </c>
      <c r="D507" s="24" t="s">
        <v>235</v>
      </c>
      <c r="E507" s="24" t="s">
        <v>9</v>
      </c>
      <c r="F507" s="24">
        <v>96010</v>
      </c>
      <c r="G507" s="25">
        <v>42514</v>
      </c>
      <c r="H507" s="25">
        <v>43244</v>
      </c>
      <c r="I507" s="24" t="s">
        <v>16</v>
      </c>
      <c r="J507" s="24" t="s">
        <v>22</v>
      </c>
      <c r="K507" s="24" t="str">
        <f>IF(certifications[[#This Row],[ISSUE DATE]]="", "", TEXT(certifications[[#This Row],[ISSUE DATE]], "MMM"))</f>
        <v>May</v>
      </c>
      <c r="L507" s="35" t="str">
        <f>IF(certifications[[#This Row],[ISSUE DATE]]="", "", TEXT(certifications[[#This Row],[ISSUE DATE]], "YYYY"))</f>
        <v>2016</v>
      </c>
    </row>
    <row r="508" spans="1:12" s="29" customFormat="1" ht="23.95" customHeight="1" x14ac:dyDescent="0.3">
      <c r="A508" s="31"/>
      <c r="B508" s="24">
        <v>495</v>
      </c>
      <c r="C508" s="24" t="s">
        <v>586</v>
      </c>
      <c r="D508" s="24" t="s">
        <v>32</v>
      </c>
      <c r="E508" s="24" t="s">
        <v>9</v>
      </c>
      <c r="F508" s="24">
        <v>8943</v>
      </c>
      <c r="G508" s="25">
        <v>41817</v>
      </c>
      <c r="H508" s="25">
        <v>42548</v>
      </c>
      <c r="I508" s="24" t="s">
        <v>16</v>
      </c>
      <c r="J508" s="24" t="s">
        <v>33</v>
      </c>
      <c r="K508" s="24" t="str">
        <f>IF(certifications[[#This Row],[ISSUE DATE]]="", "", TEXT(certifications[[#This Row],[ISSUE DATE]], "MMM"))</f>
        <v>Jun</v>
      </c>
      <c r="L508" s="35" t="str">
        <f>IF(certifications[[#This Row],[ISSUE DATE]]="", "", TEXT(certifications[[#This Row],[ISSUE DATE]], "YYYY"))</f>
        <v>2014</v>
      </c>
    </row>
    <row r="509" spans="1:12" s="29" customFormat="1" ht="23.95" customHeight="1" x14ac:dyDescent="0.3">
      <c r="A509" s="31"/>
      <c r="B509" s="24">
        <v>496</v>
      </c>
      <c r="C509" s="24" t="s">
        <v>587</v>
      </c>
      <c r="D509" s="24" t="s">
        <v>18</v>
      </c>
      <c r="E509" s="24" t="s">
        <v>9</v>
      </c>
      <c r="F509" s="24">
        <v>3467</v>
      </c>
      <c r="G509" s="25">
        <v>41541</v>
      </c>
      <c r="H509" s="25">
        <v>45193</v>
      </c>
      <c r="I509" s="24" t="s">
        <v>16</v>
      </c>
      <c r="J509" s="24" t="s">
        <v>19</v>
      </c>
      <c r="K509" s="24" t="str">
        <f>IF(certifications[[#This Row],[ISSUE DATE]]="", "", TEXT(certifications[[#This Row],[ISSUE DATE]], "MMM"))</f>
        <v>Sep</v>
      </c>
      <c r="L509" s="35" t="str">
        <f>IF(certifications[[#This Row],[ISSUE DATE]]="", "", TEXT(certifications[[#This Row],[ISSUE DATE]], "YYYY"))</f>
        <v>2013</v>
      </c>
    </row>
    <row r="510" spans="1:12" s="29" customFormat="1" ht="23.95" customHeight="1" x14ac:dyDescent="0.3">
      <c r="A510" s="31"/>
      <c r="B510" s="24">
        <v>497</v>
      </c>
      <c r="C510" s="24" t="s">
        <v>588</v>
      </c>
      <c r="D510" s="24" t="s">
        <v>59</v>
      </c>
      <c r="E510" s="24" t="s">
        <v>9</v>
      </c>
      <c r="F510" s="24">
        <v>10269</v>
      </c>
      <c r="G510" s="25">
        <v>42908</v>
      </c>
      <c r="H510" s="25">
        <v>44369</v>
      </c>
      <c r="I510" s="24" t="s">
        <v>16</v>
      </c>
      <c r="J510" s="24" t="s">
        <v>30</v>
      </c>
      <c r="K510" s="24" t="str">
        <f>IF(certifications[[#This Row],[ISSUE DATE]]="", "", TEXT(certifications[[#This Row],[ISSUE DATE]], "MMM"))</f>
        <v>Jun</v>
      </c>
      <c r="L510" s="35" t="str">
        <f>IF(certifications[[#This Row],[ISSUE DATE]]="", "", TEXT(certifications[[#This Row],[ISSUE DATE]], "YYYY"))</f>
        <v>2017</v>
      </c>
    </row>
    <row r="511" spans="1:12" s="29" customFormat="1" ht="23.95" customHeight="1" x14ac:dyDescent="0.3">
      <c r="A511" s="31"/>
      <c r="B511" s="24">
        <v>498</v>
      </c>
      <c r="C511" s="24" t="s">
        <v>589</v>
      </c>
      <c r="D511" s="24" t="s">
        <v>32</v>
      </c>
      <c r="E511" s="24" t="s">
        <v>9</v>
      </c>
      <c r="F511" s="24">
        <v>9119</v>
      </c>
      <c r="G511" s="25">
        <v>42069</v>
      </c>
      <c r="H511" s="25">
        <v>44261</v>
      </c>
      <c r="I511" s="24" t="s">
        <v>16</v>
      </c>
      <c r="J511" s="24" t="s">
        <v>33</v>
      </c>
      <c r="K511" s="24" t="str">
        <f>IF(certifications[[#This Row],[ISSUE DATE]]="", "", TEXT(certifications[[#This Row],[ISSUE DATE]], "MMM"))</f>
        <v>Mar</v>
      </c>
      <c r="L511" s="35" t="str">
        <f>IF(certifications[[#This Row],[ISSUE DATE]]="", "", TEXT(certifications[[#This Row],[ISSUE DATE]], "YYYY"))</f>
        <v>2015</v>
      </c>
    </row>
    <row r="512" spans="1:12" s="29" customFormat="1" ht="23.95" customHeight="1" x14ac:dyDescent="0.3">
      <c r="A512" s="31"/>
      <c r="B512" s="24">
        <v>499</v>
      </c>
      <c r="C512" s="24" t="s">
        <v>590</v>
      </c>
      <c r="D512" s="24" t="s">
        <v>141</v>
      </c>
      <c r="E512" s="24" t="s">
        <v>9</v>
      </c>
      <c r="F512" s="24">
        <v>10262</v>
      </c>
      <c r="G512" s="25">
        <v>42908</v>
      </c>
      <c r="H512" s="25">
        <v>44369</v>
      </c>
      <c r="I512" s="24" t="s">
        <v>16</v>
      </c>
      <c r="J512" s="24" t="s">
        <v>38</v>
      </c>
      <c r="K512" s="24" t="str">
        <f>IF(certifications[[#This Row],[ISSUE DATE]]="", "", TEXT(certifications[[#This Row],[ISSUE DATE]], "MMM"))</f>
        <v>Jun</v>
      </c>
      <c r="L512" s="35" t="str">
        <f>IF(certifications[[#This Row],[ISSUE DATE]]="", "", TEXT(certifications[[#This Row],[ISSUE DATE]], "YYYY"))</f>
        <v>2017</v>
      </c>
    </row>
    <row r="513" spans="1:12" s="29" customFormat="1" ht="23.95" customHeight="1" x14ac:dyDescent="0.3">
      <c r="A513" s="31"/>
      <c r="B513" s="24">
        <v>500</v>
      </c>
      <c r="C513" s="24" t="s">
        <v>591</v>
      </c>
      <c r="D513" s="24" t="s">
        <v>80</v>
      </c>
      <c r="E513" s="24" t="s">
        <v>9</v>
      </c>
      <c r="F513" s="24">
        <v>9171</v>
      </c>
      <c r="G513" s="25">
        <v>42132</v>
      </c>
      <c r="H513" s="25">
        <v>42863</v>
      </c>
      <c r="I513" s="24" t="s">
        <v>16</v>
      </c>
      <c r="J513" s="24" t="s">
        <v>38</v>
      </c>
      <c r="K513" s="24" t="str">
        <f>IF(certifications[[#This Row],[ISSUE DATE]]="", "", TEXT(certifications[[#This Row],[ISSUE DATE]], "MMM"))</f>
        <v>May</v>
      </c>
      <c r="L513" s="35" t="str">
        <f>IF(certifications[[#This Row],[ISSUE DATE]]="", "", TEXT(certifications[[#This Row],[ISSUE DATE]], "YYYY"))</f>
        <v>2015</v>
      </c>
    </row>
    <row r="514" spans="1:12" s="29" customFormat="1" ht="23.95" customHeight="1" x14ac:dyDescent="0.3">
      <c r="A514" s="31"/>
      <c r="B514" s="24">
        <v>501</v>
      </c>
      <c r="C514" s="24" t="s">
        <v>592</v>
      </c>
      <c r="D514" s="24" t="s">
        <v>593</v>
      </c>
      <c r="E514" s="24" t="s">
        <v>26</v>
      </c>
      <c r="F514" s="24">
        <v>12846</v>
      </c>
      <c r="G514" s="25">
        <v>43506</v>
      </c>
      <c r="H514" s="25">
        <v>44237</v>
      </c>
      <c r="I514" s="24" t="s">
        <v>16</v>
      </c>
      <c r="J514" s="24" t="s">
        <v>30</v>
      </c>
      <c r="K514" s="24" t="str">
        <f>IF(certifications[[#This Row],[ISSUE DATE]]="", "", TEXT(certifications[[#This Row],[ISSUE DATE]], "MMM"))</f>
        <v>Feb</v>
      </c>
      <c r="L514" s="35" t="str">
        <f>IF(certifications[[#This Row],[ISSUE DATE]]="", "", TEXT(certifications[[#This Row],[ISSUE DATE]], "YYYY"))</f>
        <v>2019</v>
      </c>
    </row>
    <row r="515" spans="1:12" s="29" customFormat="1" ht="23.95" customHeight="1" x14ac:dyDescent="0.3">
      <c r="A515" s="31"/>
      <c r="B515" s="24">
        <v>502</v>
      </c>
      <c r="C515" s="24" t="s">
        <v>594</v>
      </c>
      <c r="D515" s="24" t="s">
        <v>80</v>
      </c>
      <c r="E515" s="24" t="s">
        <v>9</v>
      </c>
      <c r="F515" s="24">
        <v>18594</v>
      </c>
      <c r="G515" s="25">
        <v>45056</v>
      </c>
      <c r="H515" s="25">
        <v>45787</v>
      </c>
      <c r="I515" s="24" t="s">
        <v>82</v>
      </c>
      <c r="J515" s="24" t="s">
        <v>38</v>
      </c>
      <c r="K515" s="24" t="str">
        <f>IF(certifications[[#This Row],[ISSUE DATE]]="", "", TEXT(certifications[[#This Row],[ISSUE DATE]], "MMM"))</f>
        <v>May</v>
      </c>
      <c r="L515" s="35" t="str">
        <f>IF(certifications[[#This Row],[ISSUE DATE]]="", "", TEXT(certifications[[#This Row],[ISSUE DATE]], "YYYY"))</f>
        <v>2023</v>
      </c>
    </row>
    <row r="516" spans="1:12" s="29" customFormat="1" ht="23.95" customHeight="1" x14ac:dyDescent="0.3">
      <c r="A516" s="31"/>
      <c r="B516" s="24">
        <v>503</v>
      </c>
      <c r="C516" s="24" t="s">
        <v>595</v>
      </c>
      <c r="D516" s="24" t="s">
        <v>48</v>
      </c>
      <c r="E516" s="24" t="s">
        <v>9</v>
      </c>
      <c r="F516" s="24">
        <v>21005</v>
      </c>
      <c r="G516" s="25">
        <v>45587</v>
      </c>
      <c r="H516" s="25">
        <v>46317</v>
      </c>
      <c r="I516" s="24" t="s">
        <v>10</v>
      </c>
      <c r="J516" s="24" t="s">
        <v>38</v>
      </c>
      <c r="K516" s="24" t="str">
        <f>IF(certifications[[#This Row],[ISSUE DATE]]="", "", TEXT(certifications[[#This Row],[ISSUE DATE]], "MMM"))</f>
        <v>Oct</v>
      </c>
      <c r="L516" s="35" t="str">
        <f>IF(certifications[[#This Row],[ISSUE DATE]]="", "", TEXT(certifications[[#This Row],[ISSUE DATE]], "YYYY"))</f>
        <v>2024</v>
      </c>
    </row>
    <row r="517" spans="1:12" s="29" customFormat="1" ht="23.95" customHeight="1" x14ac:dyDescent="0.3">
      <c r="A517" s="31"/>
      <c r="B517" s="24">
        <v>504</v>
      </c>
      <c r="C517" s="24" t="s">
        <v>595</v>
      </c>
      <c r="D517" s="24" t="s">
        <v>48</v>
      </c>
      <c r="E517" s="24" t="s">
        <v>26</v>
      </c>
      <c r="F517" s="24">
        <v>21005</v>
      </c>
      <c r="G517" s="25">
        <v>45581</v>
      </c>
      <c r="H517" s="25">
        <v>46311</v>
      </c>
      <c r="I517" s="24" t="s">
        <v>10</v>
      </c>
      <c r="J517" s="24" t="s">
        <v>38</v>
      </c>
      <c r="K517" s="24" t="str">
        <f>IF(certifications[[#This Row],[ISSUE DATE]]="", "", TEXT(certifications[[#This Row],[ISSUE DATE]], "MMM"))</f>
        <v>Oct</v>
      </c>
      <c r="L517" s="35" t="str">
        <f>IF(certifications[[#This Row],[ISSUE DATE]]="", "", TEXT(certifications[[#This Row],[ISSUE DATE]], "YYYY"))</f>
        <v>2024</v>
      </c>
    </row>
    <row r="518" spans="1:12" s="29" customFormat="1" ht="23.95" customHeight="1" x14ac:dyDescent="0.3">
      <c r="A518" s="31"/>
      <c r="B518" s="24">
        <v>505</v>
      </c>
      <c r="C518" s="24" t="s">
        <v>596</v>
      </c>
      <c r="D518" s="24" t="s">
        <v>46</v>
      </c>
      <c r="E518" s="24" t="s">
        <v>9</v>
      </c>
      <c r="F518" s="24">
        <v>12633</v>
      </c>
      <c r="G518" s="25">
        <v>43641</v>
      </c>
      <c r="H518" s="25">
        <v>44372</v>
      </c>
      <c r="I518" s="24" t="s">
        <v>16</v>
      </c>
      <c r="J518" s="24" t="s">
        <v>38</v>
      </c>
      <c r="K518" s="24" t="str">
        <f>IF(certifications[[#This Row],[ISSUE DATE]]="", "", TEXT(certifications[[#This Row],[ISSUE DATE]], "MMM"))</f>
        <v>Jun</v>
      </c>
      <c r="L518" s="35" t="str">
        <f>IF(certifications[[#This Row],[ISSUE DATE]]="", "", TEXT(certifications[[#This Row],[ISSUE DATE]], "YYYY"))</f>
        <v>2019</v>
      </c>
    </row>
    <row r="519" spans="1:12" s="29" customFormat="1" ht="23.95" customHeight="1" x14ac:dyDescent="0.3">
      <c r="A519" s="31"/>
      <c r="B519" s="24">
        <v>506</v>
      </c>
      <c r="C519" s="24" t="s">
        <v>597</v>
      </c>
      <c r="D519" s="24" t="s">
        <v>53</v>
      </c>
      <c r="E519" s="24" t="s">
        <v>9</v>
      </c>
      <c r="F519" s="24">
        <v>9230</v>
      </c>
      <c r="G519" s="25">
        <v>42172</v>
      </c>
      <c r="H519" s="25">
        <v>42903</v>
      </c>
      <c r="I519" s="24" t="s">
        <v>16</v>
      </c>
      <c r="J519" s="24" t="s">
        <v>25</v>
      </c>
      <c r="K519" s="24" t="str">
        <f>IF(certifications[[#This Row],[ISSUE DATE]]="", "", TEXT(certifications[[#This Row],[ISSUE DATE]], "MMM"))</f>
        <v>Jun</v>
      </c>
      <c r="L519" s="35" t="str">
        <f>IF(certifications[[#This Row],[ISSUE DATE]]="", "", TEXT(certifications[[#This Row],[ISSUE DATE]], "YYYY"))</f>
        <v>2015</v>
      </c>
    </row>
    <row r="520" spans="1:12" s="29" customFormat="1" ht="23.95" customHeight="1" x14ac:dyDescent="0.3">
      <c r="A520" s="31"/>
      <c r="B520" s="24">
        <v>507</v>
      </c>
      <c r="C520" s="24" t="s">
        <v>598</v>
      </c>
      <c r="D520" s="24" t="s">
        <v>593</v>
      </c>
      <c r="E520" s="24" t="s">
        <v>9</v>
      </c>
      <c r="F520" s="24">
        <v>18460</v>
      </c>
      <c r="G520" s="25">
        <v>45013</v>
      </c>
      <c r="H520" s="25">
        <v>46474</v>
      </c>
      <c r="I520" s="24" t="s">
        <v>10</v>
      </c>
      <c r="J520" s="24" t="s">
        <v>30</v>
      </c>
      <c r="K520" s="24" t="str">
        <f>IF(certifications[[#This Row],[ISSUE DATE]]="", "", TEXT(certifications[[#This Row],[ISSUE DATE]], "MMM"))</f>
        <v>Mar</v>
      </c>
      <c r="L520" s="35" t="str">
        <f>IF(certifications[[#This Row],[ISSUE DATE]]="", "", TEXT(certifications[[#This Row],[ISSUE DATE]], "YYYY"))</f>
        <v>2023</v>
      </c>
    </row>
    <row r="521" spans="1:12" s="29" customFormat="1" ht="23.95" customHeight="1" x14ac:dyDescent="0.3">
      <c r="A521" s="31"/>
      <c r="B521" s="24">
        <v>508</v>
      </c>
      <c r="C521" s="24" t="s">
        <v>599</v>
      </c>
      <c r="D521" s="24" t="s">
        <v>78</v>
      </c>
      <c r="E521" s="24" t="s">
        <v>9</v>
      </c>
      <c r="F521" s="24">
        <v>11275</v>
      </c>
      <c r="G521" s="25">
        <v>43445</v>
      </c>
      <c r="H521" s="25">
        <v>46367</v>
      </c>
      <c r="I521" s="24" t="s">
        <v>10</v>
      </c>
      <c r="J521" s="24" t="s">
        <v>25</v>
      </c>
      <c r="K521" s="24" t="str">
        <f>IF(certifications[[#This Row],[ISSUE DATE]]="", "", TEXT(certifications[[#This Row],[ISSUE DATE]], "MMM"))</f>
        <v>Dec</v>
      </c>
      <c r="L521" s="35" t="str">
        <f>IF(certifications[[#This Row],[ISSUE DATE]]="", "", TEXT(certifications[[#This Row],[ISSUE DATE]], "YYYY"))</f>
        <v>2018</v>
      </c>
    </row>
    <row r="522" spans="1:12" s="29" customFormat="1" ht="23.95" customHeight="1" x14ac:dyDescent="0.3">
      <c r="A522" s="31"/>
      <c r="B522" s="24">
        <v>509</v>
      </c>
      <c r="C522" s="24" t="s">
        <v>599</v>
      </c>
      <c r="D522" s="24" t="s">
        <v>78</v>
      </c>
      <c r="E522" s="24" t="s">
        <v>26</v>
      </c>
      <c r="F522" s="24">
        <v>11275</v>
      </c>
      <c r="G522" s="25">
        <v>44956</v>
      </c>
      <c r="H522" s="25">
        <v>46417</v>
      </c>
      <c r="I522" s="24" t="s">
        <v>10</v>
      </c>
      <c r="J522" s="24" t="s">
        <v>25</v>
      </c>
      <c r="K522" s="24" t="str">
        <f>IF(certifications[[#This Row],[ISSUE DATE]]="", "", TEXT(certifications[[#This Row],[ISSUE DATE]], "MMM"))</f>
        <v>Jan</v>
      </c>
      <c r="L522" s="35" t="str">
        <f>IF(certifications[[#This Row],[ISSUE DATE]]="", "", TEXT(certifications[[#This Row],[ISSUE DATE]], "YYYY"))</f>
        <v>2023</v>
      </c>
    </row>
    <row r="523" spans="1:12" s="29" customFormat="1" ht="23.95" customHeight="1" x14ac:dyDescent="0.3">
      <c r="A523" s="31"/>
      <c r="B523" s="24">
        <v>510</v>
      </c>
      <c r="C523" s="3" t="s">
        <v>599</v>
      </c>
      <c r="D523" s="3" t="s">
        <v>78</v>
      </c>
      <c r="E523" s="3" t="s">
        <v>27</v>
      </c>
      <c r="F523" s="3">
        <v>11275</v>
      </c>
      <c r="G523" s="4">
        <v>44303</v>
      </c>
      <c r="H523" s="4">
        <v>46494</v>
      </c>
      <c r="I523" s="3" t="s">
        <v>10</v>
      </c>
      <c r="J523" s="3" t="s">
        <v>25</v>
      </c>
      <c r="K523" s="3" t="str">
        <f>IF(certifications[[#This Row],[ISSUE DATE]]="", "", TEXT(certifications[[#This Row],[ISSUE DATE]], "MMM"))</f>
        <v>Apr</v>
      </c>
      <c r="L523" s="36" t="str">
        <f>IF(certifications[[#This Row],[ISSUE DATE]]="", "", TEXT(certifications[[#This Row],[ISSUE DATE]], "YYYY"))</f>
        <v>2021</v>
      </c>
    </row>
    <row r="524" spans="1:12" s="29" customFormat="1" ht="23.95" customHeight="1" x14ac:dyDescent="0.3">
      <c r="A524" s="31"/>
      <c r="B524" s="24">
        <v>511</v>
      </c>
      <c r="C524" s="24" t="s">
        <v>600</v>
      </c>
      <c r="D524" s="24" t="s">
        <v>18</v>
      </c>
      <c r="E524" s="24" t="s">
        <v>9</v>
      </c>
      <c r="F524" s="24">
        <v>10351</v>
      </c>
      <c r="G524" s="25">
        <v>42975</v>
      </c>
      <c r="H524" s="25">
        <v>43705</v>
      </c>
      <c r="I524" s="24" t="s">
        <v>16</v>
      </c>
      <c r="J524" s="24" t="s">
        <v>19</v>
      </c>
      <c r="K524" s="24" t="str">
        <f>IF(certifications[[#This Row],[ISSUE DATE]]="", "", TEXT(certifications[[#This Row],[ISSUE DATE]], "MMM"))</f>
        <v>Aug</v>
      </c>
      <c r="L524" s="35" t="str">
        <f>IF(certifications[[#This Row],[ISSUE DATE]]="", "", TEXT(certifications[[#This Row],[ISSUE DATE]], "YYYY"))</f>
        <v>2017</v>
      </c>
    </row>
    <row r="525" spans="1:12" s="29" customFormat="1" ht="23.95" customHeight="1" x14ac:dyDescent="0.3">
      <c r="A525" s="31"/>
      <c r="B525" s="24">
        <v>512</v>
      </c>
      <c r="C525" s="24" t="s">
        <v>601</v>
      </c>
      <c r="D525" s="24" t="s">
        <v>269</v>
      </c>
      <c r="E525" s="24" t="s">
        <v>26</v>
      </c>
      <c r="F525" s="24">
        <v>11465</v>
      </c>
      <c r="G525" s="25">
        <v>43245</v>
      </c>
      <c r="H525" s="25">
        <v>43976</v>
      </c>
      <c r="I525" s="24" t="s">
        <v>16</v>
      </c>
      <c r="J525" s="24" t="s">
        <v>25</v>
      </c>
      <c r="K525" s="24" t="str">
        <f>IF(certifications[[#This Row],[ISSUE DATE]]="", "", TEXT(certifications[[#This Row],[ISSUE DATE]], "MMM"))</f>
        <v>May</v>
      </c>
      <c r="L525" s="35" t="str">
        <f>IF(certifications[[#This Row],[ISSUE DATE]]="", "", TEXT(certifications[[#This Row],[ISSUE DATE]], "YYYY"))</f>
        <v>2018</v>
      </c>
    </row>
    <row r="526" spans="1:12" s="29" customFormat="1" ht="23.95" customHeight="1" x14ac:dyDescent="0.3">
      <c r="A526" s="31"/>
      <c r="B526" s="24">
        <v>513</v>
      </c>
      <c r="C526" s="24" t="s">
        <v>602</v>
      </c>
      <c r="D526" s="24" t="s">
        <v>141</v>
      </c>
      <c r="E526" s="24" t="s">
        <v>9</v>
      </c>
      <c r="F526" s="24">
        <v>8921</v>
      </c>
      <c r="G526" s="25">
        <v>41816</v>
      </c>
      <c r="H526" s="25">
        <v>42547</v>
      </c>
      <c r="I526" s="24" t="s">
        <v>16</v>
      </c>
      <c r="J526" s="24" t="s">
        <v>38</v>
      </c>
      <c r="K526" s="24" t="str">
        <f>IF(certifications[[#This Row],[ISSUE DATE]]="", "", TEXT(certifications[[#This Row],[ISSUE DATE]], "MMM"))</f>
        <v>Jun</v>
      </c>
      <c r="L526" s="35" t="str">
        <f>IF(certifications[[#This Row],[ISSUE DATE]]="", "", TEXT(certifications[[#This Row],[ISSUE DATE]], "YYYY"))</f>
        <v>2014</v>
      </c>
    </row>
    <row r="527" spans="1:12" s="29" customFormat="1" ht="23.95" customHeight="1" x14ac:dyDescent="0.3">
      <c r="A527" s="31"/>
      <c r="B527" s="24">
        <v>514</v>
      </c>
      <c r="C527" s="24" t="s">
        <v>603</v>
      </c>
      <c r="D527" s="24" t="s">
        <v>593</v>
      </c>
      <c r="E527" s="24" t="s">
        <v>26</v>
      </c>
      <c r="F527" s="24">
        <v>15219</v>
      </c>
      <c r="G527" s="25">
        <v>43974</v>
      </c>
      <c r="H527" s="25">
        <v>45435</v>
      </c>
      <c r="I527" s="24" t="s">
        <v>16</v>
      </c>
      <c r="J527" s="24" t="s">
        <v>30</v>
      </c>
      <c r="K527" s="24" t="str">
        <f>IF(certifications[[#This Row],[ISSUE DATE]]="", "", TEXT(certifications[[#This Row],[ISSUE DATE]], "MMM"))</f>
        <v>May</v>
      </c>
      <c r="L527" s="35" t="str">
        <f>IF(certifications[[#This Row],[ISSUE DATE]]="", "", TEXT(certifications[[#This Row],[ISSUE DATE]], "YYYY"))</f>
        <v>2020</v>
      </c>
    </row>
    <row r="528" spans="1:12" s="29" customFormat="1" ht="23.95" customHeight="1" x14ac:dyDescent="0.3">
      <c r="A528" s="31"/>
      <c r="B528" s="24">
        <v>515</v>
      </c>
      <c r="C528" s="24" t="s">
        <v>604</v>
      </c>
      <c r="D528" s="24" t="s">
        <v>46</v>
      </c>
      <c r="E528" s="24" t="s">
        <v>9</v>
      </c>
      <c r="F528" s="24">
        <v>8199</v>
      </c>
      <c r="G528" s="25">
        <v>41159</v>
      </c>
      <c r="H528" s="25">
        <v>46272</v>
      </c>
      <c r="I528" s="24" t="s">
        <v>10</v>
      </c>
      <c r="J528" s="24" t="s">
        <v>38</v>
      </c>
      <c r="K528" s="24" t="str">
        <f>IF(certifications[[#This Row],[ISSUE DATE]]="", "", TEXT(certifications[[#This Row],[ISSUE DATE]], "MMM"))</f>
        <v>Sep</v>
      </c>
      <c r="L528" s="35" t="str">
        <f>IF(certifications[[#This Row],[ISSUE DATE]]="", "", TEXT(certifications[[#This Row],[ISSUE DATE]], "YYYY"))</f>
        <v>2012</v>
      </c>
    </row>
    <row r="529" spans="1:12" s="29" customFormat="1" ht="23.95" customHeight="1" x14ac:dyDescent="0.3">
      <c r="A529" s="31"/>
      <c r="B529" s="24">
        <v>516</v>
      </c>
      <c r="C529" s="24" t="s">
        <v>605</v>
      </c>
      <c r="D529" s="24" t="s">
        <v>202</v>
      </c>
      <c r="E529" s="24" t="s">
        <v>9</v>
      </c>
      <c r="F529" s="24">
        <v>18217</v>
      </c>
      <c r="G529" s="25">
        <v>44939</v>
      </c>
      <c r="H529" s="25">
        <v>45670</v>
      </c>
      <c r="I529" s="24" t="s">
        <v>82</v>
      </c>
      <c r="J529" s="24" t="s">
        <v>19</v>
      </c>
      <c r="K529" s="24" t="str">
        <f>IF(certifications[[#This Row],[ISSUE DATE]]="", "", TEXT(certifications[[#This Row],[ISSUE DATE]], "MMM"))</f>
        <v>Jan</v>
      </c>
      <c r="L529" s="35" t="str">
        <f>IF(certifications[[#This Row],[ISSUE DATE]]="", "", TEXT(certifications[[#This Row],[ISSUE DATE]], "YYYY"))</f>
        <v>2023</v>
      </c>
    </row>
    <row r="530" spans="1:12" s="29" customFormat="1" ht="23.95" customHeight="1" x14ac:dyDescent="0.3">
      <c r="A530" s="31"/>
      <c r="B530" s="24">
        <v>517</v>
      </c>
      <c r="C530" s="24" t="s">
        <v>606</v>
      </c>
      <c r="D530" s="24" t="s">
        <v>102</v>
      </c>
      <c r="E530" s="24" t="s">
        <v>9</v>
      </c>
      <c r="F530" s="24">
        <v>9242</v>
      </c>
      <c r="G530" s="25">
        <v>42180</v>
      </c>
      <c r="H530" s="25">
        <v>43641</v>
      </c>
      <c r="I530" s="24" t="s">
        <v>16</v>
      </c>
      <c r="J530" s="24" t="s">
        <v>38</v>
      </c>
      <c r="K530" s="24" t="str">
        <f>IF(certifications[[#This Row],[ISSUE DATE]]="", "", TEXT(certifications[[#This Row],[ISSUE DATE]], "MMM"))</f>
        <v>Jun</v>
      </c>
      <c r="L530" s="35" t="str">
        <f>IF(certifications[[#This Row],[ISSUE DATE]]="", "", TEXT(certifications[[#This Row],[ISSUE DATE]], "YYYY"))</f>
        <v>2015</v>
      </c>
    </row>
    <row r="531" spans="1:12" s="29" customFormat="1" ht="23.95" customHeight="1" x14ac:dyDescent="0.3">
      <c r="A531" s="31"/>
      <c r="B531" s="24">
        <v>518</v>
      </c>
      <c r="C531" s="24" t="s">
        <v>607</v>
      </c>
      <c r="D531" s="24" t="s">
        <v>148</v>
      </c>
      <c r="E531" s="24" t="s">
        <v>9</v>
      </c>
      <c r="F531" s="24">
        <v>8046</v>
      </c>
      <c r="G531" s="25">
        <v>40977</v>
      </c>
      <c r="H531" s="25">
        <v>42438</v>
      </c>
      <c r="I531" s="24" t="s">
        <v>16</v>
      </c>
      <c r="J531" s="24" t="s">
        <v>14</v>
      </c>
      <c r="K531" s="24" t="str">
        <f>IF(certifications[[#This Row],[ISSUE DATE]]="", "", TEXT(certifications[[#This Row],[ISSUE DATE]], "MMM"))</f>
        <v>Mar</v>
      </c>
      <c r="L531" s="35" t="str">
        <f>IF(certifications[[#This Row],[ISSUE DATE]]="", "", TEXT(certifications[[#This Row],[ISSUE DATE]], "YYYY"))</f>
        <v>2012</v>
      </c>
    </row>
    <row r="532" spans="1:12" s="29" customFormat="1" ht="23.95" customHeight="1" x14ac:dyDescent="0.3">
      <c r="A532" s="31"/>
      <c r="B532" s="24">
        <v>519</v>
      </c>
      <c r="C532" s="24" t="s">
        <v>608</v>
      </c>
      <c r="D532" s="24" t="s">
        <v>32</v>
      </c>
      <c r="E532" s="24" t="s">
        <v>9</v>
      </c>
      <c r="F532" s="24">
        <v>10854</v>
      </c>
      <c r="G532" s="25">
        <v>45342</v>
      </c>
      <c r="H532" s="25">
        <v>46073</v>
      </c>
      <c r="I532" s="24" t="s">
        <v>10</v>
      </c>
      <c r="J532" s="24" t="s">
        <v>33</v>
      </c>
      <c r="K532" s="24" t="str">
        <f>IF(certifications[[#This Row],[ISSUE DATE]]="", "", TEXT(certifications[[#This Row],[ISSUE DATE]], "MMM"))</f>
        <v>Feb</v>
      </c>
      <c r="L532" s="35" t="str">
        <f>IF(certifications[[#This Row],[ISSUE DATE]]="", "", TEXT(certifications[[#This Row],[ISSUE DATE]], "YYYY"))</f>
        <v>2024</v>
      </c>
    </row>
    <row r="533" spans="1:12" s="29" customFormat="1" ht="23.95" customHeight="1" x14ac:dyDescent="0.3">
      <c r="A533" s="31"/>
      <c r="B533" s="24">
        <v>520</v>
      </c>
      <c r="C533" s="24" t="s">
        <v>609</v>
      </c>
      <c r="D533" s="24" t="s">
        <v>32</v>
      </c>
      <c r="E533" s="24" t="s">
        <v>9</v>
      </c>
      <c r="F533" s="24">
        <v>9897</v>
      </c>
      <c r="G533" s="25">
        <v>42686</v>
      </c>
      <c r="H533" s="25">
        <v>44877</v>
      </c>
      <c r="I533" s="24" t="s">
        <v>16</v>
      </c>
      <c r="J533" s="24" t="s">
        <v>33</v>
      </c>
      <c r="K533" s="24" t="str">
        <f>IF(certifications[[#This Row],[ISSUE DATE]]="", "", TEXT(certifications[[#This Row],[ISSUE DATE]], "MMM"))</f>
        <v>Nov</v>
      </c>
      <c r="L533" s="35" t="str">
        <f>IF(certifications[[#This Row],[ISSUE DATE]]="", "", TEXT(certifications[[#This Row],[ISSUE DATE]], "YYYY"))</f>
        <v>2016</v>
      </c>
    </row>
    <row r="534" spans="1:12" s="29" customFormat="1" ht="23.95" customHeight="1" x14ac:dyDescent="0.3">
      <c r="A534" s="31"/>
      <c r="B534" s="24">
        <v>521</v>
      </c>
      <c r="C534" s="24" t="s">
        <v>610</v>
      </c>
      <c r="D534" s="24" t="s">
        <v>611</v>
      </c>
      <c r="E534" s="24" t="s">
        <v>9</v>
      </c>
      <c r="F534" s="24">
        <v>20997</v>
      </c>
      <c r="G534" s="25">
        <v>45580</v>
      </c>
      <c r="H534" s="25">
        <v>46310</v>
      </c>
      <c r="I534" s="24" t="s">
        <v>10</v>
      </c>
      <c r="J534" s="24" t="s">
        <v>22</v>
      </c>
      <c r="K534" s="24" t="str">
        <f>IF(certifications[[#This Row],[ISSUE DATE]]="", "", TEXT(certifications[[#This Row],[ISSUE DATE]], "MMM"))</f>
        <v>Oct</v>
      </c>
      <c r="L534" s="35" t="str">
        <f>IF(certifications[[#This Row],[ISSUE DATE]]="", "", TEXT(certifications[[#This Row],[ISSUE DATE]], "YYYY"))</f>
        <v>2024</v>
      </c>
    </row>
    <row r="535" spans="1:12" s="29" customFormat="1" ht="23.95" customHeight="1" x14ac:dyDescent="0.3">
      <c r="A535" s="31"/>
      <c r="B535" s="24">
        <v>522</v>
      </c>
      <c r="C535" s="24" t="s">
        <v>612</v>
      </c>
      <c r="D535" s="24" t="s">
        <v>53</v>
      </c>
      <c r="E535" s="24" t="s">
        <v>9</v>
      </c>
      <c r="F535" s="24">
        <v>20508</v>
      </c>
      <c r="G535" s="25">
        <v>45469</v>
      </c>
      <c r="H535" s="25">
        <v>46199</v>
      </c>
      <c r="I535" s="24" t="s">
        <v>10</v>
      </c>
      <c r="J535" s="24" t="s">
        <v>25</v>
      </c>
      <c r="K535" s="24" t="str">
        <f>IF(certifications[[#This Row],[ISSUE DATE]]="", "", TEXT(certifications[[#This Row],[ISSUE DATE]], "MMM"))</f>
        <v>Jun</v>
      </c>
      <c r="L535" s="35" t="str">
        <f>IF(certifications[[#This Row],[ISSUE DATE]]="", "", TEXT(certifications[[#This Row],[ISSUE DATE]], "YYYY"))</f>
        <v>2024</v>
      </c>
    </row>
    <row r="536" spans="1:12" s="29" customFormat="1" ht="23.95" customHeight="1" x14ac:dyDescent="0.3">
      <c r="A536" s="31"/>
      <c r="B536" s="24">
        <v>523</v>
      </c>
      <c r="C536" s="24" t="s">
        <v>613</v>
      </c>
      <c r="D536" s="24" t="s">
        <v>32</v>
      </c>
      <c r="E536" s="24" t="s">
        <v>9</v>
      </c>
      <c r="F536" s="24">
        <v>8270</v>
      </c>
      <c r="G536" s="25">
        <v>41255</v>
      </c>
      <c r="H536" s="25">
        <v>43446</v>
      </c>
      <c r="I536" s="24" t="s">
        <v>16</v>
      </c>
      <c r="J536" s="24" t="s">
        <v>33</v>
      </c>
      <c r="K536" s="24" t="str">
        <f>IF(certifications[[#This Row],[ISSUE DATE]]="", "", TEXT(certifications[[#This Row],[ISSUE DATE]], "MMM"))</f>
        <v>Dec</v>
      </c>
      <c r="L536" s="35" t="str">
        <f>IF(certifications[[#This Row],[ISSUE DATE]]="", "", TEXT(certifications[[#This Row],[ISSUE DATE]], "YYYY"))</f>
        <v>2012</v>
      </c>
    </row>
    <row r="537" spans="1:12" s="29" customFormat="1" ht="23.95" customHeight="1" x14ac:dyDescent="0.3">
      <c r="A537" s="31"/>
      <c r="B537" s="24">
        <v>524</v>
      </c>
      <c r="C537" s="24" t="s">
        <v>614</v>
      </c>
      <c r="D537" s="24" t="s">
        <v>59</v>
      </c>
      <c r="E537" s="24" t="s">
        <v>9</v>
      </c>
      <c r="F537" s="24">
        <v>15866</v>
      </c>
      <c r="G537" s="25">
        <v>44212</v>
      </c>
      <c r="H537" s="25">
        <v>45673</v>
      </c>
      <c r="I537" s="24" t="s">
        <v>82</v>
      </c>
      <c r="J537" s="24" t="s">
        <v>30</v>
      </c>
      <c r="K537" s="24" t="str">
        <f>IF(certifications[[#This Row],[ISSUE DATE]]="", "", TEXT(certifications[[#This Row],[ISSUE DATE]], "MMM"))</f>
        <v>Jan</v>
      </c>
      <c r="L537" s="35" t="str">
        <f>IF(certifications[[#This Row],[ISSUE DATE]]="", "", TEXT(certifications[[#This Row],[ISSUE DATE]], "YYYY"))</f>
        <v>2021</v>
      </c>
    </row>
    <row r="538" spans="1:12" s="29" customFormat="1" ht="23.95" customHeight="1" x14ac:dyDescent="0.3">
      <c r="A538" s="31"/>
      <c r="B538" s="24">
        <v>525</v>
      </c>
      <c r="C538" s="24" t="s">
        <v>615</v>
      </c>
      <c r="D538" s="24" t="s">
        <v>616</v>
      </c>
      <c r="E538" s="24" t="s">
        <v>26</v>
      </c>
      <c r="F538" s="24">
        <v>15793</v>
      </c>
      <c r="G538" s="25">
        <v>44189</v>
      </c>
      <c r="H538" s="25">
        <v>46380</v>
      </c>
      <c r="I538" s="24" t="s">
        <v>10</v>
      </c>
      <c r="J538" s="24" t="s">
        <v>22</v>
      </c>
      <c r="K538" s="24" t="str">
        <f>IF(certifications[[#This Row],[ISSUE DATE]]="", "", TEXT(certifications[[#This Row],[ISSUE DATE]], "MMM"))</f>
        <v>Dec</v>
      </c>
      <c r="L538" s="35" t="str">
        <f>IF(certifications[[#This Row],[ISSUE DATE]]="", "", TEXT(certifications[[#This Row],[ISSUE DATE]], "YYYY"))</f>
        <v>2020</v>
      </c>
    </row>
    <row r="539" spans="1:12" s="29" customFormat="1" ht="23.95" customHeight="1" x14ac:dyDescent="0.3">
      <c r="A539" s="31"/>
      <c r="B539" s="24">
        <v>526</v>
      </c>
      <c r="C539" s="24" t="s">
        <v>617</v>
      </c>
      <c r="D539" s="24" t="s">
        <v>618</v>
      </c>
      <c r="E539" s="24" t="s">
        <v>26</v>
      </c>
      <c r="F539" s="24">
        <v>13024</v>
      </c>
      <c r="G539" s="25">
        <v>43543</v>
      </c>
      <c r="H539" s="25">
        <v>44274</v>
      </c>
      <c r="I539" s="24" t="s">
        <v>16</v>
      </c>
      <c r="J539" s="24" t="s">
        <v>19</v>
      </c>
      <c r="K539" s="24" t="str">
        <f>IF(certifications[[#This Row],[ISSUE DATE]]="", "", TEXT(certifications[[#This Row],[ISSUE DATE]], "MMM"))</f>
        <v>Mar</v>
      </c>
      <c r="L539" s="35" t="str">
        <f>IF(certifications[[#This Row],[ISSUE DATE]]="", "", TEXT(certifications[[#This Row],[ISSUE DATE]], "YYYY"))</f>
        <v>2019</v>
      </c>
    </row>
    <row r="540" spans="1:12" s="29" customFormat="1" ht="23.95" customHeight="1" x14ac:dyDescent="0.3">
      <c r="A540" s="31"/>
      <c r="B540" s="24">
        <v>527</v>
      </c>
      <c r="C540" s="24" t="s">
        <v>619</v>
      </c>
      <c r="D540" s="24" t="s">
        <v>252</v>
      </c>
      <c r="E540" s="24" t="s">
        <v>9</v>
      </c>
      <c r="F540" s="24">
        <v>8782</v>
      </c>
      <c r="G540" s="25">
        <v>41710</v>
      </c>
      <c r="H540" s="25">
        <v>44632</v>
      </c>
      <c r="I540" s="24" t="s">
        <v>16</v>
      </c>
      <c r="J540" s="24" t="s">
        <v>38</v>
      </c>
      <c r="K540" s="24" t="str">
        <f>IF(certifications[[#This Row],[ISSUE DATE]]="", "", TEXT(certifications[[#This Row],[ISSUE DATE]], "MMM"))</f>
        <v>Mar</v>
      </c>
      <c r="L540" s="35" t="str">
        <f>IF(certifications[[#This Row],[ISSUE DATE]]="", "", TEXT(certifications[[#This Row],[ISSUE DATE]], "YYYY"))</f>
        <v>2014</v>
      </c>
    </row>
    <row r="541" spans="1:12" s="29" customFormat="1" ht="23.95" customHeight="1" x14ac:dyDescent="0.3">
      <c r="A541" s="31"/>
      <c r="B541" s="24">
        <v>528</v>
      </c>
      <c r="C541" s="24" t="s">
        <v>620</v>
      </c>
      <c r="D541" s="24" t="s">
        <v>32</v>
      </c>
      <c r="E541" s="24" t="s">
        <v>9</v>
      </c>
      <c r="F541" s="24">
        <v>8690</v>
      </c>
      <c r="G541" s="25">
        <v>41603</v>
      </c>
      <c r="H541" s="25">
        <v>43064</v>
      </c>
      <c r="I541" s="24" t="s">
        <v>16</v>
      </c>
      <c r="J541" s="24" t="s">
        <v>33</v>
      </c>
      <c r="K541" s="24" t="str">
        <f>IF(certifications[[#This Row],[ISSUE DATE]]="", "", TEXT(certifications[[#This Row],[ISSUE DATE]], "MMM"))</f>
        <v>Nov</v>
      </c>
      <c r="L541" s="35" t="str">
        <f>IF(certifications[[#This Row],[ISSUE DATE]]="", "", TEXT(certifications[[#This Row],[ISSUE DATE]], "YYYY"))</f>
        <v>2013</v>
      </c>
    </row>
    <row r="542" spans="1:12" s="29" customFormat="1" ht="23.95" customHeight="1" x14ac:dyDescent="0.3">
      <c r="A542" s="31"/>
      <c r="B542" s="24">
        <v>529</v>
      </c>
      <c r="C542" s="24" t="s">
        <v>621</v>
      </c>
      <c r="D542" s="24" t="s">
        <v>18</v>
      </c>
      <c r="E542" s="24" t="s">
        <v>9</v>
      </c>
      <c r="F542" s="24">
        <v>22125</v>
      </c>
      <c r="G542" s="25">
        <v>45817</v>
      </c>
      <c r="H542" s="25">
        <v>46547</v>
      </c>
      <c r="I542" s="24" t="s">
        <v>10</v>
      </c>
      <c r="J542" s="24" t="s">
        <v>19</v>
      </c>
      <c r="K542" s="24" t="str">
        <f>IF(certifications[[#This Row],[ISSUE DATE]]="", "", TEXT(certifications[[#This Row],[ISSUE DATE]], "MMM"))</f>
        <v>Jun</v>
      </c>
      <c r="L542" s="35" t="str">
        <f>IF(certifications[[#This Row],[ISSUE DATE]]="", "", TEXT(certifications[[#This Row],[ISSUE DATE]], "YYYY"))</f>
        <v>2025</v>
      </c>
    </row>
    <row r="543" spans="1:12" s="29" customFormat="1" ht="23.95" customHeight="1" x14ac:dyDescent="0.3">
      <c r="A543" s="31"/>
      <c r="B543" s="24">
        <v>530</v>
      </c>
      <c r="C543" s="24" t="s">
        <v>622</v>
      </c>
      <c r="D543" s="24" t="s">
        <v>13</v>
      </c>
      <c r="E543" s="24" t="s">
        <v>9</v>
      </c>
      <c r="F543" s="24">
        <v>18913</v>
      </c>
      <c r="G543" s="25">
        <v>45130</v>
      </c>
      <c r="H543" s="25">
        <v>45861</v>
      </c>
      <c r="I543" s="24" t="s">
        <v>10</v>
      </c>
      <c r="J543" s="24" t="s">
        <v>14</v>
      </c>
      <c r="K543" s="24" t="str">
        <f>IF(certifications[[#This Row],[ISSUE DATE]]="", "", TEXT(certifications[[#This Row],[ISSUE DATE]], "MMM"))</f>
        <v>Jul</v>
      </c>
      <c r="L543" s="35" t="str">
        <f>IF(certifications[[#This Row],[ISSUE DATE]]="", "", TEXT(certifications[[#This Row],[ISSUE DATE]], "YYYY"))</f>
        <v>2023</v>
      </c>
    </row>
    <row r="544" spans="1:12" s="29" customFormat="1" ht="23.95" customHeight="1" x14ac:dyDescent="0.3">
      <c r="A544" s="31"/>
      <c r="B544" s="24">
        <v>531</v>
      </c>
      <c r="C544" s="24" t="s">
        <v>623</v>
      </c>
      <c r="D544" s="24" t="s">
        <v>13</v>
      </c>
      <c r="E544" s="24" t="s">
        <v>9</v>
      </c>
      <c r="F544" s="24">
        <v>9876</v>
      </c>
      <c r="G544" s="25">
        <v>42670</v>
      </c>
      <c r="H544" s="25">
        <v>43400</v>
      </c>
      <c r="I544" s="24" t="s">
        <v>16</v>
      </c>
      <c r="J544" s="24" t="s">
        <v>14</v>
      </c>
      <c r="K544" s="24" t="str">
        <f>IF(certifications[[#This Row],[ISSUE DATE]]="", "", TEXT(certifications[[#This Row],[ISSUE DATE]], "MMM"))</f>
        <v>Oct</v>
      </c>
      <c r="L544" s="35" t="str">
        <f>IF(certifications[[#This Row],[ISSUE DATE]]="", "", TEXT(certifications[[#This Row],[ISSUE DATE]], "YYYY"))</f>
        <v>2016</v>
      </c>
    </row>
    <row r="545" spans="1:12" s="29" customFormat="1" ht="23.95" customHeight="1" x14ac:dyDescent="0.3">
      <c r="A545" s="31"/>
      <c r="B545" s="24">
        <v>532</v>
      </c>
      <c r="C545" s="24" t="s">
        <v>624</v>
      </c>
      <c r="D545" s="24" t="s">
        <v>32</v>
      </c>
      <c r="E545" s="24" t="s">
        <v>9</v>
      </c>
      <c r="F545" s="24">
        <v>18658</v>
      </c>
      <c r="G545" s="25">
        <v>45267</v>
      </c>
      <c r="H545" s="25">
        <v>45998</v>
      </c>
      <c r="I545" s="24" t="s">
        <v>10</v>
      </c>
      <c r="J545" s="24" t="s">
        <v>33</v>
      </c>
      <c r="K545" s="24" t="str">
        <f>IF(certifications[[#This Row],[ISSUE DATE]]="", "", TEXT(certifications[[#This Row],[ISSUE DATE]], "MMM"))</f>
        <v>Dec</v>
      </c>
      <c r="L545" s="35" t="str">
        <f>IF(certifications[[#This Row],[ISSUE DATE]]="", "", TEXT(certifications[[#This Row],[ISSUE DATE]], "YYYY"))</f>
        <v>2023</v>
      </c>
    </row>
    <row r="546" spans="1:12" s="29" customFormat="1" ht="23.95" customHeight="1" x14ac:dyDescent="0.3">
      <c r="A546" s="31"/>
      <c r="B546" s="24">
        <v>533</v>
      </c>
      <c r="C546" s="24" t="s">
        <v>624</v>
      </c>
      <c r="D546" s="24" t="s">
        <v>32</v>
      </c>
      <c r="E546" s="24" t="s">
        <v>26</v>
      </c>
      <c r="F546" s="24">
        <v>18658</v>
      </c>
      <c r="G546" s="25">
        <v>45327</v>
      </c>
      <c r="H546" s="25">
        <v>46058</v>
      </c>
      <c r="I546" s="24" t="s">
        <v>10</v>
      </c>
      <c r="J546" s="24" t="s">
        <v>33</v>
      </c>
      <c r="K546" s="24" t="str">
        <f>IF(certifications[[#This Row],[ISSUE DATE]]="", "", TEXT(certifications[[#This Row],[ISSUE DATE]], "MMM"))</f>
        <v>Feb</v>
      </c>
      <c r="L546" s="35" t="str">
        <f>IF(certifications[[#This Row],[ISSUE DATE]]="", "", TEXT(certifications[[#This Row],[ISSUE DATE]], "YYYY"))</f>
        <v>2024</v>
      </c>
    </row>
    <row r="547" spans="1:12" s="29" customFormat="1" ht="23.95" customHeight="1" x14ac:dyDescent="0.3">
      <c r="A547" s="31"/>
      <c r="B547" s="24">
        <v>534</v>
      </c>
      <c r="C547" s="24" t="s">
        <v>625</v>
      </c>
      <c r="D547" s="24" t="s">
        <v>32</v>
      </c>
      <c r="E547" s="24" t="s">
        <v>9</v>
      </c>
      <c r="F547" s="24">
        <v>9021</v>
      </c>
      <c r="G547" s="25">
        <v>41905</v>
      </c>
      <c r="H547" s="25">
        <v>42636</v>
      </c>
      <c r="I547" s="24" t="s">
        <v>16</v>
      </c>
      <c r="J547" s="24" t="s">
        <v>33</v>
      </c>
      <c r="K547" s="24" t="str">
        <f>IF(certifications[[#This Row],[ISSUE DATE]]="", "", TEXT(certifications[[#This Row],[ISSUE DATE]], "MMM"))</f>
        <v>Sep</v>
      </c>
      <c r="L547" s="35" t="str">
        <f>IF(certifications[[#This Row],[ISSUE DATE]]="", "", TEXT(certifications[[#This Row],[ISSUE DATE]], "YYYY"))</f>
        <v>2014</v>
      </c>
    </row>
    <row r="548" spans="1:12" s="29" customFormat="1" ht="23.95" customHeight="1" x14ac:dyDescent="0.3">
      <c r="A548" s="31"/>
      <c r="B548" s="24">
        <v>535</v>
      </c>
      <c r="C548" s="24" t="s">
        <v>626</v>
      </c>
      <c r="D548" s="24" t="s">
        <v>32</v>
      </c>
      <c r="E548" s="24" t="s">
        <v>9</v>
      </c>
      <c r="F548" s="24">
        <v>11915</v>
      </c>
      <c r="G548" s="25">
        <v>43787</v>
      </c>
      <c r="H548" s="25">
        <v>46223</v>
      </c>
      <c r="I548" s="24" t="s">
        <v>10</v>
      </c>
      <c r="J548" s="24" t="s">
        <v>33</v>
      </c>
      <c r="K548" s="24" t="str">
        <f>IF(certifications[[#This Row],[ISSUE DATE]]="", "", TEXT(certifications[[#This Row],[ISSUE DATE]], "MMM"))</f>
        <v>Nov</v>
      </c>
      <c r="L548" s="35" t="str">
        <f>IF(certifications[[#This Row],[ISSUE DATE]]="", "", TEXT(certifications[[#This Row],[ISSUE DATE]], "YYYY"))</f>
        <v>2019</v>
      </c>
    </row>
    <row r="549" spans="1:12" s="29" customFormat="1" ht="23.95" customHeight="1" x14ac:dyDescent="0.3">
      <c r="A549" s="31"/>
      <c r="B549" s="24">
        <v>536</v>
      </c>
      <c r="C549" s="24" t="s">
        <v>627</v>
      </c>
      <c r="D549" s="24" t="s">
        <v>32</v>
      </c>
      <c r="E549" s="24" t="s">
        <v>9</v>
      </c>
      <c r="F549" s="24">
        <v>21006</v>
      </c>
      <c r="G549" s="25">
        <v>45679</v>
      </c>
      <c r="H549" s="25">
        <v>46409</v>
      </c>
      <c r="I549" s="24" t="s">
        <v>10</v>
      </c>
      <c r="J549" s="24" t="s">
        <v>33</v>
      </c>
      <c r="K549" s="24" t="str">
        <f>IF(certifications[[#This Row],[ISSUE DATE]]="", "", TEXT(certifications[[#This Row],[ISSUE DATE]], "MMM"))</f>
        <v>Jan</v>
      </c>
      <c r="L549" s="35" t="str">
        <f>IF(certifications[[#This Row],[ISSUE DATE]]="", "", TEXT(certifications[[#This Row],[ISSUE DATE]], "YYYY"))</f>
        <v>2025</v>
      </c>
    </row>
    <row r="550" spans="1:12" s="29" customFormat="1" ht="23.95" customHeight="1" x14ac:dyDescent="0.3">
      <c r="A550" s="31"/>
      <c r="B550" s="24">
        <v>537</v>
      </c>
      <c r="C550" s="24" t="s">
        <v>627</v>
      </c>
      <c r="D550" s="24" t="s">
        <v>32</v>
      </c>
      <c r="E550" s="24" t="s">
        <v>26</v>
      </c>
      <c r="F550" s="24">
        <v>21006</v>
      </c>
      <c r="G550" s="25">
        <v>45581</v>
      </c>
      <c r="H550" s="25">
        <v>46311</v>
      </c>
      <c r="I550" s="24" t="s">
        <v>10</v>
      </c>
      <c r="J550" s="24" t="s">
        <v>33</v>
      </c>
      <c r="K550" s="24" t="str">
        <f>IF(certifications[[#This Row],[ISSUE DATE]]="", "", TEXT(certifications[[#This Row],[ISSUE DATE]], "MMM"))</f>
        <v>Oct</v>
      </c>
      <c r="L550" s="35" t="str">
        <f>IF(certifications[[#This Row],[ISSUE DATE]]="", "", TEXT(certifications[[#This Row],[ISSUE DATE]], "YYYY"))</f>
        <v>2024</v>
      </c>
    </row>
    <row r="551" spans="1:12" s="29" customFormat="1" ht="23.95" customHeight="1" x14ac:dyDescent="0.3">
      <c r="A551" s="31"/>
      <c r="B551" s="24">
        <v>538</v>
      </c>
      <c r="C551" s="24" t="s">
        <v>628</v>
      </c>
      <c r="D551" s="24" t="s">
        <v>32</v>
      </c>
      <c r="E551" s="24" t="s">
        <v>26</v>
      </c>
      <c r="F551" s="24">
        <v>21273</v>
      </c>
      <c r="G551" s="25">
        <v>45643</v>
      </c>
      <c r="H551" s="25">
        <v>46373</v>
      </c>
      <c r="I551" s="24" t="s">
        <v>10</v>
      </c>
      <c r="J551" s="24" t="s">
        <v>33</v>
      </c>
      <c r="K551" s="24" t="str">
        <f>IF(certifications[[#This Row],[ISSUE DATE]]="", "", TEXT(certifications[[#This Row],[ISSUE DATE]], "MMM"))</f>
        <v>Dec</v>
      </c>
      <c r="L551" s="35" t="str">
        <f>IF(certifications[[#This Row],[ISSUE DATE]]="", "", TEXT(certifications[[#This Row],[ISSUE DATE]], "YYYY"))</f>
        <v>2024</v>
      </c>
    </row>
    <row r="552" spans="1:12" s="29" customFormat="1" ht="23.95" customHeight="1" x14ac:dyDescent="0.3">
      <c r="A552" s="31"/>
      <c r="B552" s="24">
        <v>539</v>
      </c>
      <c r="C552" s="24" t="s">
        <v>629</v>
      </c>
      <c r="D552" s="24" t="s">
        <v>32</v>
      </c>
      <c r="E552" s="24" t="s">
        <v>9</v>
      </c>
      <c r="F552" s="24">
        <v>10585</v>
      </c>
      <c r="G552" s="25">
        <v>43081</v>
      </c>
      <c r="H552" s="25">
        <v>43811</v>
      </c>
      <c r="I552" s="24" t="s">
        <v>16</v>
      </c>
      <c r="J552" s="24" t="s">
        <v>33</v>
      </c>
      <c r="K552" s="24" t="str">
        <f>IF(certifications[[#This Row],[ISSUE DATE]]="", "", TEXT(certifications[[#This Row],[ISSUE DATE]], "MMM"))</f>
        <v>Dec</v>
      </c>
      <c r="L552" s="35" t="str">
        <f>IF(certifications[[#This Row],[ISSUE DATE]]="", "", TEXT(certifications[[#This Row],[ISSUE DATE]], "YYYY"))</f>
        <v>2017</v>
      </c>
    </row>
    <row r="553" spans="1:12" s="29" customFormat="1" ht="23.95" customHeight="1" x14ac:dyDescent="0.3">
      <c r="A553" s="31"/>
      <c r="B553" s="24">
        <v>540</v>
      </c>
      <c r="C553" s="24" t="s">
        <v>630</v>
      </c>
      <c r="D553" s="24" t="s">
        <v>593</v>
      </c>
      <c r="E553" s="24" t="s">
        <v>9</v>
      </c>
      <c r="F553" s="24">
        <v>8320</v>
      </c>
      <c r="G553" s="25">
        <v>41325</v>
      </c>
      <c r="H553" s="25">
        <v>44977</v>
      </c>
      <c r="I553" s="24" t="s">
        <v>16</v>
      </c>
      <c r="J553" s="24" t="s">
        <v>30</v>
      </c>
      <c r="K553" s="24" t="str">
        <f>IF(certifications[[#This Row],[ISSUE DATE]]="", "", TEXT(certifications[[#This Row],[ISSUE DATE]], "MMM"))</f>
        <v>Feb</v>
      </c>
      <c r="L553" s="35" t="str">
        <f>IF(certifications[[#This Row],[ISSUE DATE]]="", "", TEXT(certifications[[#This Row],[ISSUE DATE]], "YYYY"))</f>
        <v>2013</v>
      </c>
    </row>
    <row r="554" spans="1:12" s="29" customFormat="1" ht="23.95" customHeight="1" x14ac:dyDescent="0.3">
      <c r="A554" s="31"/>
      <c r="B554" s="24">
        <v>541</v>
      </c>
      <c r="C554" s="24" t="s">
        <v>631</v>
      </c>
      <c r="D554" s="24" t="s">
        <v>32</v>
      </c>
      <c r="E554" s="24" t="s">
        <v>9</v>
      </c>
      <c r="F554" s="24">
        <v>17301</v>
      </c>
      <c r="G554" s="25">
        <v>44656</v>
      </c>
      <c r="H554" s="25">
        <v>45387</v>
      </c>
      <c r="I554" s="24" t="s">
        <v>16</v>
      </c>
      <c r="J554" s="24" t="s">
        <v>33</v>
      </c>
      <c r="K554" s="24" t="str">
        <f>IF(certifications[[#This Row],[ISSUE DATE]]="", "", TEXT(certifications[[#This Row],[ISSUE DATE]], "MMM"))</f>
        <v>Apr</v>
      </c>
      <c r="L554" s="35" t="str">
        <f>IF(certifications[[#This Row],[ISSUE DATE]]="", "", TEXT(certifications[[#This Row],[ISSUE DATE]], "YYYY"))</f>
        <v>2022</v>
      </c>
    </row>
    <row r="555" spans="1:12" s="29" customFormat="1" ht="23.95" customHeight="1" x14ac:dyDescent="0.3">
      <c r="A555" s="31"/>
      <c r="B555" s="24">
        <v>542</v>
      </c>
      <c r="C555" s="24" t="s">
        <v>632</v>
      </c>
      <c r="D555" s="24" t="s">
        <v>13</v>
      </c>
      <c r="E555" s="24" t="s">
        <v>9</v>
      </c>
      <c r="F555" s="24">
        <v>12578</v>
      </c>
      <c r="G555" s="25">
        <v>44791</v>
      </c>
      <c r="H555" s="25">
        <v>46368</v>
      </c>
      <c r="I555" s="24" t="s">
        <v>10</v>
      </c>
      <c r="J555" s="24" t="s">
        <v>14</v>
      </c>
      <c r="K555" s="24" t="str">
        <f>IF(certifications[[#This Row],[ISSUE DATE]]="", "", TEXT(certifications[[#This Row],[ISSUE DATE]], "MMM"))</f>
        <v>Aug</v>
      </c>
      <c r="L555" s="35" t="str">
        <f>IF(certifications[[#This Row],[ISSUE DATE]]="", "", TEXT(certifications[[#This Row],[ISSUE DATE]], "YYYY"))</f>
        <v>2022</v>
      </c>
    </row>
    <row r="556" spans="1:12" s="29" customFormat="1" ht="23.95" customHeight="1" x14ac:dyDescent="0.3">
      <c r="A556" s="31"/>
      <c r="B556" s="24">
        <v>543</v>
      </c>
      <c r="C556" s="24" t="s">
        <v>633</v>
      </c>
      <c r="D556" s="24" t="s">
        <v>18</v>
      </c>
      <c r="E556" s="24" t="s">
        <v>9</v>
      </c>
      <c r="F556" s="24">
        <v>12279</v>
      </c>
      <c r="G556" s="25">
        <v>44012</v>
      </c>
      <c r="H556" s="25">
        <v>46203</v>
      </c>
      <c r="I556" s="24" t="s">
        <v>10</v>
      </c>
      <c r="J556" s="24" t="s">
        <v>19</v>
      </c>
      <c r="K556" s="24" t="str">
        <f>IF(certifications[[#This Row],[ISSUE DATE]]="", "", TEXT(certifications[[#This Row],[ISSUE DATE]], "MMM"))</f>
        <v>Jun</v>
      </c>
      <c r="L556" s="35" t="str">
        <f>IF(certifications[[#This Row],[ISSUE DATE]]="", "", TEXT(certifications[[#This Row],[ISSUE DATE]], "YYYY"))</f>
        <v>2020</v>
      </c>
    </row>
    <row r="557" spans="1:12" s="29" customFormat="1" ht="23.95" customHeight="1" x14ac:dyDescent="0.3">
      <c r="A557" s="31"/>
      <c r="B557" s="24">
        <v>544</v>
      </c>
      <c r="C557" s="24" t="s">
        <v>634</v>
      </c>
      <c r="D557" s="24" t="s">
        <v>32</v>
      </c>
      <c r="E557" s="24" t="s">
        <v>9</v>
      </c>
      <c r="F557" s="24">
        <v>12400</v>
      </c>
      <c r="G557" s="25">
        <v>43474</v>
      </c>
      <c r="H557" s="25">
        <v>46396</v>
      </c>
      <c r="I557" s="24" t="s">
        <v>10</v>
      </c>
      <c r="J557" s="24" t="s">
        <v>33</v>
      </c>
      <c r="K557" s="24" t="str">
        <f>IF(certifications[[#This Row],[ISSUE DATE]]="", "", TEXT(certifications[[#This Row],[ISSUE DATE]], "MMM"))</f>
        <v>Jan</v>
      </c>
      <c r="L557" s="35" t="str">
        <f>IF(certifications[[#This Row],[ISSUE DATE]]="", "", TEXT(certifications[[#This Row],[ISSUE DATE]], "YYYY"))</f>
        <v>2019</v>
      </c>
    </row>
    <row r="558" spans="1:12" s="29" customFormat="1" ht="23.95" customHeight="1" x14ac:dyDescent="0.3">
      <c r="A558" s="31"/>
      <c r="B558" s="24">
        <v>545</v>
      </c>
      <c r="C558" s="24" t="s">
        <v>635</v>
      </c>
      <c r="D558" s="24" t="s">
        <v>32</v>
      </c>
      <c r="E558" s="24" t="s">
        <v>9</v>
      </c>
      <c r="F558" s="24">
        <v>17932</v>
      </c>
      <c r="G558" s="25">
        <v>44840</v>
      </c>
      <c r="H558" s="25">
        <v>45571</v>
      </c>
      <c r="I558" s="24" t="s">
        <v>82</v>
      </c>
      <c r="J558" s="24" t="s">
        <v>33</v>
      </c>
      <c r="K558" s="24" t="str">
        <f>IF(certifications[[#This Row],[ISSUE DATE]]="", "", TEXT(certifications[[#This Row],[ISSUE DATE]], "MMM"))</f>
        <v>Oct</v>
      </c>
      <c r="L558" s="35" t="str">
        <f>IF(certifications[[#This Row],[ISSUE DATE]]="", "", TEXT(certifications[[#This Row],[ISSUE DATE]], "YYYY"))</f>
        <v>2022</v>
      </c>
    </row>
    <row r="559" spans="1:12" s="29" customFormat="1" ht="23.95" customHeight="1" x14ac:dyDescent="0.3">
      <c r="A559" s="31"/>
      <c r="B559" s="24">
        <v>546</v>
      </c>
      <c r="C559" s="24" t="s">
        <v>636</v>
      </c>
      <c r="D559" s="24" t="s">
        <v>61</v>
      </c>
      <c r="E559" s="24" t="s">
        <v>9</v>
      </c>
      <c r="F559" s="24">
        <v>11251</v>
      </c>
      <c r="G559" s="25">
        <v>43479</v>
      </c>
      <c r="H559" s="25">
        <v>44682</v>
      </c>
      <c r="I559" s="24" t="s">
        <v>16</v>
      </c>
      <c r="J559" s="24" t="s">
        <v>19</v>
      </c>
      <c r="K559" s="24" t="str">
        <f>IF(certifications[[#This Row],[ISSUE DATE]]="", "", TEXT(certifications[[#This Row],[ISSUE DATE]], "MMM"))</f>
        <v>Jan</v>
      </c>
      <c r="L559" s="35" t="str">
        <f>IF(certifications[[#This Row],[ISSUE DATE]]="", "", TEXT(certifications[[#This Row],[ISSUE DATE]], "YYYY"))</f>
        <v>2019</v>
      </c>
    </row>
    <row r="560" spans="1:12" s="29" customFormat="1" ht="23.95" customHeight="1" x14ac:dyDescent="0.3">
      <c r="A560" s="31"/>
      <c r="B560" s="24">
        <v>547</v>
      </c>
      <c r="C560" s="24" t="s">
        <v>636</v>
      </c>
      <c r="D560" s="24" t="s">
        <v>61</v>
      </c>
      <c r="E560" s="24" t="s">
        <v>26</v>
      </c>
      <c r="F560" s="24">
        <v>11251</v>
      </c>
      <c r="G560" s="25">
        <v>43574</v>
      </c>
      <c r="H560" s="25">
        <v>44305</v>
      </c>
      <c r="I560" s="24" t="s">
        <v>16</v>
      </c>
      <c r="J560" s="24" t="s">
        <v>19</v>
      </c>
      <c r="K560" s="24" t="str">
        <f>IF(certifications[[#This Row],[ISSUE DATE]]="", "", TEXT(certifications[[#This Row],[ISSUE DATE]], "MMM"))</f>
        <v>Apr</v>
      </c>
      <c r="L560" s="35" t="str">
        <f>IF(certifications[[#This Row],[ISSUE DATE]]="", "", TEXT(certifications[[#This Row],[ISSUE DATE]], "YYYY"))</f>
        <v>2019</v>
      </c>
    </row>
    <row r="561" spans="1:12" s="29" customFormat="1" ht="23.95" customHeight="1" x14ac:dyDescent="0.3">
      <c r="A561" s="31"/>
      <c r="B561" s="24">
        <v>548</v>
      </c>
      <c r="C561" s="24" t="s">
        <v>637</v>
      </c>
      <c r="D561" s="24" t="s">
        <v>29</v>
      </c>
      <c r="E561" s="24" t="s">
        <v>9</v>
      </c>
      <c r="F561" s="24">
        <v>15501</v>
      </c>
      <c r="G561" s="25">
        <v>44096</v>
      </c>
      <c r="H561" s="25">
        <v>44826</v>
      </c>
      <c r="I561" s="24" t="s">
        <v>16</v>
      </c>
      <c r="J561" s="24" t="s">
        <v>30</v>
      </c>
      <c r="K561" s="24" t="str">
        <f>IF(certifications[[#This Row],[ISSUE DATE]]="", "", TEXT(certifications[[#This Row],[ISSUE DATE]], "MMM"))</f>
        <v>Sep</v>
      </c>
      <c r="L561" s="35" t="str">
        <f>IF(certifications[[#This Row],[ISSUE DATE]]="", "", TEXT(certifications[[#This Row],[ISSUE DATE]], "YYYY"))</f>
        <v>2020</v>
      </c>
    </row>
    <row r="562" spans="1:12" s="29" customFormat="1" ht="23.95" customHeight="1" x14ac:dyDescent="0.3">
      <c r="A562" s="31"/>
      <c r="B562" s="24">
        <v>549</v>
      </c>
      <c r="C562" s="24" t="s">
        <v>638</v>
      </c>
      <c r="D562" s="24" t="s">
        <v>32</v>
      </c>
      <c r="E562" s="24" t="s">
        <v>9</v>
      </c>
      <c r="F562" s="24">
        <v>8711</v>
      </c>
      <c r="G562" s="25">
        <v>41620</v>
      </c>
      <c r="H562" s="25">
        <v>42350</v>
      </c>
      <c r="I562" s="24" t="s">
        <v>16</v>
      </c>
      <c r="J562" s="24" t="s">
        <v>33</v>
      </c>
      <c r="K562" s="24" t="str">
        <f>IF(certifications[[#This Row],[ISSUE DATE]]="", "", TEXT(certifications[[#This Row],[ISSUE DATE]], "MMM"))</f>
        <v>Dec</v>
      </c>
      <c r="L562" s="35" t="str">
        <f>IF(certifications[[#This Row],[ISSUE DATE]]="", "", TEXT(certifications[[#This Row],[ISSUE DATE]], "YYYY"))</f>
        <v>2013</v>
      </c>
    </row>
    <row r="563" spans="1:12" s="29" customFormat="1" ht="23.95" customHeight="1" x14ac:dyDescent="0.3">
      <c r="A563" s="31"/>
      <c r="B563" s="24">
        <v>550</v>
      </c>
      <c r="C563" s="24" t="s">
        <v>639</v>
      </c>
      <c r="D563" s="24" t="s">
        <v>32</v>
      </c>
      <c r="E563" s="24" t="s">
        <v>9</v>
      </c>
      <c r="F563" s="24">
        <v>9612</v>
      </c>
      <c r="G563" s="25">
        <v>42513</v>
      </c>
      <c r="H563" s="25">
        <v>46165</v>
      </c>
      <c r="I563" s="24" t="s">
        <v>10</v>
      </c>
      <c r="J563" s="24" t="s">
        <v>33</v>
      </c>
      <c r="K563" s="24" t="str">
        <f>IF(certifications[[#This Row],[ISSUE DATE]]="", "", TEXT(certifications[[#This Row],[ISSUE DATE]], "MMM"))</f>
        <v>May</v>
      </c>
      <c r="L563" s="35" t="str">
        <f>IF(certifications[[#This Row],[ISSUE DATE]]="", "", TEXT(certifications[[#This Row],[ISSUE DATE]], "YYYY"))</f>
        <v>2016</v>
      </c>
    </row>
    <row r="564" spans="1:12" s="29" customFormat="1" ht="23.95" customHeight="1" x14ac:dyDescent="0.3">
      <c r="A564" s="31"/>
      <c r="B564" s="24">
        <v>551</v>
      </c>
      <c r="C564" s="24" t="s">
        <v>640</v>
      </c>
      <c r="D564" s="24" t="s">
        <v>13</v>
      </c>
      <c r="E564" s="24" t="s">
        <v>9</v>
      </c>
      <c r="F564" s="24">
        <v>12361</v>
      </c>
      <c r="G564" s="25">
        <v>43369</v>
      </c>
      <c r="H564" s="25">
        <v>46291</v>
      </c>
      <c r="I564" s="24" t="s">
        <v>10</v>
      </c>
      <c r="J564" s="24" t="s">
        <v>14</v>
      </c>
      <c r="K564" s="24" t="str">
        <f>IF(certifications[[#This Row],[ISSUE DATE]]="", "", TEXT(certifications[[#This Row],[ISSUE DATE]], "MMM"))</f>
        <v>Sep</v>
      </c>
      <c r="L564" s="35" t="str">
        <f>IF(certifications[[#This Row],[ISSUE DATE]]="", "", TEXT(certifications[[#This Row],[ISSUE DATE]], "YYYY"))</f>
        <v>2018</v>
      </c>
    </row>
    <row r="565" spans="1:12" s="29" customFormat="1" ht="23.95" customHeight="1" x14ac:dyDescent="0.3">
      <c r="A565" s="31"/>
      <c r="B565" s="24">
        <v>552</v>
      </c>
      <c r="C565" s="24" t="s">
        <v>641</v>
      </c>
      <c r="D565" s="24" t="s">
        <v>323</v>
      </c>
      <c r="E565" s="24" t="s">
        <v>9</v>
      </c>
      <c r="F565" s="24">
        <v>20349</v>
      </c>
      <c r="G565" s="25">
        <v>45440</v>
      </c>
      <c r="H565" s="25">
        <v>46170</v>
      </c>
      <c r="I565" s="24" t="s">
        <v>10</v>
      </c>
      <c r="J565" s="24" t="s">
        <v>22</v>
      </c>
      <c r="K565" s="24" t="str">
        <f>IF(certifications[[#This Row],[ISSUE DATE]]="", "", TEXT(certifications[[#This Row],[ISSUE DATE]], "MMM"))</f>
        <v>May</v>
      </c>
      <c r="L565" s="35" t="str">
        <f>IF(certifications[[#This Row],[ISSUE DATE]]="", "", TEXT(certifications[[#This Row],[ISSUE DATE]], "YYYY"))</f>
        <v>2024</v>
      </c>
    </row>
    <row r="566" spans="1:12" s="29" customFormat="1" ht="23.95" customHeight="1" x14ac:dyDescent="0.3">
      <c r="A566" s="31"/>
      <c r="B566" s="24">
        <v>553</v>
      </c>
      <c r="C566" s="24" t="s">
        <v>641</v>
      </c>
      <c r="D566" s="24" t="s">
        <v>323</v>
      </c>
      <c r="E566" s="24" t="s">
        <v>26</v>
      </c>
      <c r="F566" s="24">
        <v>20349</v>
      </c>
      <c r="G566" s="25">
        <v>45584</v>
      </c>
      <c r="H566" s="25">
        <v>46314</v>
      </c>
      <c r="I566" s="24" t="s">
        <v>10</v>
      </c>
      <c r="J566" s="24" t="s">
        <v>22</v>
      </c>
      <c r="K566" s="24" t="str">
        <f>IF(certifications[[#This Row],[ISSUE DATE]]="", "", TEXT(certifications[[#This Row],[ISSUE DATE]], "MMM"))</f>
        <v>Oct</v>
      </c>
      <c r="L566" s="35" t="str">
        <f>IF(certifications[[#This Row],[ISSUE DATE]]="", "", TEXT(certifications[[#This Row],[ISSUE DATE]], "YYYY"))</f>
        <v>2024</v>
      </c>
    </row>
    <row r="567" spans="1:12" s="29" customFormat="1" ht="23.95" customHeight="1" x14ac:dyDescent="0.3">
      <c r="A567" s="31"/>
      <c r="B567" s="24">
        <v>554</v>
      </c>
      <c r="C567" s="24" t="s">
        <v>642</v>
      </c>
      <c r="D567" s="24" t="s">
        <v>337</v>
      </c>
      <c r="E567" s="24" t="s">
        <v>26</v>
      </c>
      <c r="F567" s="24">
        <v>21877</v>
      </c>
      <c r="G567" s="25">
        <v>45772</v>
      </c>
      <c r="H567" s="25">
        <v>46502</v>
      </c>
      <c r="I567" s="24" t="s">
        <v>10</v>
      </c>
      <c r="J567" s="24" t="s">
        <v>30</v>
      </c>
      <c r="K567" s="24" t="str">
        <f>IF(certifications[[#This Row],[ISSUE DATE]]="", "", TEXT(certifications[[#This Row],[ISSUE DATE]], "MMM"))</f>
        <v>Apr</v>
      </c>
      <c r="L567" s="35" t="str">
        <f>IF(certifications[[#This Row],[ISSUE DATE]]="", "", TEXT(certifications[[#This Row],[ISSUE DATE]], "YYYY"))</f>
        <v>2025</v>
      </c>
    </row>
    <row r="568" spans="1:12" s="29" customFormat="1" ht="23.95" customHeight="1" x14ac:dyDescent="0.3">
      <c r="A568" s="31"/>
      <c r="B568" s="24">
        <v>555</v>
      </c>
      <c r="C568" s="24" t="s">
        <v>643</v>
      </c>
      <c r="D568" s="24" t="s">
        <v>46</v>
      </c>
      <c r="E568" s="24" t="s">
        <v>9</v>
      </c>
      <c r="F568" s="24">
        <v>17188</v>
      </c>
      <c r="G568" s="25">
        <v>44656</v>
      </c>
      <c r="H568" s="25">
        <v>46070</v>
      </c>
      <c r="I568" s="24" t="s">
        <v>10</v>
      </c>
      <c r="J568" s="24" t="s">
        <v>38</v>
      </c>
      <c r="K568" s="24" t="str">
        <f>IF(certifications[[#This Row],[ISSUE DATE]]="", "", TEXT(certifications[[#This Row],[ISSUE DATE]], "MMM"))</f>
        <v>Apr</v>
      </c>
      <c r="L568" s="35" t="str">
        <f>IF(certifications[[#This Row],[ISSUE DATE]]="", "", TEXT(certifications[[#This Row],[ISSUE DATE]], "YYYY"))</f>
        <v>2022</v>
      </c>
    </row>
    <row r="569" spans="1:12" s="29" customFormat="1" ht="23.95" customHeight="1" x14ac:dyDescent="0.3">
      <c r="A569" s="31"/>
      <c r="B569" s="24">
        <v>556</v>
      </c>
      <c r="C569" s="24" t="s">
        <v>643</v>
      </c>
      <c r="D569" s="24" t="s">
        <v>46</v>
      </c>
      <c r="E569" s="24" t="s">
        <v>26</v>
      </c>
      <c r="F569" s="24">
        <v>17188</v>
      </c>
      <c r="G569" s="25">
        <v>44609</v>
      </c>
      <c r="H569" s="25">
        <v>46070</v>
      </c>
      <c r="I569" s="24" t="s">
        <v>10</v>
      </c>
      <c r="J569" s="24" t="s">
        <v>38</v>
      </c>
      <c r="K569" s="24" t="str">
        <f>IF(certifications[[#This Row],[ISSUE DATE]]="", "", TEXT(certifications[[#This Row],[ISSUE DATE]], "MMM"))</f>
        <v>Feb</v>
      </c>
      <c r="L569" s="35" t="str">
        <f>IF(certifications[[#This Row],[ISSUE DATE]]="", "", TEXT(certifications[[#This Row],[ISSUE DATE]], "YYYY"))</f>
        <v>2022</v>
      </c>
    </row>
    <row r="570" spans="1:12" s="29" customFormat="1" ht="23.95" customHeight="1" x14ac:dyDescent="0.3">
      <c r="A570" s="31"/>
      <c r="B570" s="24">
        <v>557</v>
      </c>
      <c r="C570" s="24" t="s">
        <v>644</v>
      </c>
      <c r="D570" s="24" t="s">
        <v>645</v>
      </c>
      <c r="E570" s="24" t="s">
        <v>9</v>
      </c>
      <c r="F570" s="24">
        <v>8712</v>
      </c>
      <c r="G570" s="25">
        <v>41620</v>
      </c>
      <c r="H570" s="25">
        <v>43081</v>
      </c>
      <c r="I570" s="24" t="s">
        <v>16</v>
      </c>
      <c r="J570" s="24" t="s">
        <v>38</v>
      </c>
      <c r="K570" s="24" t="str">
        <f>IF(certifications[[#This Row],[ISSUE DATE]]="", "", TEXT(certifications[[#This Row],[ISSUE DATE]], "MMM"))</f>
        <v>Dec</v>
      </c>
      <c r="L570" s="35" t="str">
        <f>IF(certifications[[#This Row],[ISSUE DATE]]="", "", TEXT(certifications[[#This Row],[ISSUE DATE]], "YYYY"))</f>
        <v>2013</v>
      </c>
    </row>
    <row r="571" spans="1:12" s="29" customFormat="1" ht="23.95" customHeight="1" x14ac:dyDescent="0.3">
      <c r="A571" s="31"/>
      <c r="B571" s="24">
        <v>558</v>
      </c>
      <c r="C571" s="24" t="s">
        <v>646</v>
      </c>
      <c r="D571" s="24" t="s">
        <v>32</v>
      </c>
      <c r="E571" s="24" t="s">
        <v>9</v>
      </c>
      <c r="F571" s="24">
        <v>9443</v>
      </c>
      <c r="G571" s="25">
        <v>42346</v>
      </c>
      <c r="H571" s="25">
        <v>43077</v>
      </c>
      <c r="I571" s="24" t="s">
        <v>16</v>
      </c>
      <c r="J571" s="24" t="s">
        <v>33</v>
      </c>
      <c r="K571" s="24" t="str">
        <f>IF(certifications[[#This Row],[ISSUE DATE]]="", "", TEXT(certifications[[#This Row],[ISSUE DATE]], "MMM"))</f>
        <v>Dec</v>
      </c>
      <c r="L571" s="35" t="str">
        <f>IF(certifications[[#This Row],[ISSUE DATE]]="", "", TEXT(certifications[[#This Row],[ISSUE DATE]], "YYYY"))</f>
        <v>2015</v>
      </c>
    </row>
    <row r="572" spans="1:12" s="29" customFormat="1" ht="23.95" customHeight="1" x14ac:dyDescent="0.3">
      <c r="A572" s="31"/>
      <c r="B572" s="24">
        <v>559</v>
      </c>
      <c r="C572" s="24" t="s">
        <v>647</v>
      </c>
      <c r="D572" s="24" t="s">
        <v>80</v>
      </c>
      <c r="E572" s="24" t="s">
        <v>9</v>
      </c>
      <c r="F572" s="24">
        <v>8917</v>
      </c>
      <c r="G572" s="25">
        <v>41816</v>
      </c>
      <c r="H572" s="25">
        <v>43277</v>
      </c>
      <c r="I572" s="24" t="s">
        <v>16</v>
      </c>
      <c r="J572" s="24" t="s">
        <v>38</v>
      </c>
      <c r="K572" s="24" t="str">
        <f>IF(certifications[[#This Row],[ISSUE DATE]]="", "", TEXT(certifications[[#This Row],[ISSUE DATE]], "MMM"))</f>
        <v>Jun</v>
      </c>
      <c r="L572" s="35" t="str">
        <f>IF(certifications[[#This Row],[ISSUE DATE]]="", "", TEXT(certifications[[#This Row],[ISSUE DATE]], "YYYY"))</f>
        <v>2014</v>
      </c>
    </row>
    <row r="573" spans="1:12" s="29" customFormat="1" ht="23.95" customHeight="1" x14ac:dyDescent="0.3">
      <c r="A573" s="31"/>
      <c r="B573" s="24">
        <v>560</v>
      </c>
      <c r="C573" s="24" t="s">
        <v>648</v>
      </c>
      <c r="D573" s="24" t="s">
        <v>32</v>
      </c>
      <c r="E573" s="24" t="s">
        <v>26</v>
      </c>
      <c r="F573" s="24">
        <v>22055</v>
      </c>
      <c r="G573" s="25">
        <v>45810</v>
      </c>
      <c r="H573" s="25">
        <v>46540</v>
      </c>
      <c r="I573" s="24" t="s">
        <v>10</v>
      </c>
      <c r="J573" s="24" t="s">
        <v>33</v>
      </c>
      <c r="K573" s="24" t="str">
        <f>IF(certifications[[#This Row],[ISSUE DATE]]="", "", TEXT(certifications[[#This Row],[ISSUE DATE]], "MMM"))</f>
        <v>Jun</v>
      </c>
      <c r="L573" s="35" t="str">
        <f>IF(certifications[[#This Row],[ISSUE DATE]]="", "", TEXT(certifications[[#This Row],[ISSUE DATE]], "YYYY"))</f>
        <v>2025</v>
      </c>
    </row>
    <row r="574" spans="1:12" s="29" customFormat="1" ht="23.95" customHeight="1" x14ac:dyDescent="0.3">
      <c r="A574" s="31"/>
      <c r="B574" s="24">
        <v>561</v>
      </c>
      <c r="C574" s="24" t="s">
        <v>649</v>
      </c>
      <c r="D574" s="24" t="s">
        <v>18</v>
      </c>
      <c r="E574" s="24" t="s">
        <v>9</v>
      </c>
      <c r="F574" s="24">
        <v>13702</v>
      </c>
      <c r="G574" s="25">
        <v>43640</v>
      </c>
      <c r="H574" s="25">
        <v>44371</v>
      </c>
      <c r="I574" s="24" t="s">
        <v>16</v>
      </c>
      <c r="J574" s="24" t="s">
        <v>19</v>
      </c>
      <c r="K574" s="24" t="str">
        <f>IF(certifications[[#This Row],[ISSUE DATE]]="", "", TEXT(certifications[[#This Row],[ISSUE DATE]], "MMM"))</f>
        <v>Jun</v>
      </c>
      <c r="L574" s="35" t="str">
        <f>IF(certifications[[#This Row],[ISSUE DATE]]="", "", TEXT(certifications[[#This Row],[ISSUE DATE]], "YYYY"))</f>
        <v>2019</v>
      </c>
    </row>
    <row r="575" spans="1:12" s="29" customFormat="1" ht="23.95" customHeight="1" x14ac:dyDescent="0.3">
      <c r="A575" s="31"/>
      <c r="B575" s="24">
        <v>562</v>
      </c>
      <c r="C575" s="24" t="s">
        <v>650</v>
      </c>
      <c r="D575" s="24" t="s">
        <v>323</v>
      </c>
      <c r="E575" s="24" t="s">
        <v>26</v>
      </c>
      <c r="F575" s="24">
        <v>19590</v>
      </c>
      <c r="G575" s="25">
        <v>45279</v>
      </c>
      <c r="H575" s="25">
        <v>46010</v>
      </c>
      <c r="I575" s="24" t="s">
        <v>10</v>
      </c>
      <c r="J575" s="24" t="s">
        <v>22</v>
      </c>
      <c r="K575" s="24" t="str">
        <f>IF(certifications[[#This Row],[ISSUE DATE]]="", "", TEXT(certifications[[#This Row],[ISSUE DATE]], "MMM"))</f>
        <v>Dec</v>
      </c>
      <c r="L575" s="35" t="str">
        <f>IF(certifications[[#This Row],[ISSUE DATE]]="", "", TEXT(certifications[[#This Row],[ISSUE DATE]], "YYYY"))</f>
        <v>2023</v>
      </c>
    </row>
    <row r="576" spans="1:12" s="29" customFormat="1" ht="23.95" customHeight="1" x14ac:dyDescent="0.3">
      <c r="A576" s="31"/>
      <c r="B576" s="24">
        <v>563</v>
      </c>
      <c r="C576" s="24" t="s">
        <v>651</v>
      </c>
      <c r="D576" s="24" t="s">
        <v>202</v>
      </c>
      <c r="E576" s="24" t="s">
        <v>9</v>
      </c>
      <c r="F576" s="24">
        <v>18673</v>
      </c>
      <c r="G576" s="25">
        <v>45078</v>
      </c>
      <c r="H576" s="25">
        <v>46539</v>
      </c>
      <c r="I576" s="24" t="s">
        <v>10</v>
      </c>
      <c r="J576" s="24" t="s">
        <v>19</v>
      </c>
      <c r="K576" s="24" t="str">
        <f>IF(certifications[[#This Row],[ISSUE DATE]]="", "", TEXT(certifications[[#This Row],[ISSUE DATE]], "MMM"))</f>
        <v>Jun</v>
      </c>
      <c r="L576" s="35" t="str">
        <f>IF(certifications[[#This Row],[ISSUE DATE]]="", "", TEXT(certifications[[#This Row],[ISSUE DATE]], "YYYY"))</f>
        <v>2023</v>
      </c>
    </row>
    <row r="577" spans="1:12" s="29" customFormat="1" ht="23.95" customHeight="1" x14ac:dyDescent="0.3">
      <c r="A577" s="31"/>
      <c r="B577" s="24">
        <v>564</v>
      </c>
      <c r="C577" s="24" t="s">
        <v>652</v>
      </c>
      <c r="D577" s="24" t="s">
        <v>337</v>
      </c>
      <c r="E577" s="24" t="s">
        <v>9</v>
      </c>
      <c r="F577" s="24">
        <v>9974</v>
      </c>
      <c r="G577" s="25">
        <v>42746</v>
      </c>
      <c r="H577" s="25">
        <v>43476</v>
      </c>
      <c r="I577" s="24" t="s">
        <v>16</v>
      </c>
      <c r="J577" s="24" t="s">
        <v>30</v>
      </c>
      <c r="K577" s="24" t="str">
        <f>IF(certifications[[#This Row],[ISSUE DATE]]="", "", TEXT(certifications[[#This Row],[ISSUE DATE]], "MMM"))</f>
        <v>Jan</v>
      </c>
      <c r="L577" s="35" t="str">
        <f>IF(certifications[[#This Row],[ISSUE DATE]]="", "", TEXT(certifications[[#This Row],[ISSUE DATE]], "YYYY"))</f>
        <v>2017</v>
      </c>
    </row>
    <row r="578" spans="1:12" s="29" customFormat="1" ht="23.95" customHeight="1" x14ac:dyDescent="0.3">
      <c r="A578" s="31"/>
      <c r="B578" s="24">
        <v>565</v>
      </c>
      <c r="C578" s="24" t="s">
        <v>653</v>
      </c>
      <c r="D578" s="24" t="s">
        <v>426</v>
      </c>
      <c r="E578" s="24" t="s">
        <v>9</v>
      </c>
      <c r="F578" s="24">
        <v>8637</v>
      </c>
      <c r="G578" s="25">
        <v>41530</v>
      </c>
      <c r="H578" s="25">
        <v>44452</v>
      </c>
      <c r="I578" s="24" t="s">
        <v>16</v>
      </c>
      <c r="J578" s="24" t="s">
        <v>22</v>
      </c>
      <c r="K578" s="24" t="str">
        <f>IF(certifications[[#This Row],[ISSUE DATE]]="", "", TEXT(certifications[[#This Row],[ISSUE DATE]], "MMM"))</f>
        <v>Sep</v>
      </c>
      <c r="L578" s="35" t="str">
        <f>IF(certifications[[#This Row],[ISSUE DATE]]="", "", TEXT(certifications[[#This Row],[ISSUE DATE]], "YYYY"))</f>
        <v>2013</v>
      </c>
    </row>
    <row r="579" spans="1:12" s="29" customFormat="1" ht="23.95" customHeight="1" x14ac:dyDescent="0.3">
      <c r="A579" s="31"/>
      <c r="B579" s="24">
        <v>566</v>
      </c>
      <c r="C579" s="24" t="s">
        <v>654</v>
      </c>
      <c r="D579" s="24" t="s">
        <v>153</v>
      </c>
      <c r="E579" s="24" t="s">
        <v>9</v>
      </c>
      <c r="F579" s="24">
        <v>8203</v>
      </c>
      <c r="G579" s="25">
        <v>41412</v>
      </c>
      <c r="H579" s="25">
        <v>43603</v>
      </c>
      <c r="I579" s="24" t="s">
        <v>16</v>
      </c>
      <c r="J579" s="24" t="s">
        <v>22</v>
      </c>
      <c r="K579" s="24" t="str">
        <f>IF(certifications[[#This Row],[ISSUE DATE]]="", "", TEXT(certifications[[#This Row],[ISSUE DATE]], "MMM"))</f>
        <v>May</v>
      </c>
      <c r="L579" s="35" t="str">
        <f>IF(certifications[[#This Row],[ISSUE DATE]]="", "", TEXT(certifications[[#This Row],[ISSUE DATE]], "YYYY"))</f>
        <v>2013</v>
      </c>
    </row>
    <row r="580" spans="1:12" s="29" customFormat="1" ht="23.95" customHeight="1" x14ac:dyDescent="0.3">
      <c r="A580" s="31"/>
      <c r="B580" s="24">
        <v>567</v>
      </c>
      <c r="C580" s="24" t="s">
        <v>655</v>
      </c>
      <c r="D580" s="24" t="s">
        <v>32</v>
      </c>
      <c r="E580" s="24" t="s">
        <v>9</v>
      </c>
      <c r="F580" s="24">
        <v>17588</v>
      </c>
      <c r="G580" s="25">
        <v>44740</v>
      </c>
      <c r="H580" s="25">
        <v>46201</v>
      </c>
      <c r="I580" s="24" t="s">
        <v>10</v>
      </c>
      <c r="J580" s="24" t="s">
        <v>33</v>
      </c>
      <c r="K580" s="24" t="str">
        <f>IF(certifications[[#This Row],[ISSUE DATE]]="", "", TEXT(certifications[[#This Row],[ISSUE DATE]], "MMM"))</f>
        <v>Jun</v>
      </c>
      <c r="L580" s="35" t="str">
        <f>IF(certifications[[#This Row],[ISSUE DATE]]="", "", TEXT(certifications[[#This Row],[ISSUE DATE]], "YYYY"))</f>
        <v>2022</v>
      </c>
    </row>
    <row r="581" spans="1:12" s="29" customFormat="1" ht="23.95" customHeight="1" x14ac:dyDescent="0.3">
      <c r="A581" s="31"/>
      <c r="B581" s="24">
        <v>568</v>
      </c>
      <c r="C581" s="24" t="s">
        <v>656</v>
      </c>
      <c r="D581" s="24" t="s">
        <v>53</v>
      </c>
      <c r="E581" s="24" t="s">
        <v>9</v>
      </c>
      <c r="F581" s="24">
        <v>16811</v>
      </c>
      <c r="G581" s="25">
        <v>44651</v>
      </c>
      <c r="H581" s="25">
        <v>46112</v>
      </c>
      <c r="I581" s="24" t="s">
        <v>10</v>
      </c>
      <c r="J581" s="24" t="s">
        <v>25</v>
      </c>
      <c r="K581" s="24" t="str">
        <f>IF(certifications[[#This Row],[ISSUE DATE]]="", "", TEXT(certifications[[#This Row],[ISSUE DATE]], "MMM"))</f>
        <v>Mar</v>
      </c>
      <c r="L581" s="35" t="str">
        <f>IF(certifications[[#This Row],[ISSUE DATE]]="", "", TEXT(certifications[[#This Row],[ISSUE DATE]], "YYYY"))</f>
        <v>2022</v>
      </c>
    </row>
    <row r="582" spans="1:12" s="29" customFormat="1" ht="23.95" customHeight="1" x14ac:dyDescent="0.3">
      <c r="A582" s="31"/>
      <c r="B582" s="24">
        <v>569</v>
      </c>
      <c r="C582" s="24" t="s">
        <v>657</v>
      </c>
      <c r="D582" s="24" t="s">
        <v>160</v>
      </c>
      <c r="E582" s="24" t="s">
        <v>9</v>
      </c>
      <c r="F582" s="24">
        <v>8380</v>
      </c>
      <c r="G582" s="25">
        <v>41388</v>
      </c>
      <c r="H582" s="25">
        <v>42118</v>
      </c>
      <c r="I582" s="24" t="s">
        <v>16</v>
      </c>
      <c r="J582" s="24" t="s">
        <v>14</v>
      </c>
      <c r="K582" s="24" t="str">
        <f>IF(certifications[[#This Row],[ISSUE DATE]]="", "", TEXT(certifications[[#This Row],[ISSUE DATE]], "MMM"))</f>
        <v>Apr</v>
      </c>
      <c r="L582" s="35" t="str">
        <f>IF(certifications[[#This Row],[ISSUE DATE]]="", "", TEXT(certifications[[#This Row],[ISSUE DATE]], "YYYY"))</f>
        <v>2013</v>
      </c>
    </row>
    <row r="583" spans="1:12" s="29" customFormat="1" ht="23.95" customHeight="1" x14ac:dyDescent="0.3">
      <c r="A583" s="31"/>
      <c r="B583" s="24">
        <v>570</v>
      </c>
      <c r="C583" s="24" t="s">
        <v>658</v>
      </c>
      <c r="D583" s="24" t="s">
        <v>32</v>
      </c>
      <c r="E583" s="24" t="s">
        <v>9</v>
      </c>
      <c r="F583" s="24">
        <v>15141</v>
      </c>
      <c r="G583" s="25">
        <v>43887</v>
      </c>
      <c r="H583" s="25">
        <v>46079</v>
      </c>
      <c r="I583" s="24" t="s">
        <v>10</v>
      </c>
      <c r="J583" s="24" t="s">
        <v>33</v>
      </c>
      <c r="K583" s="24" t="str">
        <f>IF(certifications[[#This Row],[ISSUE DATE]]="", "", TEXT(certifications[[#This Row],[ISSUE DATE]], "MMM"))</f>
        <v>Feb</v>
      </c>
      <c r="L583" s="35" t="str">
        <f>IF(certifications[[#This Row],[ISSUE DATE]]="", "", TEXT(certifications[[#This Row],[ISSUE DATE]], "YYYY"))</f>
        <v>2020</v>
      </c>
    </row>
    <row r="584" spans="1:12" s="29" customFormat="1" ht="23.95" customHeight="1" x14ac:dyDescent="0.3">
      <c r="A584" s="31"/>
      <c r="B584" s="24">
        <v>571</v>
      </c>
      <c r="C584" s="3" t="s">
        <v>658</v>
      </c>
      <c r="D584" s="3" t="s">
        <v>32</v>
      </c>
      <c r="E584" s="3" t="s">
        <v>27</v>
      </c>
      <c r="F584" s="3">
        <v>15141</v>
      </c>
      <c r="G584" s="4">
        <v>45670</v>
      </c>
      <c r="H584" s="4">
        <v>46400</v>
      </c>
      <c r="I584" s="3" t="s">
        <v>10</v>
      </c>
      <c r="J584" s="3" t="s">
        <v>33</v>
      </c>
      <c r="K584" s="3" t="str">
        <f>IF(certifications[[#This Row],[ISSUE DATE]]="", "", TEXT(certifications[[#This Row],[ISSUE DATE]], "MMM"))</f>
        <v>Jan</v>
      </c>
      <c r="L584" s="36" t="str">
        <f>IF(certifications[[#This Row],[ISSUE DATE]]="", "", TEXT(certifications[[#This Row],[ISSUE DATE]], "YYYY"))</f>
        <v>2025</v>
      </c>
    </row>
    <row r="585" spans="1:12" s="29" customFormat="1" ht="23.95" customHeight="1" x14ac:dyDescent="0.3">
      <c r="A585" s="31"/>
      <c r="B585" s="24">
        <v>572</v>
      </c>
      <c r="C585" s="24" t="s">
        <v>659</v>
      </c>
      <c r="D585" s="24" t="s">
        <v>457</v>
      </c>
      <c r="E585" s="24" t="s">
        <v>9</v>
      </c>
      <c r="F585" s="24">
        <v>15022</v>
      </c>
      <c r="G585" s="25">
        <v>43840</v>
      </c>
      <c r="H585" s="25">
        <v>44571</v>
      </c>
      <c r="I585" s="24" t="s">
        <v>16</v>
      </c>
      <c r="J585" s="24" t="s">
        <v>14</v>
      </c>
      <c r="K585" s="24" t="str">
        <f>IF(certifications[[#This Row],[ISSUE DATE]]="", "", TEXT(certifications[[#This Row],[ISSUE DATE]], "MMM"))</f>
        <v>Jan</v>
      </c>
      <c r="L585" s="35" t="str">
        <f>IF(certifications[[#This Row],[ISSUE DATE]]="", "", TEXT(certifications[[#This Row],[ISSUE DATE]], "YYYY"))</f>
        <v>2020</v>
      </c>
    </row>
    <row r="586" spans="1:12" s="29" customFormat="1" ht="23.95" customHeight="1" x14ac:dyDescent="0.3">
      <c r="A586" s="31"/>
      <c r="B586" s="24">
        <v>573</v>
      </c>
      <c r="C586" s="24" t="s">
        <v>660</v>
      </c>
      <c r="D586" s="24" t="s">
        <v>565</v>
      </c>
      <c r="E586" s="24" t="s">
        <v>9</v>
      </c>
      <c r="F586" s="24">
        <v>10656</v>
      </c>
      <c r="G586" s="25">
        <v>43118</v>
      </c>
      <c r="H586" s="25">
        <v>43848</v>
      </c>
      <c r="I586" s="24" t="s">
        <v>16</v>
      </c>
      <c r="J586" s="24" t="s">
        <v>38</v>
      </c>
      <c r="K586" s="24" t="str">
        <f>IF(certifications[[#This Row],[ISSUE DATE]]="", "", TEXT(certifications[[#This Row],[ISSUE DATE]], "MMM"))</f>
        <v>Jan</v>
      </c>
      <c r="L586" s="35" t="str">
        <f>IF(certifications[[#This Row],[ISSUE DATE]]="", "", TEXT(certifications[[#This Row],[ISSUE DATE]], "YYYY"))</f>
        <v>2018</v>
      </c>
    </row>
    <row r="587" spans="1:12" s="29" customFormat="1" ht="23.95" customHeight="1" x14ac:dyDescent="0.3">
      <c r="A587" s="31"/>
      <c r="B587" s="24">
        <v>574</v>
      </c>
      <c r="C587" s="24" t="s">
        <v>661</v>
      </c>
      <c r="D587" s="24" t="s">
        <v>662</v>
      </c>
      <c r="E587" s="24" t="s">
        <v>9</v>
      </c>
      <c r="F587" s="24">
        <v>15859</v>
      </c>
      <c r="G587" s="25">
        <v>44211</v>
      </c>
      <c r="H587" s="25">
        <v>46402</v>
      </c>
      <c r="I587" s="24" t="s">
        <v>10</v>
      </c>
      <c r="J587" s="24" t="s">
        <v>30</v>
      </c>
      <c r="K587" s="24" t="str">
        <f>IF(certifications[[#This Row],[ISSUE DATE]]="", "", TEXT(certifications[[#This Row],[ISSUE DATE]], "MMM"))</f>
        <v>Jan</v>
      </c>
      <c r="L587" s="35" t="str">
        <f>IF(certifications[[#This Row],[ISSUE DATE]]="", "", TEXT(certifications[[#This Row],[ISSUE DATE]], "YYYY"))</f>
        <v>2021</v>
      </c>
    </row>
    <row r="588" spans="1:12" s="29" customFormat="1" ht="23.95" customHeight="1" x14ac:dyDescent="0.3">
      <c r="A588" s="31"/>
      <c r="B588" s="24">
        <v>575</v>
      </c>
      <c r="C588" s="24" t="s">
        <v>663</v>
      </c>
      <c r="D588" s="24" t="s">
        <v>133</v>
      </c>
      <c r="E588" s="24" t="s">
        <v>9</v>
      </c>
      <c r="F588" s="24">
        <v>7491</v>
      </c>
      <c r="G588" s="25">
        <v>41486</v>
      </c>
      <c r="H588" s="25">
        <v>42947</v>
      </c>
      <c r="I588" s="24" t="s">
        <v>16</v>
      </c>
      <c r="J588" s="24" t="s">
        <v>14</v>
      </c>
      <c r="K588" s="24" t="str">
        <f>IF(certifications[[#This Row],[ISSUE DATE]]="", "", TEXT(certifications[[#This Row],[ISSUE DATE]], "MMM"))</f>
        <v>Jul</v>
      </c>
      <c r="L588" s="35" t="str">
        <f>IF(certifications[[#This Row],[ISSUE DATE]]="", "", TEXT(certifications[[#This Row],[ISSUE DATE]], "YYYY"))</f>
        <v>2013</v>
      </c>
    </row>
    <row r="589" spans="1:12" s="29" customFormat="1" ht="23.95" customHeight="1" x14ac:dyDescent="0.3">
      <c r="A589" s="31"/>
      <c r="B589" s="24">
        <v>576</v>
      </c>
      <c r="C589" s="24" t="s">
        <v>664</v>
      </c>
      <c r="D589" s="24" t="s">
        <v>665</v>
      </c>
      <c r="E589" s="24" t="s">
        <v>9</v>
      </c>
      <c r="F589" s="24">
        <v>18506</v>
      </c>
      <c r="G589" s="25">
        <v>45028</v>
      </c>
      <c r="H589" s="25">
        <v>45759</v>
      </c>
      <c r="I589" s="24" t="s">
        <v>82</v>
      </c>
      <c r="J589" s="24" t="s">
        <v>30</v>
      </c>
      <c r="K589" s="24" t="str">
        <f>IF(certifications[[#This Row],[ISSUE DATE]]="", "", TEXT(certifications[[#This Row],[ISSUE DATE]], "MMM"))</f>
        <v>Apr</v>
      </c>
      <c r="L589" s="35" t="str">
        <f>IF(certifications[[#This Row],[ISSUE DATE]]="", "", TEXT(certifications[[#This Row],[ISSUE DATE]], "YYYY"))</f>
        <v>2023</v>
      </c>
    </row>
    <row r="590" spans="1:12" s="29" customFormat="1" ht="23.95" customHeight="1" x14ac:dyDescent="0.3">
      <c r="A590" s="31"/>
      <c r="B590" s="24">
        <v>577</v>
      </c>
      <c r="C590" s="24" t="s">
        <v>666</v>
      </c>
      <c r="D590" s="24" t="s">
        <v>32</v>
      </c>
      <c r="E590" s="24" t="s">
        <v>9</v>
      </c>
      <c r="F590" s="24">
        <v>17855</v>
      </c>
      <c r="G590" s="25">
        <v>44830</v>
      </c>
      <c r="H590" s="25">
        <v>46291</v>
      </c>
      <c r="I590" s="24" t="s">
        <v>10</v>
      </c>
      <c r="J590" s="24" t="s">
        <v>33</v>
      </c>
      <c r="K590" s="24" t="str">
        <f>IF(certifications[[#This Row],[ISSUE DATE]]="", "", TEXT(certifications[[#This Row],[ISSUE DATE]], "MMM"))</f>
        <v>Sep</v>
      </c>
      <c r="L590" s="35" t="str">
        <f>IF(certifications[[#This Row],[ISSUE DATE]]="", "", TEXT(certifications[[#This Row],[ISSUE DATE]], "YYYY"))</f>
        <v>2022</v>
      </c>
    </row>
    <row r="591" spans="1:12" s="29" customFormat="1" ht="23.95" customHeight="1" x14ac:dyDescent="0.3">
      <c r="A591" s="31"/>
      <c r="B591" s="24">
        <v>578</v>
      </c>
      <c r="C591" s="24" t="s">
        <v>667</v>
      </c>
      <c r="D591" s="24" t="s">
        <v>269</v>
      </c>
      <c r="E591" s="24" t="s">
        <v>9</v>
      </c>
      <c r="F591" s="24">
        <v>15708</v>
      </c>
      <c r="G591" s="25">
        <v>44172</v>
      </c>
      <c r="H591" s="25">
        <v>44902</v>
      </c>
      <c r="I591" s="24" t="s">
        <v>321</v>
      </c>
      <c r="J591" s="24" t="s">
        <v>25</v>
      </c>
      <c r="K591" s="24" t="str">
        <f>IF(certifications[[#This Row],[ISSUE DATE]]="", "", TEXT(certifications[[#This Row],[ISSUE DATE]], "MMM"))</f>
        <v>Dec</v>
      </c>
      <c r="L591" s="35" t="str">
        <f>IF(certifications[[#This Row],[ISSUE DATE]]="", "", TEXT(certifications[[#This Row],[ISSUE DATE]], "YYYY"))</f>
        <v>2020</v>
      </c>
    </row>
    <row r="592" spans="1:12" s="29" customFormat="1" ht="23.95" customHeight="1" x14ac:dyDescent="0.3">
      <c r="A592" s="31"/>
      <c r="B592" s="24">
        <v>579</v>
      </c>
      <c r="C592" s="24" t="s">
        <v>668</v>
      </c>
      <c r="D592" s="24" t="s">
        <v>13</v>
      </c>
      <c r="E592" s="24" t="s">
        <v>9</v>
      </c>
      <c r="F592" s="24">
        <v>10593</v>
      </c>
      <c r="G592" s="25">
        <v>43081</v>
      </c>
      <c r="H592" s="25">
        <v>44542</v>
      </c>
      <c r="I592" s="24" t="s">
        <v>16</v>
      </c>
      <c r="J592" s="24" t="s">
        <v>14</v>
      </c>
      <c r="K592" s="24" t="str">
        <f>IF(certifications[[#This Row],[ISSUE DATE]]="", "", TEXT(certifications[[#This Row],[ISSUE DATE]], "MMM"))</f>
        <v>Dec</v>
      </c>
      <c r="L592" s="35" t="str">
        <f>IF(certifications[[#This Row],[ISSUE DATE]]="", "", TEXT(certifications[[#This Row],[ISSUE DATE]], "YYYY"))</f>
        <v>2017</v>
      </c>
    </row>
    <row r="593" spans="1:12" s="29" customFormat="1" ht="23.95" customHeight="1" x14ac:dyDescent="0.3">
      <c r="A593" s="31"/>
      <c r="B593" s="24">
        <v>580</v>
      </c>
      <c r="C593" s="24" t="s">
        <v>669</v>
      </c>
      <c r="D593" s="24" t="s">
        <v>73</v>
      </c>
      <c r="E593" s="24" t="s">
        <v>26</v>
      </c>
      <c r="F593" s="24">
        <v>21490</v>
      </c>
      <c r="G593" s="25">
        <v>45700</v>
      </c>
      <c r="H593" s="25">
        <v>46430</v>
      </c>
      <c r="I593" s="24" t="s">
        <v>10</v>
      </c>
      <c r="J593" s="24" t="s">
        <v>30</v>
      </c>
      <c r="K593" s="24" t="str">
        <f>IF(certifications[[#This Row],[ISSUE DATE]]="", "", TEXT(certifications[[#This Row],[ISSUE DATE]], "MMM"))</f>
        <v>Feb</v>
      </c>
      <c r="L593" s="35" t="str">
        <f>IF(certifications[[#This Row],[ISSUE DATE]]="", "", TEXT(certifications[[#This Row],[ISSUE DATE]], "YYYY"))</f>
        <v>2025</v>
      </c>
    </row>
    <row r="594" spans="1:12" s="29" customFormat="1" ht="23.95" customHeight="1" x14ac:dyDescent="0.3">
      <c r="A594" s="31"/>
      <c r="B594" s="24">
        <v>581</v>
      </c>
      <c r="C594" s="24" t="s">
        <v>670</v>
      </c>
      <c r="D594" s="24" t="s">
        <v>665</v>
      </c>
      <c r="E594" s="24" t="s">
        <v>9</v>
      </c>
      <c r="F594" s="24">
        <v>8662</v>
      </c>
      <c r="G594" s="25">
        <v>41577</v>
      </c>
      <c r="H594" s="25">
        <v>42307</v>
      </c>
      <c r="I594" s="24" t="s">
        <v>16</v>
      </c>
      <c r="J594" s="24" t="s">
        <v>30</v>
      </c>
      <c r="K594" s="24" t="str">
        <f>IF(certifications[[#This Row],[ISSUE DATE]]="", "", TEXT(certifications[[#This Row],[ISSUE DATE]], "MMM"))</f>
        <v>Oct</v>
      </c>
      <c r="L594" s="35" t="str">
        <f>IF(certifications[[#This Row],[ISSUE DATE]]="", "", TEXT(certifications[[#This Row],[ISSUE DATE]], "YYYY"))</f>
        <v>2013</v>
      </c>
    </row>
    <row r="595" spans="1:12" s="29" customFormat="1" ht="23.95" customHeight="1" x14ac:dyDescent="0.3">
      <c r="A595" s="31"/>
      <c r="B595" s="24">
        <v>582</v>
      </c>
      <c r="C595" s="24" t="s">
        <v>671</v>
      </c>
      <c r="D595" s="24" t="s">
        <v>32</v>
      </c>
      <c r="E595" s="24" t="s">
        <v>9</v>
      </c>
      <c r="F595" s="24">
        <v>11986</v>
      </c>
      <c r="G595" s="25">
        <v>45629</v>
      </c>
      <c r="H595" s="25">
        <v>46359</v>
      </c>
      <c r="I595" s="24" t="s">
        <v>10</v>
      </c>
      <c r="J595" s="24" t="s">
        <v>33</v>
      </c>
      <c r="K595" s="24" t="str">
        <f>IF(certifications[[#This Row],[ISSUE DATE]]="", "", TEXT(certifications[[#This Row],[ISSUE DATE]], "MMM"))</f>
        <v>Dec</v>
      </c>
      <c r="L595" s="35" t="str">
        <f>IF(certifications[[#This Row],[ISSUE DATE]]="", "", TEXT(certifications[[#This Row],[ISSUE DATE]], "YYYY"))</f>
        <v>2024</v>
      </c>
    </row>
    <row r="596" spans="1:12" s="29" customFormat="1" ht="23.95" customHeight="1" x14ac:dyDescent="0.3">
      <c r="A596" s="31"/>
      <c r="B596" s="24">
        <v>583</v>
      </c>
      <c r="C596" s="24" t="s">
        <v>672</v>
      </c>
      <c r="D596" s="24" t="s">
        <v>32</v>
      </c>
      <c r="E596" s="24" t="s">
        <v>9</v>
      </c>
      <c r="F596" s="24">
        <v>14801</v>
      </c>
      <c r="G596" s="25">
        <v>43787</v>
      </c>
      <c r="H596" s="25">
        <v>45248</v>
      </c>
      <c r="I596" s="24" t="s">
        <v>16</v>
      </c>
      <c r="J596" s="24" t="s">
        <v>33</v>
      </c>
      <c r="K596" s="24" t="str">
        <f>IF(certifications[[#This Row],[ISSUE DATE]]="", "", TEXT(certifications[[#This Row],[ISSUE DATE]], "MMM"))</f>
        <v>Nov</v>
      </c>
      <c r="L596" s="35" t="str">
        <f>IF(certifications[[#This Row],[ISSUE DATE]]="", "", TEXT(certifications[[#This Row],[ISSUE DATE]], "YYYY"))</f>
        <v>2019</v>
      </c>
    </row>
    <row r="597" spans="1:12" s="29" customFormat="1" ht="23.95" customHeight="1" x14ac:dyDescent="0.3">
      <c r="A597" s="31"/>
      <c r="B597" s="24">
        <v>584</v>
      </c>
      <c r="C597" s="24" t="s">
        <v>673</v>
      </c>
      <c r="D597" s="24" t="s">
        <v>674</v>
      </c>
      <c r="E597" s="24" t="s">
        <v>9</v>
      </c>
      <c r="F597" s="24">
        <v>13148</v>
      </c>
      <c r="G597" s="25">
        <v>44921</v>
      </c>
      <c r="H597" s="25">
        <v>46382</v>
      </c>
      <c r="I597" s="24" t="s">
        <v>10</v>
      </c>
      <c r="J597" s="24" t="s">
        <v>22</v>
      </c>
      <c r="K597" s="24" t="str">
        <f>IF(certifications[[#This Row],[ISSUE DATE]]="", "", TEXT(certifications[[#This Row],[ISSUE DATE]], "MMM"))</f>
        <v>Dec</v>
      </c>
      <c r="L597" s="35" t="str">
        <f>IF(certifications[[#This Row],[ISSUE DATE]]="", "", TEXT(certifications[[#This Row],[ISSUE DATE]], "YYYY"))</f>
        <v>2022</v>
      </c>
    </row>
    <row r="598" spans="1:12" s="29" customFormat="1" ht="23.95" customHeight="1" x14ac:dyDescent="0.3">
      <c r="A598" s="31"/>
      <c r="B598" s="24">
        <v>585</v>
      </c>
      <c r="C598" s="24" t="s">
        <v>675</v>
      </c>
      <c r="D598" s="24" t="s">
        <v>18</v>
      </c>
      <c r="E598" s="24" t="s">
        <v>9</v>
      </c>
      <c r="F598" s="24">
        <v>21511</v>
      </c>
      <c r="G598" s="25">
        <v>45703</v>
      </c>
      <c r="H598" s="25">
        <v>46433</v>
      </c>
      <c r="I598" s="24" t="s">
        <v>10</v>
      </c>
      <c r="J598" s="24" t="s">
        <v>19</v>
      </c>
      <c r="K598" s="24" t="str">
        <f>IF(certifications[[#This Row],[ISSUE DATE]]="", "", TEXT(certifications[[#This Row],[ISSUE DATE]], "MMM"))</f>
        <v>Feb</v>
      </c>
      <c r="L598" s="35" t="str">
        <f>IF(certifications[[#This Row],[ISSUE DATE]]="", "", TEXT(certifications[[#This Row],[ISSUE DATE]], "YYYY"))</f>
        <v>2025</v>
      </c>
    </row>
    <row r="599" spans="1:12" s="29" customFormat="1" ht="23.95" customHeight="1" x14ac:dyDescent="0.3">
      <c r="A599" s="31"/>
      <c r="B599" s="24">
        <v>586</v>
      </c>
      <c r="C599" s="24" t="s">
        <v>676</v>
      </c>
      <c r="D599" s="24" t="s">
        <v>32</v>
      </c>
      <c r="E599" s="24" t="s">
        <v>9</v>
      </c>
      <c r="F599" s="24">
        <v>11040</v>
      </c>
      <c r="G599" s="25">
        <v>43203</v>
      </c>
      <c r="H599" s="25">
        <v>43934</v>
      </c>
      <c r="I599" s="24" t="s">
        <v>16</v>
      </c>
      <c r="J599" s="24" t="s">
        <v>33</v>
      </c>
      <c r="K599" s="24" t="str">
        <f>IF(certifications[[#This Row],[ISSUE DATE]]="", "", TEXT(certifications[[#This Row],[ISSUE DATE]], "MMM"))</f>
        <v>Apr</v>
      </c>
      <c r="L599" s="35" t="str">
        <f>IF(certifications[[#This Row],[ISSUE DATE]]="", "", TEXT(certifications[[#This Row],[ISSUE DATE]], "YYYY"))</f>
        <v>2018</v>
      </c>
    </row>
    <row r="600" spans="1:12" s="29" customFormat="1" ht="23.95" customHeight="1" x14ac:dyDescent="0.3">
      <c r="A600" s="31"/>
      <c r="B600" s="24">
        <v>587</v>
      </c>
      <c r="C600" s="24" t="s">
        <v>677</v>
      </c>
      <c r="D600" s="24" t="s">
        <v>171</v>
      </c>
      <c r="E600" s="24" t="s">
        <v>9</v>
      </c>
      <c r="F600" s="24">
        <v>20142</v>
      </c>
      <c r="G600" s="25">
        <v>45399</v>
      </c>
      <c r="H600" s="25">
        <v>46129</v>
      </c>
      <c r="I600" s="24" t="s">
        <v>10</v>
      </c>
      <c r="J600" s="24" t="s">
        <v>14</v>
      </c>
      <c r="K600" s="24" t="str">
        <f>IF(certifications[[#This Row],[ISSUE DATE]]="", "", TEXT(certifications[[#This Row],[ISSUE DATE]], "MMM"))</f>
        <v>Apr</v>
      </c>
      <c r="L600" s="35" t="str">
        <f>IF(certifications[[#This Row],[ISSUE DATE]]="", "", TEXT(certifications[[#This Row],[ISSUE DATE]], "YYYY"))</f>
        <v>2024</v>
      </c>
    </row>
    <row r="601" spans="1:12" s="29" customFormat="1" ht="23.95" customHeight="1" x14ac:dyDescent="0.3">
      <c r="A601" s="31"/>
      <c r="B601" s="24">
        <v>588</v>
      </c>
      <c r="C601" s="24" t="s">
        <v>678</v>
      </c>
      <c r="D601" s="24" t="s">
        <v>32</v>
      </c>
      <c r="E601" s="24" t="s">
        <v>9</v>
      </c>
      <c r="F601" s="24">
        <v>17862</v>
      </c>
      <c r="G601" s="25">
        <v>44831</v>
      </c>
      <c r="H601" s="25">
        <v>46292</v>
      </c>
      <c r="I601" s="24" t="s">
        <v>10</v>
      </c>
      <c r="J601" s="24" t="s">
        <v>33</v>
      </c>
      <c r="K601" s="24" t="str">
        <f>IF(certifications[[#This Row],[ISSUE DATE]]="", "", TEXT(certifications[[#This Row],[ISSUE DATE]], "MMM"))</f>
        <v>Sep</v>
      </c>
      <c r="L601" s="35" t="str">
        <f>IF(certifications[[#This Row],[ISSUE DATE]]="", "", TEXT(certifications[[#This Row],[ISSUE DATE]], "YYYY"))</f>
        <v>2022</v>
      </c>
    </row>
    <row r="602" spans="1:12" s="29" customFormat="1" ht="23.95" customHeight="1" x14ac:dyDescent="0.3">
      <c r="A602" s="31"/>
      <c r="B602" s="24">
        <v>589</v>
      </c>
      <c r="C602" s="24" t="s">
        <v>678</v>
      </c>
      <c r="D602" s="24" t="s">
        <v>32</v>
      </c>
      <c r="E602" s="24" t="s">
        <v>26</v>
      </c>
      <c r="F602" s="24">
        <v>17862</v>
      </c>
      <c r="G602" s="25">
        <v>44831</v>
      </c>
      <c r="H602" s="25">
        <v>45562</v>
      </c>
      <c r="I602" s="24" t="s">
        <v>82</v>
      </c>
      <c r="J602" s="24" t="s">
        <v>33</v>
      </c>
      <c r="K602" s="24" t="str">
        <f>IF(certifications[[#This Row],[ISSUE DATE]]="", "", TEXT(certifications[[#This Row],[ISSUE DATE]], "MMM"))</f>
        <v>Sep</v>
      </c>
      <c r="L602" s="35" t="str">
        <f>IF(certifications[[#This Row],[ISSUE DATE]]="", "", TEXT(certifications[[#This Row],[ISSUE DATE]], "YYYY"))</f>
        <v>2022</v>
      </c>
    </row>
    <row r="603" spans="1:12" s="29" customFormat="1" ht="23.95" customHeight="1" x14ac:dyDescent="0.3">
      <c r="A603" s="31"/>
      <c r="B603" s="24">
        <v>590</v>
      </c>
      <c r="C603" s="24" t="s">
        <v>679</v>
      </c>
      <c r="D603" s="24" t="s">
        <v>32</v>
      </c>
      <c r="E603" s="24" t="s">
        <v>9</v>
      </c>
      <c r="F603" s="24">
        <v>10027</v>
      </c>
      <c r="G603" s="25">
        <v>42766</v>
      </c>
      <c r="H603" s="25">
        <v>46418</v>
      </c>
      <c r="I603" s="24" t="s">
        <v>10</v>
      </c>
      <c r="J603" s="24" t="s">
        <v>33</v>
      </c>
      <c r="K603" s="24" t="str">
        <f>IF(certifications[[#This Row],[ISSUE DATE]]="", "", TEXT(certifications[[#This Row],[ISSUE DATE]], "MMM"))</f>
        <v>Jan</v>
      </c>
      <c r="L603" s="35" t="str">
        <f>IF(certifications[[#This Row],[ISSUE DATE]]="", "", TEXT(certifications[[#This Row],[ISSUE DATE]], "YYYY"))</f>
        <v>2017</v>
      </c>
    </row>
    <row r="604" spans="1:12" s="29" customFormat="1" ht="23.95" customHeight="1" x14ac:dyDescent="0.3">
      <c r="A604" s="31"/>
      <c r="B604" s="24">
        <v>591</v>
      </c>
      <c r="C604" s="24" t="s">
        <v>680</v>
      </c>
      <c r="D604" s="24" t="s">
        <v>80</v>
      </c>
      <c r="E604" s="24" t="s">
        <v>9</v>
      </c>
      <c r="F604" s="24">
        <v>17338</v>
      </c>
      <c r="G604" s="25">
        <v>44661</v>
      </c>
      <c r="H604" s="25">
        <v>45392</v>
      </c>
      <c r="I604" s="24" t="s">
        <v>16</v>
      </c>
      <c r="J604" s="24" t="s">
        <v>38</v>
      </c>
      <c r="K604" s="24" t="str">
        <f>IF(certifications[[#This Row],[ISSUE DATE]]="", "", TEXT(certifications[[#This Row],[ISSUE DATE]], "MMM"))</f>
        <v>Apr</v>
      </c>
      <c r="L604" s="35" t="str">
        <f>IF(certifications[[#This Row],[ISSUE DATE]]="", "", TEXT(certifications[[#This Row],[ISSUE DATE]], "YYYY"))</f>
        <v>2022</v>
      </c>
    </row>
    <row r="605" spans="1:12" s="29" customFormat="1" ht="23.95" customHeight="1" x14ac:dyDescent="0.3">
      <c r="A605" s="31"/>
      <c r="B605" s="24">
        <v>592</v>
      </c>
      <c r="C605" s="24" t="s">
        <v>681</v>
      </c>
      <c r="D605" s="24" t="s">
        <v>202</v>
      </c>
      <c r="E605" s="24" t="s">
        <v>9</v>
      </c>
      <c r="F605" s="24">
        <v>15181</v>
      </c>
      <c r="G605" s="25">
        <v>43900</v>
      </c>
      <c r="H605" s="25">
        <v>45361</v>
      </c>
      <c r="I605" s="24" t="s">
        <v>16</v>
      </c>
      <c r="J605" s="24" t="s">
        <v>19</v>
      </c>
      <c r="K605" s="24" t="str">
        <f>IF(certifications[[#This Row],[ISSUE DATE]]="", "", TEXT(certifications[[#This Row],[ISSUE DATE]], "MMM"))</f>
        <v>Mar</v>
      </c>
      <c r="L605" s="35" t="str">
        <f>IF(certifications[[#This Row],[ISSUE DATE]]="", "", TEXT(certifications[[#This Row],[ISSUE DATE]], "YYYY"))</f>
        <v>2020</v>
      </c>
    </row>
    <row r="606" spans="1:12" s="29" customFormat="1" ht="23.95" customHeight="1" x14ac:dyDescent="0.3">
      <c r="A606" s="31"/>
      <c r="B606" s="24">
        <v>593</v>
      </c>
      <c r="C606" s="24" t="s">
        <v>682</v>
      </c>
      <c r="D606" s="24" t="s">
        <v>109</v>
      </c>
      <c r="E606" s="24" t="s">
        <v>9</v>
      </c>
      <c r="F606" s="24">
        <v>13739</v>
      </c>
      <c r="G606" s="25">
        <v>43641</v>
      </c>
      <c r="H606" s="25">
        <v>44372</v>
      </c>
      <c r="I606" s="24" t="s">
        <v>16</v>
      </c>
      <c r="J606" s="24" t="s">
        <v>38</v>
      </c>
      <c r="K606" s="24" t="str">
        <f>IF(certifications[[#This Row],[ISSUE DATE]]="", "", TEXT(certifications[[#This Row],[ISSUE DATE]], "MMM"))</f>
        <v>Jun</v>
      </c>
      <c r="L606" s="35" t="str">
        <f>IF(certifications[[#This Row],[ISSUE DATE]]="", "", TEXT(certifications[[#This Row],[ISSUE DATE]], "YYYY"))</f>
        <v>2019</v>
      </c>
    </row>
    <row r="607" spans="1:12" s="29" customFormat="1" ht="23.95" customHeight="1" x14ac:dyDescent="0.3">
      <c r="A607" s="31"/>
      <c r="B607" s="24">
        <v>594</v>
      </c>
      <c r="C607" s="24" t="s">
        <v>683</v>
      </c>
      <c r="D607" s="24" t="s">
        <v>13</v>
      </c>
      <c r="E607" s="24" t="s">
        <v>9</v>
      </c>
      <c r="F607" s="24">
        <v>12834</v>
      </c>
      <c r="G607" s="25">
        <v>43504</v>
      </c>
      <c r="H607" s="25">
        <v>44235</v>
      </c>
      <c r="I607" s="24" t="s">
        <v>16</v>
      </c>
      <c r="J607" s="24" t="s">
        <v>14</v>
      </c>
      <c r="K607" s="24" t="str">
        <f>IF(certifications[[#This Row],[ISSUE DATE]]="", "", TEXT(certifications[[#This Row],[ISSUE DATE]], "MMM"))</f>
        <v>Feb</v>
      </c>
      <c r="L607" s="35" t="str">
        <f>IF(certifications[[#This Row],[ISSUE DATE]]="", "", TEXT(certifications[[#This Row],[ISSUE DATE]], "YYYY"))</f>
        <v>2019</v>
      </c>
    </row>
    <row r="608" spans="1:12" s="29" customFormat="1" ht="23.95" customHeight="1" x14ac:dyDescent="0.3">
      <c r="A608" s="31"/>
      <c r="B608" s="24">
        <v>595</v>
      </c>
      <c r="C608" s="24" t="s">
        <v>684</v>
      </c>
      <c r="D608" s="24" t="s">
        <v>40</v>
      </c>
      <c r="E608" s="24" t="s">
        <v>9</v>
      </c>
      <c r="F608" s="24">
        <v>12364</v>
      </c>
      <c r="G608" s="25">
        <v>43369</v>
      </c>
      <c r="H608" s="25">
        <v>46291</v>
      </c>
      <c r="I608" s="24" t="s">
        <v>10</v>
      </c>
      <c r="J608" s="24" t="s">
        <v>25</v>
      </c>
      <c r="K608" s="24" t="str">
        <f>IF(certifications[[#This Row],[ISSUE DATE]]="", "", TEXT(certifications[[#This Row],[ISSUE DATE]], "MMM"))</f>
        <v>Sep</v>
      </c>
      <c r="L608" s="35" t="str">
        <f>IF(certifications[[#This Row],[ISSUE DATE]]="", "", TEXT(certifications[[#This Row],[ISSUE DATE]], "YYYY"))</f>
        <v>2018</v>
      </c>
    </row>
    <row r="609" spans="1:12" s="29" customFormat="1" ht="23.95" customHeight="1" x14ac:dyDescent="0.3">
      <c r="A609" s="31"/>
      <c r="B609" s="24">
        <v>596</v>
      </c>
      <c r="C609" s="24" t="s">
        <v>685</v>
      </c>
      <c r="D609" s="24" t="s">
        <v>686</v>
      </c>
      <c r="E609" s="24" t="s">
        <v>9</v>
      </c>
      <c r="F609" s="24">
        <v>12728</v>
      </c>
      <c r="G609" s="25">
        <v>43479</v>
      </c>
      <c r="H609" s="25">
        <v>44940</v>
      </c>
      <c r="I609" s="24" t="s">
        <v>16</v>
      </c>
      <c r="J609" s="24" t="s">
        <v>19</v>
      </c>
      <c r="K609" s="24" t="str">
        <f>IF(certifications[[#This Row],[ISSUE DATE]]="", "", TEXT(certifications[[#This Row],[ISSUE DATE]], "MMM"))</f>
        <v>Jan</v>
      </c>
      <c r="L609" s="35" t="str">
        <f>IF(certifications[[#This Row],[ISSUE DATE]]="", "", TEXT(certifications[[#This Row],[ISSUE DATE]], "YYYY"))</f>
        <v>2019</v>
      </c>
    </row>
    <row r="610" spans="1:12" s="29" customFormat="1" ht="23.95" customHeight="1" x14ac:dyDescent="0.3">
      <c r="A610" s="31"/>
      <c r="B610" s="24">
        <v>597</v>
      </c>
      <c r="C610" s="24" t="s">
        <v>687</v>
      </c>
      <c r="D610" s="24" t="s">
        <v>18</v>
      </c>
      <c r="E610" s="24" t="s">
        <v>9</v>
      </c>
      <c r="F610" s="24">
        <v>10350</v>
      </c>
      <c r="G610" s="25">
        <v>42975</v>
      </c>
      <c r="H610" s="25">
        <v>46541</v>
      </c>
      <c r="I610" s="24" t="s">
        <v>10</v>
      </c>
      <c r="J610" s="24" t="s">
        <v>19</v>
      </c>
      <c r="K610" s="24" t="str">
        <f>IF(certifications[[#This Row],[ISSUE DATE]]="", "", TEXT(certifications[[#This Row],[ISSUE DATE]], "MMM"))</f>
        <v>Aug</v>
      </c>
      <c r="L610" s="35" t="str">
        <f>IF(certifications[[#This Row],[ISSUE DATE]]="", "", TEXT(certifications[[#This Row],[ISSUE DATE]], "YYYY"))</f>
        <v>2017</v>
      </c>
    </row>
    <row r="611" spans="1:12" s="29" customFormat="1" ht="23.95" customHeight="1" x14ac:dyDescent="0.3">
      <c r="A611" s="31"/>
      <c r="B611" s="24">
        <v>598</v>
      </c>
      <c r="C611" s="24" t="s">
        <v>687</v>
      </c>
      <c r="D611" s="24" t="s">
        <v>18</v>
      </c>
      <c r="E611" s="24" t="s">
        <v>26</v>
      </c>
      <c r="F611" s="24">
        <v>10350</v>
      </c>
      <c r="G611" s="25">
        <v>44034</v>
      </c>
      <c r="H611" s="25">
        <v>44764</v>
      </c>
      <c r="I611" s="24" t="s">
        <v>16</v>
      </c>
      <c r="J611" s="24" t="s">
        <v>19</v>
      </c>
      <c r="K611" s="24" t="str">
        <f>IF(certifications[[#This Row],[ISSUE DATE]]="", "", TEXT(certifications[[#This Row],[ISSUE DATE]], "MMM"))</f>
        <v>Jul</v>
      </c>
      <c r="L611" s="35" t="str">
        <f>IF(certifications[[#This Row],[ISSUE DATE]]="", "", TEXT(certifications[[#This Row],[ISSUE DATE]], "YYYY"))</f>
        <v>2020</v>
      </c>
    </row>
    <row r="612" spans="1:12" s="29" customFormat="1" ht="23.95" customHeight="1" x14ac:dyDescent="0.3">
      <c r="A612" s="31"/>
      <c r="B612" s="24">
        <v>599</v>
      </c>
      <c r="C612" s="24" t="s">
        <v>688</v>
      </c>
      <c r="D612" s="24" t="s">
        <v>226</v>
      </c>
      <c r="E612" s="24" t="s">
        <v>9</v>
      </c>
      <c r="F612" s="24">
        <v>14948</v>
      </c>
      <c r="G612" s="25">
        <v>43818</v>
      </c>
      <c r="H612" s="25">
        <v>44549</v>
      </c>
      <c r="I612" s="24" t="s">
        <v>16</v>
      </c>
      <c r="J612" s="24" t="s">
        <v>30</v>
      </c>
      <c r="K612" s="24" t="str">
        <f>IF(certifications[[#This Row],[ISSUE DATE]]="", "", TEXT(certifications[[#This Row],[ISSUE DATE]], "MMM"))</f>
        <v>Dec</v>
      </c>
      <c r="L612" s="35" t="str">
        <f>IF(certifications[[#This Row],[ISSUE DATE]]="", "", TEXT(certifications[[#This Row],[ISSUE DATE]], "YYYY"))</f>
        <v>2019</v>
      </c>
    </row>
    <row r="613" spans="1:12" s="29" customFormat="1" ht="23.95" customHeight="1" x14ac:dyDescent="0.3">
      <c r="A613" s="31"/>
      <c r="B613" s="24">
        <v>600</v>
      </c>
      <c r="C613" s="24" t="s">
        <v>689</v>
      </c>
      <c r="D613" s="24" t="s">
        <v>355</v>
      </c>
      <c r="E613" s="24" t="s">
        <v>26</v>
      </c>
      <c r="F613" s="24">
        <v>16682</v>
      </c>
      <c r="G613" s="25">
        <v>44397</v>
      </c>
      <c r="H613" s="25">
        <v>45858</v>
      </c>
      <c r="I613" s="24" t="s">
        <v>10</v>
      </c>
      <c r="J613" s="24" t="s">
        <v>22</v>
      </c>
      <c r="K613" s="24" t="str">
        <f>IF(certifications[[#This Row],[ISSUE DATE]]="", "", TEXT(certifications[[#This Row],[ISSUE DATE]], "MMM"))</f>
        <v>Jul</v>
      </c>
      <c r="L613" s="35" t="str">
        <f>IF(certifications[[#This Row],[ISSUE DATE]]="", "", TEXT(certifications[[#This Row],[ISSUE DATE]], "YYYY"))</f>
        <v>2021</v>
      </c>
    </row>
    <row r="614" spans="1:12" s="29" customFormat="1" ht="23.95" customHeight="1" x14ac:dyDescent="0.3">
      <c r="A614" s="31"/>
      <c r="B614" s="24">
        <v>601</v>
      </c>
      <c r="C614" s="24" t="s">
        <v>690</v>
      </c>
      <c r="D614" s="24" t="s">
        <v>13</v>
      </c>
      <c r="E614" s="24" t="s">
        <v>9</v>
      </c>
      <c r="F614" s="24">
        <v>13575</v>
      </c>
      <c r="G614" s="25">
        <v>43630</v>
      </c>
      <c r="H614" s="25">
        <v>44361</v>
      </c>
      <c r="I614" s="24" t="s">
        <v>16</v>
      </c>
      <c r="J614" s="24" t="s">
        <v>14</v>
      </c>
      <c r="K614" s="24" t="str">
        <f>IF(certifications[[#This Row],[ISSUE DATE]]="", "", TEXT(certifications[[#This Row],[ISSUE DATE]], "MMM"))</f>
        <v>Jun</v>
      </c>
      <c r="L614" s="35" t="str">
        <f>IF(certifications[[#This Row],[ISSUE DATE]]="", "", TEXT(certifications[[#This Row],[ISSUE DATE]], "YYYY"))</f>
        <v>2019</v>
      </c>
    </row>
    <row r="615" spans="1:12" s="29" customFormat="1" ht="23.95" customHeight="1" x14ac:dyDescent="0.3">
      <c r="A615" s="31"/>
      <c r="B615" s="24">
        <v>602</v>
      </c>
      <c r="C615" s="24" t="s">
        <v>691</v>
      </c>
      <c r="D615" s="24" t="s">
        <v>593</v>
      </c>
      <c r="E615" s="24" t="s">
        <v>9</v>
      </c>
      <c r="F615" s="24">
        <v>21249</v>
      </c>
      <c r="G615" s="25">
        <v>45638</v>
      </c>
      <c r="H615" s="25">
        <v>46368</v>
      </c>
      <c r="I615" s="24" t="s">
        <v>10</v>
      </c>
      <c r="J615" s="24" t="s">
        <v>30</v>
      </c>
      <c r="K615" s="24" t="str">
        <f>IF(certifications[[#This Row],[ISSUE DATE]]="", "", TEXT(certifications[[#This Row],[ISSUE DATE]], "MMM"))</f>
        <v>Dec</v>
      </c>
      <c r="L615" s="35" t="str">
        <f>IF(certifications[[#This Row],[ISSUE DATE]]="", "", TEXT(certifications[[#This Row],[ISSUE DATE]], "YYYY"))</f>
        <v>2024</v>
      </c>
    </row>
    <row r="616" spans="1:12" s="29" customFormat="1" ht="23.95" customHeight="1" x14ac:dyDescent="0.3">
      <c r="A616" s="31"/>
      <c r="B616" s="24">
        <v>603</v>
      </c>
      <c r="C616" s="24" t="s">
        <v>692</v>
      </c>
      <c r="D616" s="24" t="s">
        <v>32</v>
      </c>
      <c r="E616" s="24" t="s">
        <v>9</v>
      </c>
      <c r="F616" s="24">
        <v>8446</v>
      </c>
      <c r="G616" s="25">
        <v>41412</v>
      </c>
      <c r="H616" s="25">
        <v>42142</v>
      </c>
      <c r="I616" s="24" t="s">
        <v>16</v>
      </c>
      <c r="J616" s="24" t="s">
        <v>33</v>
      </c>
      <c r="K616" s="24" t="str">
        <f>IF(certifications[[#This Row],[ISSUE DATE]]="", "", TEXT(certifications[[#This Row],[ISSUE DATE]], "MMM"))</f>
        <v>May</v>
      </c>
      <c r="L616" s="35" t="str">
        <f>IF(certifications[[#This Row],[ISSUE DATE]]="", "", TEXT(certifications[[#This Row],[ISSUE DATE]], "YYYY"))</f>
        <v>2013</v>
      </c>
    </row>
    <row r="617" spans="1:12" s="29" customFormat="1" ht="23.95" customHeight="1" x14ac:dyDescent="0.3">
      <c r="A617" s="31"/>
      <c r="B617" s="24">
        <v>604</v>
      </c>
      <c r="C617" s="24" t="s">
        <v>693</v>
      </c>
      <c r="D617" s="24" t="s">
        <v>46</v>
      </c>
      <c r="E617" s="24" t="s">
        <v>9</v>
      </c>
      <c r="F617" s="24">
        <v>10114</v>
      </c>
      <c r="G617" s="25">
        <v>42846</v>
      </c>
      <c r="H617" s="25">
        <v>46498</v>
      </c>
      <c r="I617" s="24" t="s">
        <v>10</v>
      </c>
      <c r="J617" s="24" t="s">
        <v>38</v>
      </c>
      <c r="K617" s="24" t="str">
        <f>IF(certifications[[#This Row],[ISSUE DATE]]="", "", TEXT(certifications[[#This Row],[ISSUE DATE]], "MMM"))</f>
        <v>Apr</v>
      </c>
      <c r="L617" s="35" t="str">
        <f>IF(certifications[[#This Row],[ISSUE DATE]]="", "", TEXT(certifications[[#This Row],[ISSUE DATE]], "YYYY"))</f>
        <v>2017</v>
      </c>
    </row>
    <row r="618" spans="1:12" s="29" customFormat="1" ht="23.95" customHeight="1" x14ac:dyDescent="0.3">
      <c r="A618" s="31"/>
      <c r="B618" s="24">
        <v>605</v>
      </c>
      <c r="C618" s="24" t="s">
        <v>694</v>
      </c>
      <c r="D618" s="24" t="s">
        <v>695</v>
      </c>
      <c r="E618" s="24" t="s">
        <v>9</v>
      </c>
      <c r="F618" s="24">
        <v>21256</v>
      </c>
      <c r="G618" s="25">
        <v>45638</v>
      </c>
      <c r="H618" s="25">
        <v>46368</v>
      </c>
      <c r="I618" s="24" t="s">
        <v>10</v>
      </c>
      <c r="J618" s="24" t="s">
        <v>11</v>
      </c>
      <c r="K618" s="24" t="str">
        <f>IF(certifications[[#This Row],[ISSUE DATE]]="", "", TEXT(certifications[[#This Row],[ISSUE DATE]], "MMM"))</f>
        <v>Dec</v>
      </c>
      <c r="L618" s="35" t="str">
        <f>IF(certifications[[#This Row],[ISSUE DATE]]="", "", TEXT(certifications[[#This Row],[ISSUE DATE]], "YYYY"))</f>
        <v>2024</v>
      </c>
    </row>
    <row r="619" spans="1:12" s="29" customFormat="1" ht="23.95" customHeight="1" x14ac:dyDescent="0.3">
      <c r="A619" s="31"/>
      <c r="B619" s="24">
        <v>606</v>
      </c>
      <c r="C619" s="24" t="s">
        <v>696</v>
      </c>
      <c r="D619" s="24" t="s">
        <v>13</v>
      </c>
      <c r="E619" s="24" t="s">
        <v>9</v>
      </c>
      <c r="F619" s="24">
        <v>13703</v>
      </c>
      <c r="G619" s="25">
        <v>43640</v>
      </c>
      <c r="H619" s="25">
        <v>44371</v>
      </c>
      <c r="I619" s="24" t="s">
        <v>16</v>
      </c>
      <c r="J619" s="24" t="s">
        <v>14</v>
      </c>
      <c r="K619" s="24" t="str">
        <f>IF(certifications[[#This Row],[ISSUE DATE]]="", "", TEXT(certifications[[#This Row],[ISSUE DATE]], "MMM"))</f>
        <v>Jun</v>
      </c>
      <c r="L619" s="35" t="str">
        <f>IF(certifications[[#This Row],[ISSUE DATE]]="", "", TEXT(certifications[[#This Row],[ISSUE DATE]], "YYYY"))</f>
        <v>2019</v>
      </c>
    </row>
    <row r="620" spans="1:12" s="29" customFormat="1" ht="23.95" customHeight="1" x14ac:dyDescent="0.3">
      <c r="A620" s="31"/>
      <c r="B620" s="24">
        <v>607</v>
      </c>
      <c r="C620" s="24" t="s">
        <v>697</v>
      </c>
      <c r="D620" s="24" t="s">
        <v>32</v>
      </c>
      <c r="E620" s="24" t="s">
        <v>9</v>
      </c>
      <c r="F620" s="24">
        <v>8196</v>
      </c>
      <c r="G620" s="25">
        <v>41159</v>
      </c>
      <c r="H620" s="25">
        <v>44081</v>
      </c>
      <c r="I620" s="24" t="s">
        <v>16</v>
      </c>
      <c r="J620" s="24" t="s">
        <v>33</v>
      </c>
      <c r="K620" s="24" t="str">
        <f>IF(certifications[[#This Row],[ISSUE DATE]]="", "", TEXT(certifications[[#This Row],[ISSUE DATE]], "MMM"))</f>
        <v>Sep</v>
      </c>
      <c r="L620" s="35" t="str">
        <f>IF(certifications[[#This Row],[ISSUE DATE]]="", "", TEXT(certifications[[#This Row],[ISSUE DATE]], "YYYY"))</f>
        <v>2012</v>
      </c>
    </row>
    <row r="621" spans="1:12" s="29" customFormat="1" ht="23.95" customHeight="1" x14ac:dyDescent="0.3">
      <c r="A621" s="31"/>
      <c r="B621" s="24">
        <v>608</v>
      </c>
      <c r="C621" s="24" t="s">
        <v>698</v>
      </c>
      <c r="D621" s="24" t="s">
        <v>252</v>
      </c>
      <c r="E621" s="24" t="s">
        <v>9</v>
      </c>
      <c r="F621" s="24">
        <v>11634</v>
      </c>
      <c r="G621" s="25">
        <v>43263</v>
      </c>
      <c r="H621" s="25">
        <v>43994</v>
      </c>
      <c r="I621" s="24" t="s">
        <v>16</v>
      </c>
      <c r="J621" s="24" t="s">
        <v>38</v>
      </c>
      <c r="K621" s="24" t="str">
        <f>IF(certifications[[#This Row],[ISSUE DATE]]="", "", TEXT(certifications[[#This Row],[ISSUE DATE]], "MMM"))</f>
        <v>Jun</v>
      </c>
      <c r="L621" s="35" t="str">
        <f>IF(certifications[[#This Row],[ISSUE DATE]]="", "", TEXT(certifications[[#This Row],[ISSUE DATE]], "YYYY"))</f>
        <v>2018</v>
      </c>
    </row>
    <row r="622" spans="1:12" s="29" customFormat="1" ht="23.95" customHeight="1" x14ac:dyDescent="0.3">
      <c r="A622" s="31"/>
      <c r="B622" s="24">
        <v>609</v>
      </c>
      <c r="C622" s="24" t="s">
        <v>699</v>
      </c>
      <c r="D622" s="24" t="s">
        <v>700</v>
      </c>
      <c r="E622" s="24" t="s">
        <v>9</v>
      </c>
      <c r="F622" s="24">
        <v>21168</v>
      </c>
      <c r="G622" s="25">
        <v>45617</v>
      </c>
      <c r="H622" s="25">
        <v>46347</v>
      </c>
      <c r="I622" s="24" t="s">
        <v>10</v>
      </c>
      <c r="J622" s="24" t="s">
        <v>30</v>
      </c>
      <c r="K622" s="24" t="str">
        <f>IF(certifications[[#This Row],[ISSUE DATE]]="", "", TEXT(certifications[[#This Row],[ISSUE DATE]], "MMM"))</f>
        <v>Nov</v>
      </c>
      <c r="L622" s="35" t="str">
        <f>IF(certifications[[#This Row],[ISSUE DATE]]="", "", TEXT(certifications[[#This Row],[ISSUE DATE]], "YYYY"))</f>
        <v>2024</v>
      </c>
    </row>
    <row r="623" spans="1:12" s="29" customFormat="1" ht="23.95" customHeight="1" x14ac:dyDescent="0.3">
      <c r="A623" s="31"/>
      <c r="B623" s="24">
        <v>610</v>
      </c>
      <c r="C623" s="24" t="s">
        <v>701</v>
      </c>
      <c r="D623" s="24" t="s">
        <v>13</v>
      </c>
      <c r="E623" s="24" t="s">
        <v>9</v>
      </c>
      <c r="F623" s="24">
        <v>9651</v>
      </c>
      <c r="G623" s="25">
        <v>42537</v>
      </c>
      <c r="H623" s="25">
        <v>43267</v>
      </c>
      <c r="I623" s="24" t="s">
        <v>16</v>
      </c>
      <c r="J623" s="24" t="s">
        <v>14</v>
      </c>
      <c r="K623" s="24" t="str">
        <f>IF(certifications[[#This Row],[ISSUE DATE]]="", "", TEXT(certifications[[#This Row],[ISSUE DATE]], "MMM"))</f>
        <v>Jun</v>
      </c>
      <c r="L623" s="35" t="str">
        <f>IF(certifications[[#This Row],[ISSUE DATE]]="", "", TEXT(certifications[[#This Row],[ISSUE DATE]], "YYYY"))</f>
        <v>2016</v>
      </c>
    </row>
    <row r="624" spans="1:12" s="29" customFormat="1" ht="23.95" customHeight="1" x14ac:dyDescent="0.3">
      <c r="A624" s="31"/>
      <c r="B624" s="24">
        <v>611</v>
      </c>
      <c r="C624" s="24" t="s">
        <v>702</v>
      </c>
      <c r="D624" s="24" t="s">
        <v>32</v>
      </c>
      <c r="E624" s="24" t="s">
        <v>26</v>
      </c>
      <c r="F624" s="24">
        <v>18809</v>
      </c>
      <c r="G624" s="25">
        <v>45106</v>
      </c>
      <c r="H624" s="25">
        <v>45837</v>
      </c>
      <c r="I624" s="24" t="s">
        <v>10</v>
      </c>
      <c r="J624" s="24" t="s">
        <v>33</v>
      </c>
      <c r="K624" s="24" t="str">
        <f>IF(certifications[[#This Row],[ISSUE DATE]]="", "", TEXT(certifications[[#This Row],[ISSUE DATE]], "MMM"))</f>
        <v>Jun</v>
      </c>
      <c r="L624" s="35" t="str">
        <f>IF(certifications[[#This Row],[ISSUE DATE]]="", "", TEXT(certifications[[#This Row],[ISSUE DATE]], "YYYY"))</f>
        <v>2023</v>
      </c>
    </row>
    <row r="625" spans="1:12" s="29" customFormat="1" ht="23.95" customHeight="1" x14ac:dyDescent="0.3">
      <c r="A625" s="31"/>
      <c r="B625" s="24">
        <v>612</v>
      </c>
      <c r="C625" s="24" t="s">
        <v>703</v>
      </c>
      <c r="D625" s="24" t="s">
        <v>704</v>
      </c>
      <c r="E625" s="24" t="s">
        <v>9</v>
      </c>
      <c r="F625" s="24">
        <v>21671</v>
      </c>
      <c r="G625" s="25">
        <v>45723</v>
      </c>
      <c r="H625" s="25">
        <v>46453</v>
      </c>
      <c r="I625" s="24" t="s">
        <v>10</v>
      </c>
      <c r="J625" s="24" t="s">
        <v>14</v>
      </c>
      <c r="K625" s="24" t="str">
        <f>IF(certifications[[#This Row],[ISSUE DATE]]="", "", TEXT(certifications[[#This Row],[ISSUE DATE]], "MMM"))</f>
        <v>Mar</v>
      </c>
      <c r="L625" s="35" t="str">
        <f>IF(certifications[[#This Row],[ISSUE DATE]]="", "", TEXT(certifications[[#This Row],[ISSUE DATE]], "YYYY"))</f>
        <v>2025</v>
      </c>
    </row>
    <row r="626" spans="1:12" s="29" customFormat="1" ht="23.95" customHeight="1" x14ac:dyDescent="0.3">
      <c r="A626" s="31"/>
      <c r="B626" s="24">
        <v>613</v>
      </c>
      <c r="C626" s="24" t="s">
        <v>705</v>
      </c>
      <c r="D626" s="24" t="s">
        <v>18</v>
      </c>
      <c r="E626" s="24" t="s">
        <v>9</v>
      </c>
      <c r="F626" s="24">
        <v>10355</v>
      </c>
      <c r="G626" s="25">
        <v>42975</v>
      </c>
      <c r="H626" s="25">
        <v>43705</v>
      </c>
      <c r="I626" s="24" t="s">
        <v>16</v>
      </c>
      <c r="J626" s="24" t="s">
        <v>19</v>
      </c>
      <c r="K626" s="24" t="str">
        <f>IF(certifications[[#This Row],[ISSUE DATE]]="", "", TEXT(certifications[[#This Row],[ISSUE DATE]], "MMM"))</f>
        <v>Aug</v>
      </c>
      <c r="L626" s="35" t="str">
        <f>IF(certifications[[#This Row],[ISSUE DATE]]="", "", TEXT(certifications[[#This Row],[ISSUE DATE]], "YYYY"))</f>
        <v>2017</v>
      </c>
    </row>
    <row r="627" spans="1:12" s="29" customFormat="1" ht="23.95" customHeight="1" x14ac:dyDescent="0.3">
      <c r="A627" s="31"/>
      <c r="B627" s="24">
        <v>614</v>
      </c>
      <c r="C627" s="24" t="s">
        <v>706</v>
      </c>
      <c r="D627" s="24" t="s">
        <v>32</v>
      </c>
      <c r="E627" s="24" t="s">
        <v>9</v>
      </c>
      <c r="F627" s="24">
        <v>14802</v>
      </c>
      <c r="G627" s="25">
        <v>43787</v>
      </c>
      <c r="H627" s="25">
        <v>45979</v>
      </c>
      <c r="I627" s="24" t="s">
        <v>321</v>
      </c>
      <c r="J627" s="24" t="s">
        <v>33</v>
      </c>
      <c r="K627" s="24" t="str">
        <f>IF(certifications[[#This Row],[ISSUE DATE]]="", "", TEXT(certifications[[#This Row],[ISSUE DATE]], "MMM"))</f>
        <v>Nov</v>
      </c>
      <c r="L627" s="35" t="str">
        <f>IF(certifications[[#This Row],[ISSUE DATE]]="", "", TEXT(certifications[[#This Row],[ISSUE DATE]], "YYYY"))</f>
        <v>2019</v>
      </c>
    </row>
    <row r="628" spans="1:12" s="29" customFormat="1" ht="23.95" customHeight="1" x14ac:dyDescent="0.3">
      <c r="A628" s="31"/>
      <c r="B628" s="24">
        <v>615</v>
      </c>
      <c r="C628" s="24" t="s">
        <v>707</v>
      </c>
      <c r="D628" s="24" t="s">
        <v>708</v>
      </c>
      <c r="E628" s="24" t="s">
        <v>9</v>
      </c>
      <c r="F628" s="24">
        <v>8448</v>
      </c>
      <c r="G628" s="25">
        <v>41412</v>
      </c>
      <c r="H628" s="25">
        <v>42142</v>
      </c>
      <c r="I628" s="24" t="s">
        <v>16</v>
      </c>
      <c r="J628" s="24" t="s">
        <v>38</v>
      </c>
      <c r="K628" s="24" t="str">
        <f>IF(certifications[[#This Row],[ISSUE DATE]]="", "", TEXT(certifications[[#This Row],[ISSUE DATE]], "MMM"))</f>
        <v>May</v>
      </c>
      <c r="L628" s="35" t="str">
        <f>IF(certifications[[#This Row],[ISSUE DATE]]="", "", TEXT(certifications[[#This Row],[ISSUE DATE]], "YYYY"))</f>
        <v>2013</v>
      </c>
    </row>
    <row r="629" spans="1:12" s="29" customFormat="1" ht="23.95" customHeight="1" x14ac:dyDescent="0.3">
      <c r="A629" s="31"/>
      <c r="B629" s="24">
        <v>616</v>
      </c>
      <c r="C629" s="24" t="s">
        <v>709</v>
      </c>
      <c r="D629" s="24" t="s">
        <v>78</v>
      </c>
      <c r="E629" s="24" t="s">
        <v>9</v>
      </c>
      <c r="F629" s="24">
        <v>8904</v>
      </c>
      <c r="G629" s="25">
        <v>41815</v>
      </c>
      <c r="H629" s="25">
        <v>43276</v>
      </c>
      <c r="I629" s="24" t="s">
        <v>16</v>
      </c>
      <c r="J629" s="24" t="s">
        <v>25</v>
      </c>
      <c r="K629" s="24" t="str">
        <f>IF(certifications[[#This Row],[ISSUE DATE]]="", "", TEXT(certifications[[#This Row],[ISSUE DATE]], "MMM"))</f>
        <v>Jun</v>
      </c>
      <c r="L629" s="35" t="str">
        <f>IF(certifications[[#This Row],[ISSUE DATE]]="", "", TEXT(certifications[[#This Row],[ISSUE DATE]], "YYYY"))</f>
        <v>2014</v>
      </c>
    </row>
    <row r="630" spans="1:12" s="29" customFormat="1" ht="23.95" customHeight="1" x14ac:dyDescent="0.3">
      <c r="A630" s="31"/>
      <c r="B630" s="24">
        <v>617</v>
      </c>
      <c r="C630" s="24" t="s">
        <v>710</v>
      </c>
      <c r="D630" s="24" t="s">
        <v>32</v>
      </c>
      <c r="E630" s="24" t="s">
        <v>9</v>
      </c>
      <c r="F630" s="24">
        <v>9166</v>
      </c>
      <c r="G630" s="25">
        <v>42132</v>
      </c>
      <c r="H630" s="25">
        <v>46515</v>
      </c>
      <c r="I630" s="24" t="s">
        <v>10</v>
      </c>
      <c r="J630" s="24" t="s">
        <v>33</v>
      </c>
      <c r="K630" s="24" t="str">
        <f>IF(certifications[[#This Row],[ISSUE DATE]]="", "", TEXT(certifications[[#This Row],[ISSUE DATE]], "MMM"))</f>
        <v>May</v>
      </c>
      <c r="L630" s="35" t="str">
        <f>IF(certifications[[#This Row],[ISSUE DATE]]="", "", TEXT(certifications[[#This Row],[ISSUE DATE]], "YYYY"))</f>
        <v>2015</v>
      </c>
    </row>
    <row r="631" spans="1:12" s="29" customFormat="1" ht="23.95" customHeight="1" x14ac:dyDescent="0.3">
      <c r="A631" s="31"/>
      <c r="B631" s="24">
        <v>618</v>
      </c>
      <c r="C631" s="24" t="s">
        <v>711</v>
      </c>
      <c r="D631" s="24" t="s">
        <v>46</v>
      </c>
      <c r="E631" s="24" t="s">
        <v>9</v>
      </c>
      <c r="F631" s="24">
        <v>13339</v>
      </c>
      <c r="G631" s="25">
        <v>43599</v>
      </c>
      <c r="H631" s="25">
        <v>46521</v>
      </c>
      <c r="I631" s="24" t="s">
        <v>10</v>
      </c>
      <c r="J631" s="24" t="s">
        <v>38</v>
      </c>
      <c r="K631" s="24" t="str">
        <f>IF(certifications[[#This Row],[ISSUE DATE]]="", "", TEXT(certifications[[#This Row],[ISSUE DATE]], "MMM"))</f>
        <v>May</v>
      </c>
      <c r="L631" s="35" t="str">
        <f>IF(certifications[[#This Row],[ISSUE DATE]]="", "", TEXT(certifications[[#This Row],[ISSUE DATE]], "YYYY"))</f>
        <v>2019</v>
      </c>
    </row>
    <row r="632" spans="1:12" s="29" customFormat="1" ht="23.95" customHeight="1" x14ac:dyDescent="0.3">
      <c r="A632" s="31"/>
      <c r="B632" s="24">
        <v>619</v>
      </c>
      <c r="C632" s="24" t="s">
        <v>712</v>
      </c>
      <c r="D632" s="24" t="s">
        <v>29</v>
      </c>
      <c r="E632" s="24" t="s">
        <v>9</v>
      </c>
      <c r="F632" s="24">
        <v>10379</v>
      </c>
      <c r="G632" s="25">
        <v>42986</v>
      </c>
      <c r="H632" s="25">
        <v>43716</v>
      </c>
      <c r="I632" s="24" t="s">
        <v>16</v>
      </c>
      <c r="J632" s="24" t="s">
        <v>30</v>
      </c>
      <c r="K632" s="24" t="str">
        <f>IF(certifications[[#This Row],[ISSUE DATE]]="", "", TEXT(certifications[[#This Row],[ISSUE DATE]], "MMM"))</f>
        <v>Sep</v>
      </c>
      <c r="L632" s="35" t="str">
        <f>IF(certifications[[#This Row],[ISSUE DATE]]="", "", TEXT(certifications[[#This Row],[ISSUE DATE]], "YYYY"))</f>
        <v>2017</v>
      </c>
    </row>
    <row r="633" spans="1:12" s="29" customFormat="1" ht="23.95" customHeight="1" x14ac:dyDescent="0.3">
      <c r="A633" s="31"/>
      <c r="B633" s="24">
        <v>620</v>
      </c>
      <c r="C633" s="24" t="s">
        <v>713</v>
      </c>
      <c r="D633" s="24" t="s">
        <v>18</v>
      </c>
      <c r="E633" s="24" t="s">
        <v>9</v>
      </c>
      <c r="F633" s="24">
        <v>7259</v>
      </c>
      <c r="G633" s="25">
        <v>39982</v>
      </c>
      <c r="H633" s="25">
        <v>44365</v>
      </c>
      <c r="I633" s="24" t="s">
        <v>16</v>
      </c>
      <c r="J633" s="24" t="s">
        <v>19</v>
      </c>
      <c r="K633" s="24" t="str">
        <f>IF(certifications[[#This Row],[ISSUE DATE]]="", "", TEXT(certifications[[#This Row],[ISSUE DATE]], "MMM"))</f>
        <v>Jun</v>
      </c>
      <c r="L633" s="35" t="str">
        <f>IF(certifications[[#This Row],[ISSUE DATE]]="", "", TEXT(certifications[[#This Row],[ISSUE DATE]], "YYYY"))</f>
        <v>2009</v>
      </c>
    </row>
    <row r="634" spans="1:12" s="29" customFormat="1" ht="23.95" customHeight="1" x14ac:dyDescent="0.3">
      <c r="A634" s="31"/>
      <c r="B634" s="24">
        <v>621</v>
      </c>
      <c r="C634" s="24" t="s">
        <v>713</v>
      </c>
      <c r="D634" s="24" t="s">
        <v>18</v>
      </c>
      <c r="E634" s="24" t="s">
        <v>26</v>
      </c>
      <c r="F634" s="24">
        <v>7259</v>
      </c>
      <c r="G634" s="25">
        <v>43626</v>
      </c>
      <c r="H634" s="25">
        <v>44357</v>
      </c>
      <c r="I634" s="24" t="s">
        <v>16</v>
      </c>
      <c r="J634" s="24" t="s">
        <v>19</v>
      </c>
      <c r="K634" s="24" t="str">
        <f>IF(certifications[[#This Row],[ISSUE DATE]]="", "", TEXT(certifications[[#This Row],[ISSUE DATE]], "MMM"))</f>
        <v>Jun</v>
      </c>
      <c r="L634" s="35" t="str">
        <f>IF(certifications[[#This Row],[ISSUE DATE]]="", "", TEXT(certifications[[#This Row],[ISSUE DATE]], "YYYY"))</f>
        <v>2019</v>
      </c>
    </row>
    <row r="635" spans="1:12" s="29" customFormat="1" ht="23.95" customHeight="1" x14ac:dyDescent="0.3">
      <c r="A635" s="31"/>
      <c r="B635" s="24">
        <v>622</v>
      </c>
      <c r="C635" s="24" t="s">
        <v>714</v>
      </c>
      <c r="D635" s="24" t="s">
        <v>715</v>
      </c>
      <c r="E635" s="24" t="s">
        <v>9</v>
      </c>
      <c r="F635" s="24">
        <v>20436</v>
      </c>
      <c r="G635" s="25">
        <v>45458</v>
      </c>
      <c r="H635" s="25">
        <v>46188</v>
      </c>
      <c r="I635" s="24" t="s">
        <v>10</v>
      </c>
      <c r="J635" s="24" t="s">
        <v>19</v>
      </c>
      <c r="K635" s="24" t="str">
        <f>IF(certifications[[#This Row],[ISSUE DATE]]="", "", TEXT(certifications[[#This Row],[ISSUE DATE]], "MMM"))</f>
        <v>Jun</v>
      </c>
      <c r="L635" s="35" t="str">
        <f>IF(certifications[[#This Row],[ISSUE DATE]]="", "", TEXT(certifications[[#This Row],[ISSUE DATE]], "YYYY"))</f>
        <v>2024</v>
      </c>
    </row>
    <row r="636" spans="1:12" s="29" customFormat="1" ht="23.95" customHeight="1" x14ac:dyDescent="0.3">
      <c r="A636" s="31"/>
      <c r="B636" s="24">
        <v>623</v>
      </c>
      <c r="C636" s="24" t="s">
        <v>716</v>
      </c>
      <c r="D636" s="24" t="s">
        <v>32</v>
      </c>
      <c r="E636" s="24" t="s">
        <v>9</v>
      </c>
      <c r="F636" s="24">
        <v>9176</v>
      </c>
      <c r="G636" s="25">
        <v>42132</v>
      </c>
      <c r="H636" s="25">
        <v>43593</v>
      </c>
      <c r="I636" s="24" t="s">
        <v>16</v>
      </c>
      <c r="J636" s="24" t="s">
        <v>33</v>
      </c>
      <c r="K636" s="24" t="str">
        <f>IF(certifications[[#This Row],[ISSUE DATE]]="", "", TEXT(certifications[[#This Row],[ISSUE DATE]], "MMM"))</f>
        <v>May</v>
      </c>
      <c r="L636" s="35" t="str">
        <f>IF(certifications[[#This Row],[ISSUE DATE]]="", "", TEXT(certifications[[#This Row],[ISSUE DATE]], "YYYY"))</f>
        <v>2015</v>
      </c>
    </row>
    <row r="637" spans="1:12" s="29" customFormat="1" ht="23.95" customHeight="1" x14ac:dyDescent="0.3">
      <c r="A637" s="31"/>
      <c r="B637" s="24">
        <v>624</v>
      </c>
      <c r="C637" s="24" t="s">
        <v>717</v>
      </c>
      <c r="D637" s="24" t="s">
        <v>718</v>
      </c>
      <c r="E637" s="24" t="s">
        <v>9</v>
      </c>
      <c r="F637" s="24">
        <v>18091</v>
      </c>
      <c r="G637" s="25">
        <v>44904</v>
      </c>
      <c r="H637" s="25">
        <v>46365</v>
      </c>
      <c r="I637" s="24" t="s">
        <v>10</v>
      </c>
      <c r="J637" s="24" t="s">
        <v>11</v>
      </c>
      <c r="K637" s="24" t="str">
        <f>IF(certifications[[#This Row],[ISSUE DATE]]="", "", TEXT(certifications[[#This Row],[ISSUE DATE]], "MMM"))</f>
        <v>Dec</v>
      </c>
      <c r="L637" s="35" t="str">
        <f>IF(certifications[[#This Row],[ISSUE DATE]]="", "", TEXT(certifications[[#This Row],[ISSUE DATE]], "YYYY"))</f>
        <v>2022</v>
      </c>
    </row>
    <row r="638" spans="1:12" s="29" customFormat="1" ht="23.95" customHeight="1" x14ac:dyDescent="0.3">
      <c r="A638" s="31"/>
      <c r="B638" s="24">
        <v>625</v>
      </c>
      <c r="C638" s="24" t="s">
        <v>719</v>
      </c>
      <c r="D638" s="24" t="s">
        <v>13</v>
      </c>
      <c r="E638" s="24" t="s">
        <v>9</v>
      </c>
      <c r="F638" s="24">
        <v>10301</v>
      </c>
      <c r="G638" s="25">
        <v>42915</v>
      </c>
      <c r="H638" s="25">
        <v>45837</v>
      </c>
      <c r="I638" s="24" t="s">
        <v>10</v>
      </c>
      <c r="J638" s="24" t="s">
        <v>14</v>
      </c>
      <c r="K638" s="24" t="str">
        <f>IF(certifications[[#This Row],[ISSUE DATE]]="", "", TEXT(certifications[[#This Row],[ISSUE DATE]], "MMM"))</f>
        <v>Jun</v>
      </c>
      <c r="L638" s="35" t="str">
        <f>IF(certifications[[#This Row],[ISSUE DATE]]="", "", TEXT(certifications[[#This Row],[ISSUE DATE]], "YYYY"))</f>
        <v>2017</v>
      </c>
    </row>
    <row r="639" spans="1:12" s="29" customFormat="1" ht="23.95" customHeight="1" x14ac:dyDescent="0.3">
      <c r="A639" s="31"/>
      <c r="B639" s="24">
        <v>626</v>
      </c>
      <c r="C639" s="24" t="s">
        <v>720</v>
      </c>
      <c r="D639" s="24" t="s">
        <v>32</v>
      </c>
      <c r="E639" s="24" t="s">
        <v>9</v>
      </c>
      <c r="F639" s="24">
        <v>14951</v>
      </c>
      <c r="G639" s="25">
        <v>43818</v>
      </c>
      <c r="H639" s="25">
        <v>44549</v>
      </c>
      <c r="I639" s="24" t="s">
        <v>16</v>
      </c>
      <c r="J639" s="24" t="s">
        <v>33</v>
      </c>
      <c r="K639" s="24" t="str">
        <f>IF(certifications[[#This Row],[ISSUE DATE]]="", "", TEXT(certifications[[#This Row],[ISSUE DATE]], "MMM"))</f>
        <v>Dec</v>
      </c>
      <c r="L639" s="35" t="str">
        <f>IF(certifications[[#This Row],[ISSUE DATE]]="", "", TEXT(certifications[[#This Row],[ISSUE DATE]], "YYYY"))</f>
        <v>2019</v>
      </c>
    </row>
    <row r="640" spans="1:12" s="29" customFormat="1" ht="23.95" customHeight="1" x14ac:dyDescent="0.3">
      <c r="A640" s="31"/>
      <c r="B640" s="24">
        <v>627</v>
      </c>
      <c r="C640" s="24" t="s">
        <v>721</v>
      </c>
      <c r="D640" s="24" t="s">
        <v>722</v>
      </c>
      <c r="E640" s="24" t="s">
        <v>9</v>
      </c>
      <c r="F640" s="24">
        <v>17988</v>
      </c>
      <c r="G640" s="25">
        <v>44862</v>
      </c>
      <c r="H640" s="25">
        <v>46323</v>
      </c>
      <c r="I640" s="24" t="s">
        <v>10</v>
      </c>
      <c r="J640" s="24" t="s">
        <v>30</v>
      </c>
      <c r="K640" s="24" t="str">
        <f>IF(certifications[[#This Row],[ISSUE DATE]]="", "", TEXT(certifications[[#This Row],[ISSUE DATE]], "MMM"))</f>
        <v>Oct</v>
      </c>
      <c r="L640" s="35" t="str">
        <f>IF(certifications[[#This Row],[ISSUE DATE]]="", "", TEXT(certifications[[#This Row],[ISSUE DATE]], "YYYY"))</f>
        <v>2022</v>
      </c>
    </row>
    <row r="641" spans="1:12" s="29" customFormat="1" ht="23.95" customHeight="1" x14ac:dyDescent="0.3">
      <c r="A641" s="31"/>
      <c r="B641" s="24">
        <v>628</v>
      </c>
      <c r="C641" s="24" t="s">
        <v>723</v>
      </c>
      <c r="D641" s="24" t="s">
        <v>238</v>
      </c>
      <c r="E641" s="24" t="s">
        <v>9</v>
      </c>
      <c r="F641" s="24">
        <v>8269</v>
      </c>
      <c r="G641" s="25">
        <v>41255</v>
      </c>
      <c r="H641" s="25">
        <v>46368</v>
      </c>
      <c r="I641" s="24" t="s">
        <v>10</v>
      </c>
      <c r="J641" s="24" t="s">
        <v>38</v>
      </c>
      <c r="K641" s="24" t="str">
        <f>IF(certifications[[#This Row],[ISSUE DATE]]="", "", TEXT(certifications[[#This Row],[ISSUE DATE]], "MMM"))</f>
        <v>Dec</v>
      </c>
      <c r="L641" s="35" t="str">
        <f>IF(certifications[[#This Row],[ISSUE DATE]]="", "", TEXT(certifications[[#This Row],[ISSUE DATE]], "YYYY"))</f>
        <v>2012</v>
      </c>
    </row>
    <row r="642" spans="1:12" s="29" customFormat="1" ht="23.95" customHeight="1" x14ac:dyDescent="0.3">
      <c r="A642" s="31"/>
      <c r="B642" s="24">
        <v>629</v>
      </c>
      <c r="C642" s="24" t="s">
        <v>723</v>
      </c>
      <c r="D642" s="24" t="s">
        <v>238</v>
      </c>
      <c r="E642" s="24" t="s">
        <v>26</v>
      </c>
      <c r="F642" s="24">
        <v>8269</v>
      </c>
      <c r="G642" s="25">
        <v>43959</v>
      </c>
      <c r="H642" s="25">
        <v>46368</v>
      </c>
      <c r="I642" s="24" t="s">
        <v>10</v>
      </c>
      <c r="J642" s="24" t="s">
        <v>38</v>
      </c>
      <c r="K642" s="24" t="str">
        <f>IF(certifications[[#This Row],[ISSUE DATE]]="", "", TEXT(certifications[[#This Row],[ISSUE DATE]], "MMM"))</f>
        <v>May</v>
      </c>
      <c r="L642" s="35" t="str">
        <f>IF(certifications[[#This Row],[ISSUE DATE]]="", "", TEXT(certifications[[#This Row],[ISSUE DATE]], "YYYY"))</f>
        <v>2020</v>
      </c>
    </row>
    <row r="643" spans="1:12" s="29" customFormat="1" ht="23.95" customHeight="1" x14ac:dyDescent="0.3">
      <c r="A643" s="31"/>
      <c r="B643" s="24">
        <v>630</v>
      </c>
      <c r="C643" s="24" t="s">
        <v>724</v>
      </c>
      <c r="D643" s="24" t="s">
        <v>32</v>
      </c>
      <c r="E643" s="24" t="s">
        <v>9</v>
      </c>
      <c r="F643" s="24">
        <v>11198</v>
      </c>
      <c r="G643" s="25">
        <v>43697</v>
      </c>
      <c r="H643" s="25">
        <v>45889</v>
      </c>
      <c r="I643" s="24" t="s">
        <v>10</v>
      </c>
      <c r="J643" s="24" t="s">
        <v>33</v>
      </c>
      <c r="K643" s="24" t="str">
        <f>IF(certifications[[#This Row],[ISSUE DATE]]="", "", TEXT(certifications[[#This Row],[ISSUE DATE]], "MMM"))</f>
        <v>Aug</v>
      </c>
      <c r="L643" s="35" t="str">
        <f>IF(certifications[[#This Row],[ISSUE DATE]]="", "", TEXT(certifications[[#This Row],[ISSUE DATE]], "YYYY"))</f>
        <v>2019</v>
      </c>
    </row>
    <row r="644" spans="1:12" s="29" customFormat="1" ht="23.95" customHeight="1" x14ac:dyDescent="0.3">
      <c r="A644" s="31"/>
      <c r="B644" s="24">
        <v>631</v>
      </c>
      <c r="C644" s="24" t="s">
        <v>725</v>
      </c>
      <c r="D644" s="24" t="s">
        <v>18</v>
      </c>
      <c r="E644" s="24" t="s">
        <v>26</v>
      </c>
      <c r="F644" s="24">
        <v>21966</v>
      </c>
      <c r="G644" s="25">
        <v>45793</v>
      </c>
      <c r="H644" s="25">
        <v>46523</v>
      </c>
      <c r="I644" s="24" t="s">
        <v>10</v>
      </c>
      <c r="J644" s="24" t="s">
        <v>19</v>
      </c>
      <c r="K644" s="24" t="str">
        <f>IF(certifications[[#This Row],[ISSUE DATE]]="", "", TEXT(certifications[[#This Row],[ISSUE DATE]], "MMM"))</f>
        <v>May</v>
      </c>
      <c r="L644" s="35" t="str">
        <f>IF(certifications[[#This Row],[ISSUE DATE]]="", "", TEXT(certifications[[#This Row],[ISSUE DATE]], "YYYY"))</f>
        <v>2025</v>
      </c>
    </row>
    <row r="645" spans="1:12" s="29" customFormat="1" ht="23.95" customHeight="1" x14ac:dyDescent="0.3">
      <c r="A645" s="31"/>
      <c r="B645" s="24">
        <v>632</v>
      </c>
      <c r="C645" s="24" t="s">
        <v>726</v>
      </c>
      <c r="D645" s="24" t="s">
        <v>80</v>
      </c>
      <c r="E645" s="24" t="s">
        <v>9</v>
      </c>
      <c r="F645" s="24">
        <v>8517</v>
      </c>
      <c r="G645" s="25">
        <v>41464</v>
      </c>
      <c r="H645" s="25">
        <v>43655</v>
      </c>
      <c r="I645" s="24" t="s">
        <v>16</v>
      </c>
      <c r="J645" s="24" t="s">
        <v>38</v>
      </c>
      <c r="K645" s="24" t="str">
        <f>IF(certifications[[#This Row],[ISSUE DATE]]="", "", TEXT(certifications[[#This Row],[ISSUE DATE]], "MMM"))</f>
        <v>Jul</v>
      </c>
      <c r="L645" s="35" t="str">
        <f>IF(certifications[[#This Row],[ISSUE DATE]]="", "", TEXT(certifications[[#This Row],[ISSUE DATE]], "YYYY"))</f>
        <v>2013</v>
      </c>
    </row>
    <row r="646" spans="1:12" s="29" customFormat="1" ht="23.95" customHeight="1" x14ac:dyDescent="0.3">
      <c r="A646" s="31"/>
      <c r="B646" s="24">
        <v>633</v>
      </c>
      <c r="C646" s="24" t="s">
        <v>727</v>
      </c>
      <c r="D646" s="24" t="s">
        <v>32</v>
      </c>
      <c r="E646" s="24" t="s">
        <v>9</v>
      </c>
      <c r="F646" s="24">
        <v>9026</v>
      </c>
      <c r="G646" s="25">
        <v>41905</v>
      </c>
      <c r="H646" s="25">
        <v>42636</v>
      </c>
      <c r="I646" s="24" t="s">
        <v>16</v>
      </c>
      <c r="J646" s="24" t="s">
        <v>33</v>
      </c>
      <c r="K646" s="24" t="str">
        <f>IF(certifications[[#This Row],[ISSUE DATE]]="", "", TEXT(certifications[[#This Row],[ISSUE DATE]], "MMM"))</f>
        <v>Sep</v>
      </c>
      <c r="L646" s="35" t="str">
        <f>IF(certifications[[#This Row],[ISSUE DATE]]="", "", TEXT(certifications[[#This Row],[ISSUE DATE]], "YYYY"))</f>
        <v>2014</v>
      </c>
    </row>
    <row r="647" spans="1:12" s="29" customFormat="1" ht="23.95" customHeight="1" x14ac:dyDescent="0.3">
      <c r="A647" s="31"/>
      <c r="B647" s="24">
        <v>634</v>
      </c>
      <c r="C647" s="24" t="s">
        <v>728</v>
      </c>
      <c r="D647" s="24" t="s">
        <v>323</v>
      </c>
      <c r="E647" s="24" t="s">
        <v>9</v>
      </c>
      <c r="F647" s="24">
        <v>15282</v>
      </c>
      <c r="G647" s="25">
        <v>44012</v>
      </c>
      <c r="H647" s="25">
        <v>44742</v>
      </c>
      <c r="I647" s="24" t="s">
        <v>16</v>
      </c>
      <c r="J647" s="24" t="s">
        <v>22</v>
      </c>
      <c r="K647" s="24" t="str">
        <f>IF(certifications[[#This Row],[ISSUE DATE]]="", "", TEXT(certifications[[#This Row],[ISSUE DATE]], "MMM"))</f>
        <v>Jun</v>
      </c>
      <c r="L647" s="35" t="str">
        <f>IF(certifications[[#This Row],[ISSUE DATE]]="", "", TEXT(certifications[[#This Row],[ISSUE DATE]], "YYYY"))</f>
        <v>2020</v>
      </c>
    </row>
    <row r="648" spans="1:12" s="29" customFormat="1" ht="23.95" customHeight="1" x14ac:dyDescent="0.3">
      <c r="A648" s="31"/>
      <c r="B648" s="24">
        <v>635</v>
      </c>
      <c r="C648" s="24" t="s">
        <v>729</v>
      </c>
      <c r="D648" s="24" t="s">
        <v>24</v>
      </c>
      <c r="E648" s="24" t="s">
        <v>9</v>
      </c>
      <c r="F648" s="24">
        <v>8390</v>
      </c>
      <c r="G648" s="25">
        <v>41393</v>
      </c>
      <c r="H648" s="25">
        <v>42123</v>
      </c>
      <c r="I648" s="24" t="s">
        <v>16</v>
      </c>
      <c r="J648" s="24" t="s">
        <v>25</v>
      </c>
      <c r="K648" s="24" t="str">
        <f>IF(certifications[[#This Row],[ISSUE DATE]]="", "", TEXT(certifications[[#This Row],[ISSUE DATE]], "MMM"))</f>
        <v>Apr</v>
      </c>
      <c r="L648" s="35" t="str">
        <f>IF(certifications[[#This Row],[ISSUE DATE]]="", "", TEXT(certifications[[#This Row],[ISSUE DATE]], "YYYY"))</f>
        <v>2013</v>
      </c>
    </row>
    <row r="649" spans="1:12" s="29" customFormat="1" ht="23.95" customHeight="1" x14ac:dyDescent="0.3">
      <c r="A649" s="31"/>
      <c r="B649" s="24">
        <v>636</v>
      </c>
      <c r="C649" s="24" t="s">
        <v>730</v>
      </c>
      <c r="D649" s="24" t="s">
        <v>32</v>
      </c>
      <c r="E649" s="24" t="s">
        <v>9</v>
      </c>
      <c r="F649" s="24">
        <v>19467</v>
      </c>
      <c r="G649" s="25">
        <v>45257</v>
      </c>
      <c r="H649" s="25">
        <v>45988</v>
      </c>
      <c r="I649" s="24" t="s">
        <v>10</v>
      </c>
      <c r="J649" s="24" t="s">
        <v>33</v>
      </c>
      <c r="K649" s="24" t="str">
        <f>IF(certifications[[#This Row],[ISSUE DATE]]="", "", TEXT(certifications[[#This Row],[ISSUE DATE]], "MMM"))</f>
        <v>Nov</v>
      </c>
      <c r="L649" s="35" t="str">
        <f>IF(certifications[[#This Row],[ISSUE DATE]]="", "", TEXT(certifications[[#This Row],[ISSUE DATE]], "YYYY"))</f>
        <v>2023</v>
      </c>
    </row>
    <row r="650" spans="1:12" s="29" customFormat="1" ht="23.95" customHeight="1" x14ac:dyDescent="0.3">
      <c r="A650" s="31"/>
      <c r="B650" s="24">
        <v>637</v>
      </c>
      <c r="C650" s="24" t="s">
        <v>731</v>
      </c>
      <c r="D650" s="24" t="s">
        <v>337</v>
      </c>
      <c r="E650" s="24" t="s">
        <v>9</v>
      </c>
      <c r="F650" s="24">
        <v>8972</v>
      </c>
      <c r="G650" s="25">
        <v>41849</v>
      </c>
      <c r="H650" s="25">
        <v>42580</v>
      </c>
      <c r="I650" s="24" t="s">
        <v>16</v>
      </c>
      <c r="J650" s="24" t="s">
        <v>30</v>
      </c>
      <c r="K650" s="24" t="str">
        <f>IF(certifications[[#This Row],[ISSUE DATE]]="", "", TEXT(certifications[[#This Row],[ISSUE DATE]], "MMM"))</f>
        <v>Jul</v>
      </c>
      <c r="L650" s="35" t="str">
        <f>IF(certifications[[#This Row],[ISSUE DATE]]="", "", TEXT(certifications[[#This Row],[ISSUE DATE]], "YYYY"))</f>
        <v>2014</v>
      </c>
    </row>
    <row r="651" spans="1:12" s="29" customFormat="1" ht="23.95" customHeight="1" x14ac:dyDescent="0.3">
      <c r="A651" s="31"/>
      <c r="B651" s="24">
        <v>638</v>
      </c>
      <c r="C651" s="24" t="s">
        <v>732</v>
      </c>
      <c r="D651" s="24" t="s">
        <v>141</v>
      </c>
      <c r="E651" s="24" t="s">
        <v>9</v>
      </c>
      <c r="F651" s="24">
        <v>9721</v>
      </c>
      <c r="G651" s="25">
        <v>42571</v>
      </c>
      <c r="H651" s="25">
        <v>43301</v>
      </c>
      <c r="I651" s="24" t="s">
        <v>16</v>
      </c>
      <c r="J651" s="24" t="s">
        <v>38</v>
      </c>
      <c r="K651" s="24" t="str">
        <f>IF(certifications[[#This Row],[ISSUE DATE]]="", "", TEXT(certifications[[#This Row],[ISSUE DATE]], "MMM"))</f>
        <v>Jul</v>
      </c>
      <c r="L651" s="35" t="str">
        <f>IF(certifications[[#This Row],[ISSUE DATE]]="", "", TEXT(certifications[[#This Row],[ISSUE DATE]], "YYYY"))</f>
        <v>2016</v>
      </c>
    </row>
    <row r="652" spans="1:12" s="29" customFormat="1" ht="23.95" customHeight="1" x14ac:dyDescent="0.3">
      <c r="A652" s="31"/>
      <c r="B652" s="24">
        <v>639</v>
      </c>
      <c r="C652" s="24" t="s">
        <v>733</v>
      </c>
      <c r="D652" s="24" t="s">
        <v>179</v>
      </c>
      <c r="E652" s="24" t="s">
        <v>9</v>
      </c>
      <c r="F652" s="24">
        <v>11828</v>
      </c>
      <c r="G652" s="25">
        <v>44966</v>
      </c>
      <c r="H652" s="25">
        <v>46427</v>
      </c>
      <c r="I652" s="24" t="s">
        <v>10</v>
      </c>
      <c r="J652" s="24" t="s">
        <v>14</v>
      </c>
      <c r="K652" s="24" t="str">
        <f>IF(certifications[[#This Row],[ISSUE DATE]]="", "", TEXT(certifications[[#This Row],[ISSUE DATE]], "MMM"))</f>
        <v>Feb</v>
      </c>
      <c r="L652" s="35" t="str">
        <f>IF(certifications[[#This Row],[ISSUE DATE]]="", "", TEXT(certifications[[#This Row],[ISSUE DATE]], "YYYY"))</f>
        <v>2023</v>
      </c>
    </row>
    <row r="653" spans="1:12" s="29" customFormat="1" ht="23.95" customHeight="1" x14ac:dyDescent="0.3">
      <c r="A653" s="31"/>
      <c r="B653" s="24">
        <v>640</v>
      </c>
      <c r="C653" s="24" t="s">
        <v>734</v>
      </c>
      <c r="D653" s="24" t="s">
        <v>735</v>
      </c>
      <c r="E653" s="24" t="s">
        <v>9</v>
      </c>
      <c r="F653" s="24">
        <v>10590</v>
      </c>
      <c r="G653" s="25">
        <v>43081</v>
      </c>
      <c r="H653" s="25">
        <v>46003</v>
      </c>
      <c r="I653" s="24" t="s">
        <v>10</v>
      </c>
      <c r="J653" s="24" t="s">
        <v>19</v>
      </c>
      <c r="K653" s="24" t="str">
        <f>IF(certifications[[#This Row],[ISSUE DATE]]="", "", TEXT(certifications[[#This Row],[ISSUE DATE]], "MMM"))</f>
        <v>Dec</v>
      </c>
      <c r="L653" s="35" t="str">
        <f>IF(certifications[[#This Row],[ISSUE DATE]]="", "", TEXT(certifications[[#This Row],[ISSUE DATE]], "YYYY"))</f>
        <v>2017</v>
      </c>
    </row>
    <row r="654" spans="1:12" s="29" customFormat="1" ht="23.95" customHeight="1" x14ac:dyDescent="0.3">
      <c r="A654" s="31"/>
      <c r="B654" s="24">
        <v>641</v>
      </c>
      <c r="C654" s="24" t="s">
        <v>736</v>
      </c>
      <c r="D654" s="24" t="s">
        <v>737</v>
      </c>
      <c r="E654" s="24" t="s">
        <v>9</v>
      </c>
      <c r="F654" s="24">
        <v>16525</v>
      </c>
      <c r="G654" s="25">
        <v>44372</v>
      </c>
      <c r="H654" s="25">
        <v>45102</v>
      </c>
      <c r="I654" s="24" t="s">
        <v>16</v>
      </c>
      <c r="J654" s="24" t="s">
        <v>30</v>
      </c>
      <c r="K654" s="24" t="str">
        <f>IF(certifications[[#This Row],[ISSUE DATE]]="", "", TEXT(certifications[[#This Row],[ISSUE DATE]], "MMM"))</f>
        <v>Jun</v>
      </c>
      <c r="L654" s="35" t="str">
        <f>IF(certifications[[#This Row],[ISSUE DATE]]="", "", TEXT(certifications[[#This Row],[ISSUE DATE]], "YYYY"))</f>
        <v>2021</v>
      </c>
    </row>
    <row r="655" spans="1:12" s="29" customFormat="1" ht="23.95" customHeight="1" x14ac:dyDescent="0.3">
      <c r="A655" s="31"/>
      <c r="B655" s="24">
        <v>642</v>
      </c>
      <c r="C655" s="24" t="s">
        <v>738</v>
      </c>
      <c r="D655" s="24" t="s">
        <v>18</v>
      </c>
      <c r="E655" s="24" t="s">
        <v>9</v>
      </c>
      <c r="F655" s="24">
        <v>12732</v>
      </c>
      <c r="G655" s="25">
        <v>43479</v>
      </c>
      <c r="H655" s="25">
        <v>44940</v>
      </c>
      <c r="I655" s="24" t="s">
        <v>16</v>
      </c>
      <c r="J655" s="24" t="s">
        <v>19</v>
      </c>
      <c r="K655" s="24" t="str">
        <f>IF(certifications[[#This Row],[ISSUE DATE]]="", "", TEXT(certifications[[#This Row],[ISSUE DATE]], "MMM"))</f>
        <v>Jan</v>
      </c>
      <c r="L655" s="35" t="str">
        <f>IF(certifications[[#This Row],[ISSUE DATE]]="", "", TEXT(certifications[[#This Row],[ISSUE DATE]], "YYYY"))</f>
        <v>2019</v>
      </c>
    </row>
    <row r="656" spans="1:12" s="29" customFormat="1" ht="23.95" customHeight="1" x14ac:dyDescent="0.3">
      <c r="A656" s="31"/>
      <c r="B656" s="24">
        <v>643</v>
      </c>
      <c r="C656" s="24" t="s">
        <v>739</v>
      </c>
      <c r="D656" s="24" t="s">
        <v>740</v>
      </c>
      <c r="E656" s="24" t="s">
        <v>9</v>
      </c>
      <c r="F656" s="24">
        <v>20545</v>
      </c>
      <c r="G656" s="25">
        <v>45476</v>
      </c>
      <c r="H656" s="25">
        <v>46206</v>
      </c>
      <c r="I656" s="24" t="s">
        <v>10</v>
      </c>
      <c r="J656" s="24" t="s">
        <v>11</v>
      </c>
      <c r="K656" s="24" t="str">
        <f>IF(certifications[[#This Row],[ISSUE DATE]]="", "", TEXT(certifications[[#This Row],[ISSUE DATE]], "MMM"))</f>
        <v>Jul</v>
      </c>
      <c r="L656" s="35" t="str">
        <f>IF(certifications[[#This Row],[ISSUE DATE]]="", "", TEXT(certifications[[#This Row],[ISSUE DATE]], "YYYY"))</f>
        <v>2024</v>
      </c>
    </row>
    <row r="657" spans="1:12" s="29" customFormat="1" ht="23.95" customHeight="1" x14ac:dyDescent="0.3">
      <c r="A657" s="31"/>
      <c r="B657" s="24">
        <v>644</v>
      </c>
      <c r="C657" s="24" t="s">
        <v>741</v>
      </c>
      <c r="D657" s="24" t="s">
        <v>337</v>
      </c>
      <c r="E657" s="24" t="s">
        <v>9</v>
      </c>
      <c r="F657" s="24">
        <v>7345</v>
      </c>
      <c r="G657" s="25">
        <v>40068</v>
      </c>
      <c r="H657" s="25">
        <v>41529</v>
      </c>
      <c r="I657" s="24" t="s">
        <v>16</v>
      </c>
      <c r="J657" s="24" t="s">
        <v>30</v>
      </c>
      <c r="K657" s="24" t="str">
        <f>IF(certifications[[#This Row],[ISSUE DATE]]="", "", TEXT(certifications[[#This Row],[ISSUE DATE]], "MMM"))</f>
        <v>Sep</v>
      </c>
      <c r="L657" s="35" t="str">
        <f>IF(certifications[[#This Row],[ISSUE DATE]]="", "", TEXT(certifications[[#This Row],[ISSUE DATE]], "YYYY"))</f>
        <v>2009</v>
      </c>
    </row>
    <row r="658" spans="1:12" s="29" customFormat="1" ht="23.95" customHeight="1" x14ac:dyDescent="0.3">
      <c r="A658" s="31"/>
      <c r="B658" s="24">
        <v>645</v>
      </c>
      <c r="C658" s="24" t="s">
        <v>742</v>
      </c>
      <c r="D658" s="24" t="s">
        <v>32</v>
      </c>
      <c r="E658" s="24" t="s">
        <v>9</v>
      </c>
      <c r="F658" s="24">
        <v>12561</v>
      </c>
      <c r="G658" s="25">
        <v>43474</v>
      </c>
      <c r="H658" s="25">
        <v>44935</v>
      </c>
      <c r="I658" s="24" t="s">
        <v>16</v>
      </c>
      <c r="J658" s="24" t="s">
        <v>33</v>
      </c>
      <c r="K658" s="24" t="str">
        <f>IF(certifications[[#This Row],[ISSUE DATE]]="", "", TEXT(certifications[[#This Row],[ISSUE DATE]], "MMM"))</f>
        <v>Jan</v>
      </c>
      <c r="L658" s="35" t="str">
        <f>IF(certifications[[#This Row],[ISSUE DATE]]="", "", TEXT(certifications[[#This Row],[ISSUE DATE]], "YYYY"))</f>
        <v>2019</v>
      </c>
    </row>
    <row r="659" spans="1:12" s="29" customFormat="1" ht="23.95" customHeight="1" x14ac:dyDescent="0.3">
      <c r="A659" s="31"/>
      <c r="B659" s="24">
        <v>646</v>
      </c>
      <c r="C659" s="24" t="s">
        <v>743</v>
      </c>
      <c r="D659" s="24" t="s">
        <v>398</v>
      </c>
      <c r="E659" s="24" t="s">
        <v>9</v>
      </c>
      <c r="F659" s="24">
        <v>1786</v>
      </c>
      <c r="G659" s="25">
        <v>40724</v>
      </c>
      <c r="H659" s="25">
        <v>45838</v>
      </c>
      <c r="I659" s="24" t="s">
        <v>10</v>
      </c>
      <c r="J659" s="24" t="s">
        <v>38</v>
      </c>
      <c r="K659" s="24" t="str">
        <f>IF(certifications[[#This Row],[ISSUE DATE]]="", "", TEXT(certifications[[#This Row],[ISSUE DATE]], "MMM"))</f>
        <v>Jun</v>
      </c>
      <c r="L659" s="35" t="str">
        <f>IF(certifications[[#This Row],[ISSUE DATE]]="", "", TEXT(certifications[[#This Row],[ISSUE DATE]], "YYYY"))</f>
        <v>2011</v>
      </c>
    </row>
    <row r="660" spans="1:12" s="29" customFormat="1" ht="23.95" customHeight="1" x14ac:dyDescent="0.3">
      <c r="A660" s="31"/>
      <c r="B660" s="24">
        <v>647</v>
      </c>
      <c r="C660" s="24" t="s">
        <v>744</v>
      </c>
      <c r="D660" s="24" t="s">
        <v>18</v>
      </c>
      <c r="E660" s="24" t="s">
        <v>9</v>
      </c>
      <c r="F660" s="24">
        <v>20698</v>
      </c>
      <c r="G660" s="25">
        <v>45519</v>
      </c>
      <c r="H660" s="25">
        <v>46249</v>
      </c>
      <c r="I660" s="24" t="s">
        <v>10</v>
      </c>
      <c r="J660" s="24" t="s">
        <v>19</v>
      </c>
      <c r="K660" s="24" t="str">
        <f>IF(certifications[[#This Row],[ISSUE DATE]]="", "", TEXT(certifications[[#This Row],[ISSUE DATE]], "MMM"))</f>
        <v>Aug</v>
      </c>
      <c r="L660" s="35" t="str">
        <f>IF(certifications[[#This Row],[ISSUE DATE]]="", "", TEXT(certifications[[#This Row],[ISSUE DATE]], "YYYY"))</f>
        <v>2024</v>
      </c>
    </row>
    <row r="661" spans="1:12" s="29" customFormat="1" ht="23.95" customHeight="1" x14ac:dyDescent="0.3">
      <c r="A661" s="31"/>
      <c r="B661" s="24">
        <v>648</v>
      </c>
      <c r="C661" s="24" t="s">
        <v>745</v>
      </c>
      <c r="D661" s="24" t="s">
        <v>32</v>
      </c>
      <c r="E661" s="24" t="s">
        <v>9</v>
      </c>
      <c r="F661" s="24">
        <v>8679</v>
      </c>
      <c r="G661" s="25">
        <v>41603</v>
      </c>
      <c r="H661" s="25">
        <v>42333</v>
      </c>
      <c r="I661" s="24" t="s">
        <v>16</v>
      </c>
      <c r="J661" s="24" t="s">
        <v>33</v>
      </c>
      <c r="K661" s="24" t="str">
        <f>IF(certifications[[#This Row],[ISSUE DATE]]="", "", TEXT(certifications[[#This Row],[ISSUE DATE]], "MMM"))</f>
        <v>Nov</v>
      </c>
      <c r="L661" s="35" t="str">
        <f>IF(certifications[[#This Row],[ISSUE DATE]]="", "", TEXT(certifications[[#This Row],[ISSUE DATE]], "YYYY"))</f>
        <v>2013</v>
      </c>
    </row>
    <row r="662" spans="1:12" s="29" customFormat="1" ht="23.95" customHeight="1" x14ac:dyDescent="0.3">
      <c r="A662" s="31"/>
      <c r="B662" s="24">
        <v>649</v>
      </c>
      <c r="C662" s="24" t="s">
        <v>746</v>
      </c>
      <c r="D662" s="24" t="s">
        <v>747</v>
      </c>
      <c r="E662" s="24" t="s">
        <v>9</v>
      </c>
      <c r="F662" s="24">
        <v>13720</v>
      </c>
      <c r="G662" s="25">
        <v>43640</v>
      </c>
      <c r="H662" s="25">
        <v>44371</v>
      </c>
      <c r="I662" s="24" t="s">
        <v>16</v>
      </c>
      <c r="J662" s="24" t="s">
        <v>19</v>
      </c>
      <c r="K662" s="24" t="str">
        <f>IF(certifications[[#This Row],[ISSUE DATE]]="", "", TEXT(certifications[[#This Row],[ISSUE DATE]], "MMM"))</f>
        <v>Jun</v>
      </c>
      <c r="L662" s="35" t="str">
        <f>IF(certifications[[#This Row],[ISSUE DATE]]="", "", TEXT(certifications[[#This Row],[ISSUE DATE]], "YYYY"))</f>
        <v>2019</v>
      </c>
    </row>
    <row r="663" spans="1:12" s="29" customFormat="1" ht="23.95" customHeight="1" x14ac:dyDescent="0.3">
      <c r="A663" s="31"/>
      <c r="B663" s="24">
        <v>650</v>
      </c>
      <c r="C663" s="24" t="s">
        <v>748</v>
      </c>
      <c r="D663" s="24" t="s">
        <v>515</v>
      </c>
      <c r="E663" s="24" t="s">
        <v>9</v>
      </c>
      <c r="F663" s="24">
        <v>9190</v>
      </c>
      <c r="G663" s="25">
        <v>42144</v>
      </c>
      <c r="H663" s="25">
        <v>42875</v>
      </c>
      <c r="I663" s="24" t="s">
        <v>16</v>
      </c>
      <c r="J663" s="24" t="s">
        <v>14</v>
      </c>
      <c r="K663" s="24" t="str">
        <f>IF(certifications[[#This Row],[ISSUE DATE]]="", "", TEXT(certifications[[#This Row],[ISSUE DATE]], "MMM"))</f>
        <v>May</v>
      </c>
      <c r="L663" s="35" t="str">
        <f>IF(certifications[[#This Row],[ISSUE DATE]]="", "", TEXT(certifications[[#This Row],[ISSUE DATE]], "YYYY"))</f>
        <v>2015</v>
      </c>
    </row>
    <row r="664" spans="1:12" s="29" customFormat="1" ht="23.95" customHeight="1" x14ac:dyDescent="0.3">
      <c r="A664" s="31"/>
      <c r="B664" s="24">
        <v>651</v>
      </c>
      <c r="C664" s="24" t="s">
        <v>749</v>
      </c>
      <c r="D664" s="24" t="s">
        <v>32</v>
      </c>
      <c r="E664" s="24" t="s">
        <v>9</v>
      </c>
      <c r="F664" s="24">
        <v>7218</v>
      </c>
      <c r="G664" s="25">
        <v>43697</v>
      </c>
      <c r="H664" s="25">
        <v>46619</v>
      </c>
      <c r="I664" s="24" t="s">
        <v>10</v>
      </c>
      <c r="J664" s="24" t="s">
        <v>33</v>
      </c>
      <c r="K664" s="24" t="str">
        <f>IF(certifications[[#This Row],[ISSUE DATE]]="", "", TEXT(certifications[[#This Row],[ISSUE DATE]], "MMM"))</f>
        <v>Aug</v>
      </c>
      <c r="L664" s="35" t="str">
        <f>IF(certifications[[#This Row],[ISSUE DATE]]="", "", TEXT(certifications[[#This Row],[ISSUE DATE]], "YYYY"))</f>
        <v>2019</v>
      </c>
    </row>
    <row r="665" spans="1:12" s="29" customFormat="1" ht="23.95" customHeight="1" x14ac:dyDescent="0.3">
      <c r="A665" s="31"/>
      <c r="B665" s="24">
        <v>652</v>
      </c>
      <c r="C665" s="24" t="s">
        <v>750</v>
      </c>
      <c r="D665" s="24" t="s">
        <v>80</v>
      </c>
      <c r="E665" s="24" t="s">
        <v>9</v>
      </c>
      <c r="F665" s="24">
        <v>8472</v>
      </c>
      <c r="G665" s="25">
        <v>41426</v>
      </c>
      <c r="H665" s="25">
        <v>42156</v>
      </c>
      <c r="I665" s="24" t="s">
        <v>16</v>
      </c>
      <c r="J665" s="24" t="s">
        <v>38</v>
      </c>
      <c r="K665" s="24" t="str">
        <f>IF(certifications[[#This Row],[ISSUE DATE]]="", "", TEXT(certifications[[#This Row],[ISSUE DATE]], "MMM"))</f>
        <v>Jun</v>
      </c>
      <c r="L665" s="35" t="str">
        <f>IF(certifications[[#This Row],[ISSUE DATE]]="", "", TEXT(certifications[[#This Row],[ISSUE DATE]], "YYYY"))</f>
        <v>2013</v>
      </c>
    </row>
    <row r="666" spans="1:12" s="29" customFormat="1" ht="23.95" customHeight="1" x14ac:dyDescent="0.3">
      <c r="A666" s="31"/>
      <c r="B666" s="24">
        <v>653</v>
      </c>
      <c r="C666" s="24" t="s">
        <v>751</v>
      </c>
      <c r="D666" s="24" t="s">
        <v>29</v>
      </c>
      <c r="E666" s="24" t="s">
        <v>9</v>
      </c>
      <c r="F666" s="24">
        <v>12687</v>
      </c>
      <c r="G666" s="25">
        <v>43474</v>
      </c>
      <c r="H666" s="25">
        <v>46396</v>
      </c>
      <c r="I666" s="24" t="s">
        <v>10</v>
      </c>
      <c r="J666" s="24" t="s">
        <v>30</v>
      </c>
      <c r="K666" s="24" t="str">
        <f>IF(certifications[[#This Row],[ISSUE DATE]]="", "", TEXT(certifications[[#This Row],[ISSUE DATE]], "MMM"))</f>
        <v>Jan</v>
      </c>
      <c r="L666" s="35" t="str">
        <f>IF(certifications[[#This Row],[ISSUE DATE]]="", "", TEXT(certifications[[#This Row],[ISSUE DATE]], "YYYY"))</f>
        <v>2019</v>
      </c>
    </row>
    <row r="667" spans="1:12" s="29" customFormat="1" ht="23.95" customHeight="1" x14ac:dyDescent="0.3">
      <c r="A667" s="31"/>
      <c r="B667" s="24">
        <v>654</v>
      </c>
      <c r="C667" s="24" t="s">
        <v>752</v>
      </c>
      <c r="D667" s="24" t="s">
        <v>131</v>
      </c>
      <c r="E667" s="24" t="s">
        <v>9</v>
      </c>
      <c r="F667" s="24">
        <v>8501</v>
      </c>
      <c r="G667" s="25">
        <v>41450</v>
      </c>
      <c r="H667" s="25">
        <v>42180</v>
      </c>
      <c r="I667" s="24" t="s">
        <v>16</v>
      </c>
      <c r="J667" s="24" t="s">
        <v>38</v>
      </c>
      <c r="K667" s="24" t="str">
        <f>IF(certifications[[#This Row],[ISSUE DATE]]="", "", TEXT(certifications[[#This Row],[ISSUE DATE]], "MMM"))</f>
        <v>Jun</v>
      </c>
      <c r="L667" s="35" t="str">
        <f>IF(certifications[[#This Row],[ISSUE DATE]]="", "", TEXT(certifications[[#This Row],[ISSUE DATE]], "YYYY"))</f>
        <v>2013</v>
      </c>
    </row>
    <row r="668" spans="1:12" s="29" customFormat="1" ht="23.95" customHeight="1" x14ac:dyDescent="0.3">
      <c r="A668" s="31"/>
      <c r="B668" s="24">
        <v>655</v>
      </c>
      <c r="C668" s="24" t="s">
        <v>753</v>
      </c>
      <c r="D668" s="24" t="s">
        <v>264</v>
      </c>
      <c r="E668" s="24" t="s">
        <v>9</v>
      </c>
      <c r="F668" s="24">
        <v>10031</v>
      </c>
      <c r="G668" s="25">
        <v>42766</v>
      </c>
      <c r="H668" s="25">
        <v>43496</v>
      </c>
      <c r="I668" s="24" t="s">
        <v>16</v>
      </c>
      <c r="J668" s="24" t="s">
        <v>22</v>
      </c>
      <c r="K668" s="24" t="str">
        <f>IF(certifications[[#This Row],[ISSUE DATE]]="", "", TEXT(certifications[[#This Row],[ISSUE DATE]], "MMM"))</f>
        <v>Jan</v>
      </c>
      <c r="L668" s="35" t="str">
        <f>IF(certifications[[#This Row],[ISSUE DATE]]="", "", TEXT(certifications[[#This Row],[ISSUE DATE]], "YYYY"))</f>
        <v>2017</v>
      </c>
    </row>
    <row r="669" spans="1:12" s="29" customFormat="1" ht="23.95" customHeight="1" x14ac:dyDescent="0.3">
      <c r="A669" s="31"/>
      <c r="B669" s="24">
        <v>656</v>
      </c>
      <c r="C669" s="24" t="s">
        <v>754</v>
      </c>
      <c r="D669" s="24" t="s">
        <v>755</v>
      </c>
      <c r="E669" s="24" t="s">
        <v>9</v>
      </c>
      <c r="F669" s="24">
        <v>8154</v>
      </c>
      <c r="G669" s="25">
        <v>41111</v>
      </c>
      <c r="H669" s="25">
        <v>42572</v>
      </c>
      <c r="I669" s="24" t="s">
        <v>16</v>
      </c>
      <c r="J669" s="24" t="s">
        <v>38</v>
      </c>
      <c r="K669" s="24" t="str">
        <f>IF(certifications[[#This Row],[ISSUE DATE]]="", "", TEXT(certifications[[#This Row],[ISSUE DATE]], "MMM"))</f>
        <v>Jul</v>
      </c>
      <c r="L669" s="35" t="str">
        <f>IF(certifications[[#This Row],[ISSUE DATE]]="", "", TEXT(certifications[[#This Row],[ISSUE DATE]], "YYYY"))</f>
        <v>2012</v>
      </c>
    </row>
    <row r="670" spans="1:12" s="29" customFormat="1" ht="23.95" customHeight="1" x14ac:dyDescent="0.3">
      <c r="A670" s="31"/>
      <c r="B670" s="24">
        <v>657</v>
      </c>
      <c r="C670" s="24" t="s">
        <v>756</v>
      </c>
      <c r="D670" s="24" t="s">
        <v>755</v>
      </c>
      <c r="E670" s="24" t="s">
        <v>9</v>
      </c>
      <c r="F670" s="24">
        <v>19530</v>
      </c>
      <c r="G670" s="25">
        <v>45271</v>
      </c>
      <c r="H670" s="25">
        <v>46002</v>
      </c>
      <c r="I670" s="24" t="s">
        <v>10</v>
      </c>
      <c r="J670" s="24" t="s">
        <v>38</v>
      </c>
      <c r="K670" s="24" t="str">
        <f>IF(certifications[[#This Row],[ISSUE DATE]]="", "", TEXT(certifications[[#This Row],[ISSUE DATE]], "MMM"))</f>
        <v>Dec</v>
      </c>
      <c r="L670" s="35" t="str">
        <f>IF(certifications[[#This Row],[ISSUE DATE]]="", "", TEXT(certifications[[#This Row],[ISSUE DATE]], "YYYY"))</f>
        <v>2023</v>
      </c>
    </row>
    <row r="671" spans="1:12" s="29" customFormat="1" ht="23.95" customHeight="1" x14ac:dyDescent="0.3">
      <c r="A671" s="31"/>
      <c r="B671" s="24">
        <v>658</v>
      </c>
      <c r="C671" s="24" t="s">
        <v>756</v>
      </c>
      <c r="D671" s="24" t="s">
        <v>755</v>
      </c>
      <c r="E671" s="24" t="s">
        <v>26</v>
      </c>
      <c r="F671" s="24">
        <v>19530</v>
      </c>
      <c r="G671" s="25">
        <v>45271</v>
      </c>
      <c r="H671" s="25">
        <v>46002</v>
      </c>
      <c r="I671" s="24" t="s">
        <v>10</v>
      </c>
      <c r="J671" s="24" t="s">
        <v>38</v>
      </c>
      <c r="K671" s="24" t="str">
        <f>IF(certifications[[#This Row],[ISSUE DATE]]="", "", TEXT(certifications[[#This Row],[ISSUE DATE]], "MMM"))</f>
        <v>Dec</v>
      </c>
      <c r="L671" s="35" t="str">
        <f>IF(certifications[[#This Row],[ISSUE DATE]]="", "", TEXT(certifications[[#This Row],[ISSUE DATE]], "YYYY"))</f>
        <v>2023</v>
      </c>
    </row>
    <row r="672" spans="1:12" s="29" customFormat="1" ht="23.95" customHeight="1" x14ac:dyDescent="0.3">
      <c r="A672" s="31"/>
      <c r="B672" s="24">
        <v>659</v>
      </c>
      <c r="C672" s="24" t="s">
        <v>757</v>
      </c>
      <c r="D672" s="24" t="s">
        <v>32</v>
      </c>
      <c r="E672" s="24" t="s">
        <v>9</v>
      </c>
      <c r="F672" s="24">
        <v>10254</v>
      </c>
      <c r="G672" s="25">
        <v>42908</v>
      </c>
      <c r="H672" s="25">
        <v>43638</v>
      </c>
      <c r="I672" s="24" t="s">
        <v>16</v>
      </c>
      <c r="J672" s="24" t="s">
        <v>33</v>
      </c>
      <c r="K672" s="24" t="str">
        <f>IF(certifications[[#This Row],[ISSUE DATE]]="", "", TEXT(certifications[[#This Row],[ISSUE DATE]], "MMM"))</f>
        <v>Jun</v>
      </c>
      <c r="L672" s="35" t="str">
        <f>IF(certifications[[#This Row],[ISSUE DATE]]="", "", TEXT(certifications[[#This Row],[ISSUE DATE]], "YYYY"))</f>
        <v>2017</v>
      </c>
    </row>
    <row r="673" spans="1:12" s="29" customFormat="1" ht="23.95" customHeight="1" x14ac:dyDescent="0.3">
      <c r="A673" s="31"/>
      <c r="B673" s="24">
        <v>660</v>
      </c>
      <c r="C673" s="24" t="s">
        <v>758</v>
      </c>
      <c r="D673" s="24" t="s">
        <v>32</v>
      </c>
      <c r="E673" s="24" t="s">
        <v>9</v>
      </c>
      <c r="F673" s="24">
        <v>18015</v>
      </c>
      <c r="G673" s="25">
        <v>44875</v>
      </c>
      <c r="H673" s="25">
        <v>46336</v>
      </c>
      <c r="I673" s="24" t="s">
        <v>10</v>
      </c>
      <c r="J673" s="24" t="s">
        <v>33</v>
      </c>
      <c r="K673" s="24" t="str">
        <f>IF(certifications[[#This Row],[ISSUE DATE]]="", "", TEXT(certifications[[#This Row],[ISSUE DATE]], "MMM"))</f>
        <v>Nov</v>
      </c>
      <c r="L673" s="35" t="str">
        <f>IF(certifications[[#This Row],[ISSUE DATE]]="", "", TEXT(certifications[[#This Row],[ISSUE DATE]], "YYYY"))</f>
        <v>2022</v>
      </c>
    </row>
    <row r="674" spans="1:12" s="29" customFormat="1" ht="23.95" customHeight="1" x14ac:dyDescent="0.3">
      <c r="A674" s="31"/>
      <c r="B674" s="24">
        <v>661</v>
      </c>
      <c r="C674" s="24" t="s">
        <v>759</v>
      </c>
      <c r="D674" s="24" t="s">
        <v>80</v>
      </c>
      <c r="E674" s="24" t="s">
        <v>9</v>
      </c>
      <c r="F674" s="24">
        <v>9726</v>
      </c>
      <c r="G674" s="25">
        <v>42571</v>
      </c>
      <c r="H674" s="25">
        <v>44032</v>
      </c>
      <c r="I674" s="24" t="s">
        <v>16</v>
      </c>
      <c r="J674" s="24" t="s">
        <v>38</v>
      </c>
      <c r="K674" s="24" t="str">
        <f>IF(certifications[[#This Row],[ISSUE DATE]]="", "", TEXT(certifications[[#This Row],[ISSUE DATE]], "MMM"))</f>
        <v>Jul</v>
      </c>
      <c r="L674" s="35" t="str">
        <f>IF(certifications[[#This Row],[ISSUE DATE]]="", "", TEXT(certifications[[#This Row],[ISSUE DATE]], "YYYY"))</f>
        <v>2016</v>
      </c>
    </row>
    <row r="675" spans="1:12" s="29" customFormat="1" ht="23.95" customHeight="1" x14ac:dyDescent="0.3">
      <c r="A675" s="31"/>
      <c r="B675" s="24">
        <v>662</v>
      </c>
      <c r="C675" s="24" t="s">
        <v>760</v>
      </c>
      <c r="D675" s="24" t="s">
        <v>46</v>
      </c>
      <c r="E675" s="24" t="s">
        <v>9</v>
      </c>
      <c r="F675" s="24">
        <v>8927</v>
      </c>
      <c r="G675" s="25">
        <v>41816</v>
      </c>
      <c r="H675" s="25">
        <v>42547</v>
      </c>
      <c r="I675" s="24" t="s">
        <v>16</v>
      </c>
      <c r="J675" s="24" t="s">
        <v>38</v>
      </c>
      <c r="K675" s="24" t="str">
        <f>IF(certifications[[#This Row],[ISSUE DATE]]="", "", TEXT(certifications[[#This Row],[ISSUE DATE]], "MMM"))</f>
        <v>Jun</v>
      </c>
      <c r="L675" s="35" t="str">
        <f>IF(certifications[[#This Row],[ISSUE DATE]]="", "", TEXT(certifications[[#This Row],[ISSUE DATE]], "YYYY"))</f>
        <v>2014</v>
      </c>
    </row>
    <row r="676" spans="1:12" s="29" customFormat="1" ht="23.95" customHeight="1" x14ac:dyDescent="0.3">
      <c r="A676" s="31"/>
      <c r="B676" s="24">
        <v>663</v>
      </c>
      <c r="C676" s="24" t="s">
        <v>761</v>
      </c>
      <c r="D676" s="24" t="s">
        <v>102</v>
      </c>
      <c r="E676" s="24" t="s">
        <v>9</v>
      </c>
      <c r="F676" s="24">
        <v>8970</v>
      </c>
      <c r="G676" s="25">
        <v>41849</v>
      </c>
      <c r="H676" s="25">
        <v>42580</v>
      </c>
      <c r="I676" s="24" t="s">
        <v>16</v>
      </c>
      <c r="J676" s="24" t="s">
        <v>38</v>
      </c>
      <c r="K676" s="24" t="str">
        <f>IF(certifications[[#This Row],[ISSUE DATE]]="", "", TEXT(certifications[[#This Row],[ISSUE DATE]], "MMM"))</f>
        <v>Jul</v>
      </c>
      <c r="L676" s="35" t="str">
        <f>IF(certifications[[#This Row],[ISSUE DATE]]="", "", TEXT(certifications[[#This Row],[ISSUE DATE]], "YYYY"))</f>
        <v>2014</v>
      </c>
    </row>
    <row r="677" spans="1:12" s="29" customFormat="1" ht="23.95" customHeight="1" x14ac:dyDescent="0.3">
      <c r="A677" s="31"/>
      <c r="B677" s="24">
        <v>664</v>
      </c>
      <c r="C677" s="24" t="s">
        <v>762</v>
      </c>
      <c r="D677" s="24" t="s">
        <v>32</v>
      </c>
      <c r="E677" s="24" t="s">
        <v>9</v>
      </c>
      <c r="F677" s="24">
        <v>22092</v>
      </c>
      <c r="G677" s="25">
        <v>45813</v>
      </c>
      <c r="H677" s="25">
        <v>46543</v>
      </c>
      <c r="I677" s="24" t="s">
        <v>10</v>
      </c>
      <c r="J677" s="24" t="s">
        <v>33</v>
      </c>
      <c r="K677" s="24" t="str">
        <f>IF(certifications[[#This Row],[ISSUE DATE]]="", "", TEXT(certifications[[#This Row],[ISSUE DATE]], "MMM"))</f>
        <v>Jun</v>
      </c>
      <c r="L677" s="35" t="str">
        <f>IF(certifications[[#This Row],[ISSUE DATE]]="", "", TEXT(certifications[[#This Row],[ISSUE DATE]], "YYYY"))</f>
        <v>2025</v>
      </c>
    </row>
    <row r="678" spans="1:12" s="29" customFormat="1" ht="23.95" customHeight="1" x14ac:dyDescent="0.3">
      <c r="A678" s="31"/>
      <c r="B678" s="24">
        <v>665</v>
      </c>
      <c r="C678" s="24" t="s">
        <v>763</v>
      </c>
      <c r="D678" s="24" t="s">
        <v>32</v>
      </c>
      <c r="E678" s="24" t="s">
        <v>9</v>
      </c>
      <c r="F678" s="24">
        <v>19186</v>
      </c>
      <c r="G678" s="25">
        <v>45191</v>
      </c>
      <c r="H678" s="25">
        <v>45922</v>
      </c>
      <c r="I678" s="24" t="s">
        <v>10</v>
      </c>
      <c r="J678" s="24" t="s">
        <v>33</v>
      </c>
      <c r="K678" s="24" t="str">
        <f>IF(certifications[[#This Row],[ISSUE DATE]]="", "", TEXT(certifications[[#This Row],[ISSUE DATE]], "MMM"))</f>
        <v>Sep</v>
      </c>
      <c r="L678" s="35" t="str">
        <f>IF(certifications[[#This Row],[ISSUE DATE]]="", "", TEXT(certifications[[#This Row],[ISSUE DATE]], "YYYY"))</f>
        <v>2023</v>
      </c>
    </row>
    <row r="679" spans="1:12" s="29" customFormat="1" ht="23.95" customHeight="1" x14ac:dyDescent="0.3">
      <c r="A679" s="31"/>
      <c r="B679" s="24">
        <v>666</v>
      </c>
      <c r="C679" s="24" t="s">
        <v>764</v>
      </c>
      <c r="D679" s="24" t="s">
        <v>48</v>
      </c>
      <c r="E679" s="24" t="s">
        <v>9</v>
      </c>
      <c r="F679" s="24">
        <v>7494</v>
      </c>
      <c r="G679" s="25">
        <v>40249</v>
      </c>
      <c r="H679" s="25">
        <v>42441</v>
      </c>
      <c r="I679" s="24" t="s">
        <v>16</v>
      </c>
      <c r="J679" s="24" t="s">
        <v>38</v>
      </c>
      <c r="K679" s="24" t="str">
        <f>IF(certifications[[#This Row],[ISSUE DATE]]="", "", TEXT(certifications[[#This Row],[ISSUE DATE]], "MMM"))</f>
        <v>Mar</v>
      </c>
      <c r="L679" s="35" t="str">
        <f>IF(certifications[[#This Row],[ISSUE DATE]]="", "", TEXT(certifications[[#This Row],[ISSUE DATE]], "YYYY"))</f>
        <v>2010</v>
      </c>
    </row>
    <row r="680" spans="1:12" s="29" customFormat="1" ht="23.95" customHeight="1" x14ac:dyDescent="0.3">
      <c r="A680" s="31"/>
      <c r="B680" s="24">
        <v>667</v>
      </c>
      <c r="C680" s="24" t="s">
        <v>765</v>
      </c>
      <c r="D680" s="24" t="s">
        <v>32</v>
      </c>
      <c r="E680" s="24" t="s">
        <v>9</v>
      </c>
      <c r="F680" s="24">
        <v>18565</v>
      </c>
      <c r="G680" s="25">
        <v>45048</v>
      </c>
      <c r="H680" s="25">
        <v>45779</v>
      </c>
      <c r="I680" s="24" t="s">
        <v>82</v>
      </c>
      <c r="J680" s="24" t="s">
        <v>33</v>
      </c>
      <c r="K680" s="24" t="str">
        <f>IF(certifications[[#This Row],[ISSUE DATE]]="", "", TEXT(certifications[[#This Row],[ISSUE DATE]], "MMM"))</f>
        <v>May</v>
      </c>
      <c r="L680" s="35" t="str">
        <f>IF(certifications[[#This Row],[ISSUE DATE]]="", "", TEXT(certifications[[#This Row],[ISSUE DATE]], "YYYY"))</f>
        <v>2023</v>
      </c>
    </row>
    <row r="681" spans="1:12" s="29" customFormat="1" ht="23.95" customHeight="1" x14ac:dyDescent="0.3">
      <c r="A681" s="31"/>
      <c r="B681" s="24">
        <v>668</v>
      </c>
      <c r="C681" s="24" t="s">
        <v>766</v>
      </c>
      <c r="D681" s="24" t="s">
        <v>18</v>
      </c>
      <c r="E681" s="24" t="s">
        <v>9</v>
      </c>
      <c r="F681" s="24">
        <v>14689</v>
      </c>
      <c r="G681" s="25">
        <v>43718</v>
      </c>
      <c r="H681" s="25">
        <v>45910</v>
      </c>
      <c r="I681" s="24" t="s">
        <v>10</v>
      </c>
      <c r="J681" s="24" t="s">
        <v>19</v>
      </c>
      <c r="K681" s="24" t="str">
        <f>IF(certifications[[#This Row],[ISSUE DATE]]="", "", TEXT(certifications[[#This Row],[ISSUE DATE]], "MMM"))</f>
        <v>Sep</v>
      </c>
      <c r="L681" s="35" t="str">
        <f>IF(certifications[[#This Row],[ISSUE DATE]]="", "", TEXT(certifications[[#This Row],[ISSUE DATE]], "YYYY"))</f>
        <v>2019</v>
      </c>
    </row>
    <row r="682" spans="1:12" s="29" customFormat="1" ht="23.95" customHeight="1" x14ac:dyDescent="0.3">
      <c r="A682" s="31"/>
      <c r="B682" s="24">
        <v>669</v>
      </c>
      <c r="C682" s="24" t="s">
        <v>767</v>
      </c>
      <c r="D682" s="24" t="s">
        <v>51</v>
      </c>
      <c r="E682" s="24" t="s">
        <v>9</v>
      </c>
      <c r="F682" s="24">
        <v>8925</v>
      </c>
      <c r="G682" s="25">
        <v>41816</v>
      </c>
      <c r="H682" s="25">
        <v>42547</v>
      </c>
      <c r="I682" s="24" t="s">
        <v>16</v>
      </c>
      <c r="J682" s="24" t="s">
        <v>38</v>
      </c>
      <c r="K682" s="24" t="str">
        <f>IF(certifications[[#This Row],[ISSUE DATE]]="", "", TEXT(certifications[[#This Row],[ISSUE DATE]], "MMM"))</f>
        <v>Jun</v>
      </c>
      <c r="L682" s="35" t="str">
        <f>IF(certifications[[#This Row],[ISSUE DATE]]="", "", TEXT(certifications[[#This Row],[ISSUE DATE]], "YYYY"))</f>
        <v>2014</v>
      </c>
    </row>
    <row r="683" spans="1:12" s="29" customFormat="1" ht="23.95" customHeight="1" x14ac:dyDescent="0.3">
      <c r="A683" s="31"/>
      <c r="B683" s="24">
        <v>670</v>
      </c>
      <c r="C683" s="24" t="s">
        <v>768</v>
      </c>
      <c r="D683" s="24" t="s">
        <v>18</v>
      </c>
      <c r="E683" s="24" t="s">
        <v>26</v>
      </c>
      <c r="F683" s="24">
        <v>16944</v>
      </c>
      <c r="G683" s="25">
        <v>44495</v>
      </c>
      <c r="H683" s="25">
        <v>45956</v>
      </c>
      <c r="I683" s="24" t="s">
        <v>10</v>
      </c>
      <c r="J683" s="24" t="s">
        <v>19</v>
      </c>
      <c r="K683" s="24" t="str">
        <f>IF(certifications[[#This Row],[ISSUE DATE]]="", "", TEXT(certifications[[#This Row],[ISSUE DATE]], "MMM"))</f>
        <v>Oct</v>
      </c>
      <c r="L683" s="35" t="str">
        <f>IF(certifications[[#This Row],[ISSUE DATE]]="", "", TEXT(certifications[[#This Row],[ISSUE DATE]], "YYYY"))</f>
        <v>2021</v>
      </c>
    </row>
    <row r="684" spans="1:12" s="29" customFormat="1" ht="23.95" customHeight="1" x14ac:dyDescent="0.3">
      <c r="A684" s="31"/>
      <c r="B684" s="24">
        <v>671</v>
      </c>
      <c r="C684" s="24" t="s">
        <v>769</v>
      </c>
      <c r="D684" s="24" t="s">
        <v>32</v>
      </c>
      <c r="E684" s="24" t="s">
        <v>9</v>
      </c>
      <c r="F684" s="24">
        <v>13017</v>
      </c>
      <c r="G684" s="25">
        <v>43599</v>
      </c>
      <c r="H684" s="25">
        <v>44330</v>
      </c>
      <c r="I684" s="24" t="s">
        <v>16</v>
      </c>
      <c r="J684" s="24" t="s">
        <v>33</v>
      </c>
      <c r="K684" s="24" t="str">
        <f>IF(certifications[[#This Row],[ISSUE DATE]]="", "", TEXT(certifications[[#This Row],[ISSUE DATE]], "MMM"))</f>
        <v>May</v>
      </c>
      <c r="L684" s="35" t="str">
        <f>IF(certifications[[#This Row],[ISSUE DATE]]="", "", TEXT(certifications[[#This Row],[ISSUE DATE]], "YYYY"))</f>
        <v>2019</v>
      </c>
    </row>
    <row r="685" spans="1:12" s="29" customFormat="1" ht="23.95" customHeight="1" x14ac:dyDescent="0.3">
      <c r="A685" s="31"/>
      <c r="B685" s="24">
        <v>672</v>
      </c>
      <c r="C685" s="24" t="s">
        <v>770</v>
      </c>
      <c r="D685" s="24" t="s">
        <v>32</v>
      </c>
      <c r="E685" s="24" t="s">
        <v>9</v>
      </c>
      <c r="F685" s="24">
        <v>22091</v>
      </c>
      <c r="G685" s="25">
        <v>45813</v>
      </c>
      <c r="H685" s="25">
        <v>46543</v>
      </c>
      <c r="I685" s="24" t="s">
        <v>10</v>
      </c>
      <c r="J685" s="24" t="s">
        <v>33</v>
      </c>
      <c r="K685" s="24" t="str">
        <f>IF(certifications[[#This Row],[ISSUE DATE]]="", "", TEXT(certifications[[#This Row],[ISSUE DATE]], "MMM"))</f>
        <v>Jun</v>
      </c>
      <c r="L685" s="35" t="str">
        <f>IF(certifications[[#This Row],[ISSUE DATE]]="", "", TEXT(certifications[[#This Row],[ISSUE DATE]], "YYYY"))</f>
        <v>2025</v>
      </c>
    </row>
    <row r="686" spans="1:12" s="29" customFormat="1" ht="23.95" customHeight="1" x14ac:dyDescent="0.3">
      <c r="A686" s="31"/>
      <c r="B686" s="24">
        <v>673</v>
      </c>
      <c r="C686" s="24" t="s">
        <v>771</v>
      </c>
      <c r="D686" s="24" t="s">
        <v>32</v>
      </c>
      <c r="E686" s="24" t="s">
        <v>9</v>
      </c>
      <c r="F686" s="24">
        <v>9563</v>
      </c>
      <c r="G686" s="25">
        <v>42466</v>
      </c>
      <c r="H686" s="25">
        <v>43196</v>
      </c>
      <c r="I686" s="24" t="s">
        <v>16</v>
      </c>
      <c r="J686" s="24" t="s">
        <v>33</v>
      </c>
      <c r="K686" s="24" t="str">
        <f>IF(certifications[[#This Row],[ISSUE DATE]]="", "", TEXT(certifications[[#This Row],[ISSUE DATE]], "MMM"))</f>
        <v>Apr</v>
      </c>
      <c r="L686" s="35" t="str">
        <f>IF(certifications[[#This Row],[ISSUE DATE]]="", "", TEXT(certifications[[#This Row],[ISSUE DATE]], "YYYY"))</f>
        <v>2016</v>
      </c>
    </row>
    <row r="687" spans="1:12" s="29" customFormat="1" ht="23.95" customHeight="1" x14ac:dyDescent="0.3">
      <c r="A687" s="31"/>
      <c r="B687" s="24">
        <v>674</v>
      </c>
      <c r="C687" s="24" t="s">
        <v>772</v>
      </c>
      <c r="D687" s="24" t="s">
        <v>773</v>
      </c>
      <c r="E687" s="24" t="s">
        <v>9</v>
      </c>
      <c r="F687" s="24">
        <v>11936</v>
      </c>
      <c r="G687" s="25">
        <v>43847</v>
      </c>
      <c r="H687" s="25">
        <v>46226</v>
      </c>
      <c r="I687" s="24" t="s">
        <v>10</v>
      </c>
      <c r="J687" s="24" t="s">
        <v>11</v>
      </c>
      <c r="K687" s="24" t="str">
        <f>IF(certifications[[#This Row],[ISSUE DATE]]="", "", TEXT(certifications[[#This Row],[ISSUE DATE]], "MMM"))</f>
        <v>Jan</v>
      </c>
      <c r="L687" s="35" t="str">
        <f>IF(certifications[[#This Row],[ISSUE DATE]]="", "", TEXT(certifications[[#This Row],[ISSUE DATE]], "YYYY"))</f>
        <v>2020</v>
      </c>
    </row>
    <row r="688" spans="1:12" s="29" customFormat="1" ht="23.95" customHeight="1" x14ac:dyDescent="0.3">
      <c r="A688" s="31"/>
      <c r="B688" s="24">
        <v>675</v>
      </c>
      <c r="C688" s="24" t="s">
        <v>774</v>
      </c>
      <c r="D688" s="24" t="s">
        <v>269</v>
      </c>
      <c r="E688" s="24" t="s">
        <v>9</v>
      </c>
      <c r="F688" s="24">
        <v>15305</v>
      </c>
      <c r="G688" s="25">
        <v>44012</v>
      </c>
      <c r="H688" s="25">
        <v>46203</v>
      </c>
      <c r="I688" s="24" t="s">
        <v>10</v>
      </c>
      <c r="J688" s="24" t="s">
        <v>25</v>
      </c>
      <c r="K688" s="24" t="str">
        <f>IF(certifications[[#This Row],[ISSUE DATE]]="", "", TEXT(certifications[[#This Row],[ISSUE DATE]], "MMM"))</f>
        <v>Jun</v>
      </c>
      <c r="L688" s="35" t="str">
        <f>IF(certifications[[#This Row],[ISSUE DATE]]="", "", TEXT(certifications[[#This Row],[ISSUE DATE]], "YYYY"))</f>
        <v>2020</v>
      </c>
    </row>
    <row r="689" spans="1:12" s="29" customFormat="1" ht="23.95" customHeight="1" x14ac:dyDescent="0.3">
      <c r="A689" s="31"/>
      <c r="B689" s="24">
        <v>676</v>
      </c>
      <c r="C689" s="3" t="s">
        <v>774</v>
      </c>
      <c r="D689" s="3" t="s">
        <v>269</v>
      </c>
      <c r="E689" s="3" t="s">
        <v>27</v>
      </c>
      <c r="F689" s="3">
        <v>15305</v>
      </c>
      <c r="G689" s="4">
        <v>45497</v>
      </c>
      <c r="H689" s="4">
        <v>46227</v>
      </c>
      <c r="I689" s="3" t="s">
        <v>10</v>
      </c>
      <c r="J689" s="3" t="s">
        <v>25</v>
      </c>
      <c r="K689" s="3" t="str">
        <f>IF(certifications[[#This Row],[ISSUE DATE]]="", "", TEXT(certifications[[#This Row],[ISSUE DATE]], "MMM"))</f>
        <v>Jul</v>
      </c>
      <c r="L689" s="36" t="str">
        <f>IF(certifications[[#This Row],[ISSUE DATE]]="", "", TEXT(certifications[[#This Row],[ISSUE DATE]], "YYYY"))</f>
        <v>2024</v>
      </c>
    </row>
    <row r="690" spans="1:12" s="29" customFormat="1" ht="23.95" customHeight="1" x14ac:dyDescent="0.3">
      <c r="A690" s="31"/>
      <c r="B690" s="24">
        <v>677</v>
      </c>
      <c r="C690" s="24" t="s">
        <v>775</v>
      </c>
      <c r="D690" s="24" t="s">
        <v>32</v>
      </c>
      <c r="E690" s="24" t="s">
        <v>9</v>
      </c>
      <c r="F690" s="24">
        <v>8328</v>
      </c>
      <c r="G690" s="25">
        <v>41325</v>
      </c>
      <c r="H690" s="25">
        <v>42786</v>
      </c>
      <c r="I690" s="24" t="s">
        <v>16</v>
      </c>
      <c r="J690" s="24" t="s">
        <v>33</v>
      </c>
      <c r="K690" s="24" t="str">
        <f>IF(certifications[[#This Row],[ISSUE DATE]]="", "", TEXT(certifications[[#This Row],[ISSUE DATE]], "MMM"))</f>
        <v>Feb</v>
      </c>
      <c r="L690" s="35" t="str">
        <f>IF(certifications[[#This Row],[ISSUE DATE]]="", "", TEXT(certifications[[#This Row],[ISSUE DATE]], "YYYY"))</f>
        <v>2013</v>
      </c>
    </row>
    <row r="691" spans="1:12" s="29" customFormat="1" ht="23.95" customHeight="1" x14ac:dyDescent="0.3">
      <c r="A691" s="31"/>
      <c r="B691" s="24">
        <v>678</v>
      </c>
      <c r="C691" s="24" t="s">
        <v>776</v>
      </c>
      <c r="D691" s="24" t="s">
        <v>32</v>
      </c>
      <c r="E691" s="24" t="s">
        <v>9</v>
      </c>
      <c r="F691" s="24">
        <v>15338</v>
      </c>
      <c r="G691" s="25">
        <v>44041</v>
      </c>
      <c r="H691" s="25">
        <v>45502</v>
      </c>
      <c r="I691" s="24" t="s">
        <v>82</v>
      </c>
      <c r="J691" s="24" t="s">
        <v>33</v>
      </c>
      <c r="K691" s="24" t="str">
        <f>IF(certifications[[#This Row],[ISSUE DATE]]="", "", TEXT(certifications[[#This Row],[ISSUE DATE]], "MMM"))</f>
        <v>Jul</v>
      </c>
      <c r="L691" s="35" t="str">
        <f>IF(certifications[[#This Row],[ISSUE DATE]]="", "", TEXT(certifications[[#This Row],[ISSUE DATE]], "YYYY"))</f>
        <v>2020</v>
      </c>
    </row>
    <row r="692" spans="1:12" s="29" customFormat="1" ht="23.95" customHeight="1" x14ac:dyDescent="0.3">
      <c r="A692" s="31"/>
      <c r="B692" s="24">
        <v>679</v>
      </c>
      <c r="C692" s="24" t="s">
        <v>777</v>
      </c>
      <c r="D692" s="24" t="s">
        <v>778</v>
      </c>
      <c r="E692" s="24" t="s">
        <v>9</v>
      </c>
      <c r="F692" s="24">
        <v>13699</v>
      </c>
      <c r="G692" s="25">
        <v>43640</v>
      </c>
      <c r="H692" s="25">
        <v>44371</v>
      </c>
      <c r="I692" s="24" t="s">
        <v>16</v>
      </c>
      <c r="J692" s="24" t="s">
        <v>19</v>
      </c>
      <c r="K692" s="24" t="str">
        <f>IF(certifications[[#This Row],[ISSUE DATE]]="", "", TEXT(certifications[[#This Row],[ISSUE DATE]], "MMM"))</f>
        <v>Jun</v>
      </c>
      <c r="L692" s="35" t="str">
        <f>IF(certifications[[#This Row],[ISSUE DATE]]="", "", TEXT(certifications[[#This Row],[ISSUE DATE]], "YYYY"))</f>
        <v>2019</v>
      </c>
    </row>
    <row r="693" spans="1:12" s="29" customFormat="1" ht="23.95" customHeight="1" x14ac:dyDescent="0.3">
      <c r="A693" s="31"/>
      <c r="B693" s="24">
        <v>680</v>
      </c>
      <c r="C693" s="24" t="s">
        <v>779</v>
      </c>
      <c r="D693" s="24" t="s">
        <v>32</v>
      </c>
      <c r="E693" s="24" t="s">
        <v>9</v>
      </c>
      <c r="F693" s="24">
        <v>18062</v>
      </c>
      <c r="G693" s="25">
        <v>44890</v>
      </c>
      <c r="H693" s="25">
        <v>46351</v>
      </c>
      <c r="I693" s="24" t="s">
        <v>10</v>
      </c>
      <c r="J693" s="24" t="s">
        <v>33</v>
      </c>
      <c r="K693" s="24" t="str">
        <f>IF(certifications[[#This Row],[ISSUE DATE]]="", "", TEXT(certifications[[#This Row],[ISSUE DATE]], "MMM"))</f>
        <v>Nov</v>
      </c>
      <c r="L693" s="35" t="str">
        <f>IF(certifications[[#This Row],[ISSUE DATE]]="", "", TEXT(certifications[[#This Row],[ISSUE DATE]], "YYYY"))</f>
        <v>2022</v>
      </c>
    </row>
    <row r="694" spans="1:12" s="29" customFormat="1" ht="23.95" customHeight="1" x14ac:dyDescent="0.3">
      <c r="A694" s="31"/>
      <c r="B694" s="24">
        <v>681</v>
      </c>
      <c r="C694" s="24" t="s">
        <v>780</v>
      </c>
      <c r="D694" s="24" t="s">
        <v>32</v>
      </c>
      <c r="E694" s="24" t="s">
        <v>9</v>
      </c>
      <c r="F694" s="24">
        <v>8450</v>
      </c>
      <c r="G694" s="25">
        <v>41412</v>
      </c>
      <c r="H694" s="25">
        <v>42142</v>
      </c>
      <c r="I694" s="24" t="s">
        <v>16</v>
      </c>
      <c r="J694" s="24" t="s">
        <v>33</v>
      </c>
      <c r="K694" s="24" t="str">
        <f>IF(certifications[[#This Row],[ISSUE DATE]]="", "", TEXT(certifications[[#This Row],[ISSUE DATE]], "MMM"))</f>
        <v>May</v>
      </c>
      <c r="L694" s="35" t="str">
        <f>IF(certifications[[#This Row],[ISSUE DATE]]="", "", TEXT(certifications[[#This Row],[ISSUE DATE]], "YYYY"))</f>
        <v>2013</v>
      </c>
    </row>
    <row r="695" spans="1:12" s="29" customFormat="1" ht="23.95" customHeight="1" x14ac:dyDescent="0.3">
      <c r="A695" s="31"/>
      <c r="B695" s="24">
        <v>682</v>
      </c>
      <c r="C695" s="24" t="s">
        <v>781</v>
      </c>
      <c r="D695" s="24" t="s">
        <v>13</v>
      </c>
      <c r="E695" s="24" t="s">
        <v>9</v>
      </c>
      <c r="F695" s="24">
        <v>8684</v>
      </c>
      <c r="G695" s="25">
        <v>41603</v>
      </c>
      <c r="H695" s="25">
        <v>42333</v>
      </c>
      <c r="I695" s="24" t="s">
        <v>16</v>
      </c>
      <c r="J695" s="24" t="s">
        <v>14</v>
      </c>
      <c r="K695" s="24" t="str">
        <f>IF(certifications[[#This Row],[ISSUE DATE]]="", "", TEXT(certifications[[#This Row],[ISSUE DATE]], "MMM"))</f>
        <v>Nov</v>
      </c>
      <c r="L695" s="35" t="str">
        <f>IF(certifications[[#This Row],[ISSUE DATE]]="", "", TEXT(certifications[[#This Row],[ISSUE DATE]], "YYYY"))</f>
        <v>2013</v>
      </c>
    </row>
    <row r="696" spans="1:12" s="29" customFormat="1" ht="23.95" customHeight="1" x14ac:dyDescent="0.3">
      <c r="A696" s="31"/>
      <c r="B696" s="24">
        <v>683</v>
      </c>
      <c r="C696" s="24" t="s">
        <v>782</v>
      </c>
      <c r="D696" s="24" t="s">
        <v>200</v>
      </c>
      <c r="E696" s="24" t="s">
        <v>9</v>
      </c>
      <c r="F696" s="24">
        <v>21579</v>
      </c>
      <c r="G696" s="25">
        <v>45707</v>
      </c>
      <c r="H696" s="25">
        <v>46437</v>
      </c>
      <c r="I696" s="24" t="s">
        <v>10</v>
      </c>
      <c r="J696" s="24" t="s">
        <v>30</v>
      </c>
      <c r="K696" s="24" t="str">
        <f>IF(certifications[[#This Row],[ISSUE DATE]]="", "", TEXT(certifications[[#This Row],[ISSUE DATE]], "MMM"))</f>
        <v>Feb</v>
      </c>
      <c r="L696" s="35" t="str">
        <f>IF(certifications[[#This Row],[ISSUE DATE]]="", "", TEXT(certifications[[#This Row],[ISSUE DATE]], "YYYY"))</f>
        <v>2025</v>
      </c>
    </row>
    <row r="697" spans="1:12" s="29" customFormat="1" ht="23.95" customHeight="1" x14ac:dyDescent="0.3">
      <c r="A697" s="31"/>
      <c r="B697" s="24">
        <v>684</v>
      </c>
      <c r="C697" s="24" t="s">
        <v>783</v>
      </c>
      <c r="D697" s="24" t="s">
        <v>784</v>
      </c>
      <c r="E697" s="24" t="s">
        <v>9</v>
      </c>
      <c r="F697" s="24">
        <v>16613</v>
      </c>
      <c r="G697" s="25">
        <v>44377</v>
      </c>
      <c r="H697" s="25">
        <v>45107</v>
      </c>
      <c r="I697" s="24" t="s">
        <v>16</v>
      </c>
      <c r="J697" s="24" t="s">
        <v>11</v>
      </c>
      <c r="K697" s="24" t="str">
        <f>IF(certifications[[#This Row],[ISSUE DATE]]="", "", TEXT(certifications[[#This Row],[ISSUE DATE]], "MMM"))</f>
        <v>Jun</v>
      </c>
      <c r="L697" s="35" t="str">
        <f>IF(certifications[[#This Row],[ISSUE DATE]]="", "", TEXT(certifications[[#This Row],[ISSUE DATE]], "YYYY"))</f>
        <v>2021</v>
      </c>
    </row>
    <row r="698" spans="1:12" s="29" customFormat="1" ht="23.95" customHeight="1" x14ac:dyDescent="0.3">
      <c r="A698" s="31"/>
      <c r="B698" s="24">
        <v>685</v>
      </c>
      <c r="C698" s="24" t="s">
        <v>785</v>
      </c>
      <c r="D698" s="24" t="s">
        <v>160</v>
      </c>
      <c r="E698" s="24" t="s">
        <v>9</v>
      </c>
      <c r="F698" s="24">
        <v>9658</v>
      </c>
      <c r="G698" s="25">
        <v>42537</v>
      </c>
      <c r="H698" s="25">
        <v>43998</v>
      </c>
      <c r="I698" s="24" t="s">
        <v>16</v>
      </c>
      <c r="J698" s="24" t="s">
        <v>14</v>
      </c>
      <c r="K698" s="24" t="str">
        <f>IF(certifications[[#This Row],[ISSUE DATE]]="", "", TEXT(certifications[[#This Row],[ISSUE DATE]], "MMM"))</f>
        <v>Jun</v>
      </c>
      <c r="L698" s="35" t="str">
        <f>IF(certifications[[#This Row],[ISSUE DATE]]="", "", TEXT(certifications[[#This Row],[ISSUE DATE]], "YYYY"))</f>
        <v>2016</v>
      </c>
    </row>
    <row r="699" spans="1:12" s="29" customFormat="1" ht="23.95" customHeight="1" x14ac:dyDescent="0.3">
      <c r="A699" s="31"/>
      <c r="B699" s="24">
        <v>686</v>
      </c>
      <c r="C699" s="24" t="s">
        <v>786</v>
      </c>
      <c r="D699" s="24" t="s">
        <v>787</v>
      </c>
      <c r="E699" s="24" t="s">
        <v>9</v>
      </c>
      <c r="F699" s="24">
        <v>15355</v>
      </c>
      <c r="G699" s="25">
        <v>44172</v>
      </c>
      <c r="H699" s="25">
        <v>44902</v>
      </c>
      <c r="I699" s="24" t="s">
        <v>16</v>
      </c>
      <c r="J699" s="24" t="s">
        <v>30</v>
      </c>
      <c r="K699" s="24" t="str">
        <f>IF(certifications[[#This Row],[ISSUE DATE]]="", "", TEXT(certifications[[#This Row],[ISSUE DATE]], "MMM"))</f>
        <v>Dec</v>
      </c>
      <c r="L699" s="35" t="str">
        <f>IF(certifications[[#This Row],[ISSUE DATE]]="", "", TEXT(certifications[[#This Row],[ISSUE DATE]], "YYYY"))</f>
        <v>2020</v>
      </c>
    </row>
    <row r="700" spans="1:12" s="29" customFormat="1" ht="23.95" customHeight="1" x14ac:dyDescent="0.3">
      <c r="A700" s="31"/>
      <c r="B700" s="24">
        <v>687</v>
      </c>
      <c r="C700" s="24" t="s">
        <v>788</v>
      </c>
      <c r="D700" s="24" t="s">
        <v>32</v>
      </c>
      <c r="E700" s="24" t="s">
        <v>9</v>
      </c>
      <c r="F700" s="24">
        <v>18347</v>
      </c>
      <c r="G700" s="25">
        <v>44974</v>
      </c>
      <c r="H700" s="25">
        <v>46435</v>
      </c>
      <c r="I700" s="24" t="s">
        <v>10</v>
      </c>
      <c r="J700" s="24" t="s">
        <v>33</v>
      </c>
      <c r="K700" s="24" t="str">
        <f>IF(certifications[[#This Row],[ISSUE DATE]]="", "", TEXT(certifications[[#This Row],[ISSUE DATE]], "MMM"))</f>
        <v>Feb</v>
      </c>
      <c r="L700" s="35" t="str">
        <f>IF(certifications[[#This Row],[ISSUE DATE]]="", "", TEXT(certifications[[#This Row],[ISSUE DATE]], "YYYY"))</f>
        <v>2023</v>
      </c>
    </row>
    <row r="701" spans="1:12" s="29" customFormat="1" ht="23.95" customHeight="1" x14ac:dyDescent="0.3">
      <c r="A701" s="31"/>
      <c r="B701" s="24">
        <v>688</v>
      </c>
      <c r="C701" s="24" t="s">
        <v>789</v>
      </c>
      <c r="D701" s="24" t="s">
        <v>337</v>
      </c>
      <c r="E701" s="24" t="s">
        <v>9</v>
      </c>
      <c r="F701" s="24">
        <v>17768</v>
      </c>
      <c r="G701" s="25">
        <v>44791</v>
      </c>
      <c r="H701" s="25">
        <v>46252</v>
      </c>
      <c r="I701" s="24" t="s">
        <v>10</v>
      </c>
      <c r="J701" s="24" t="s">
        <v>30</v>
      </c>
      <c r="K701" s="24" t="str">
        <f>IF(certifications[[#This Row],[ISSUE DATE]]="", "", TEXT(certifications[[#This Row],[ISSUE DATE]], "MMM"))</f>
        <v>Aug</v>
      </c>
      <c r="L701" s="35" t="str">
        <f>IF(certifications[[#This Row],[ISSUE DATE]]="", "", TEXT(certifications[[#This Row],[ISSUE DATE]], "YYYY"))</f>
        <v>2022</v>
      </c>
    </row>
    <row r="702" spans="1:12" s="29" customFormat="1" ht="23.95" customHeight="1" x14ac:dyDescent="0.3">
      <c r="A702" s="31"/>
      <c r="B702" s="24">
        <v>689</v>
      </c>
      <c r="C702" s="24" t="s">
        <v>790</v>
      </c>
      <c r="D702" s="24" t="s">
        <v>46</v>
      </c>
      <c r="E702" s="24" t="s">
        <v>9</v>
      </c>
      <c r="F702" s="24">
        <v>9328</v>
      </c>
      <c r="G702" s="25">
        <v>42229</v>
      </c>
      <c r="H702" s="25">
        <v>45882</v>
      </c>
      <c r="I702" s="24" t="s">
        <v>10</v>
      </c>
      <c r="J702" s="24" t="s">
        <v>38</v>
      </c>
      <c r="K702" s="24" t="str">
        <f>IF(certifications[[#This Row],[ISSUE DATE]]="", "", TEXT(certifications[[#This Row],[ISSUE DATE]], "MMM"))</f>
        <v>Aug</v>
      </c>
      <c r="L702" s="35" t="str">
        <f>IF(certifications[[#This Row],[ISSUE DATE]]="", "", TEXT(certifications[[#This Row],[ISSUE DATE]], "YYYY"))</f>
        <v>2015</v>
      </c>
    </row>
    <row r="703" spans="1:12" s="29" customFormat="1" ht="23.95" customHeight="1" x14ac:dyDescent="0.3">
      <c r="A703" s="31"/>
      <c r="B703" s="24">
        <v>690</v>
      </c>
      <c r="C703" s="24" t="s">
        <v>790</v>
      </c>
      <c r="D703" s="24" t="s">
        <v>46</v>
      </c>
      <c r="E703" s="24" t="s">
        <v>26</v>
      </c>
      <c r="F703" s="24">
        <v>9328</v>
      </c>
      <c r="G703" s="25">
        <v>43417</v>
      </c>
      <c r="H703" s="25">
        <v>45882</v>
      </c>
      <c r="I703" s="24" t="s">
        <v>10</v>
      </c>
      <c r="J703" s="24" t="s">
        <v>38</v>
      </c>
      <c r="K703" s="24" t="str">
        <f>IF(certifications[[#This Row],[ISSUE DATE]]="", "", TEXT(certifications[[#This Row],[ISSUE DATE]], "MMM"))</f>
        <v>Nov</v>
      </c>
      <c r="L703" s="35" t="str">
        <f>IF(certifications[[#This Row],[ISSUE DATE]]="", "", TEXT(certifications[[#This Row],[ISSUE DATE]], "YYYY"))</f>
        <v>2018</v>
      </c>
    </row>
    <row r="704" spans="1:12" s="29" customFormat="1" ht="23.95" customHeight="1" x14ac:dyDescent="0.3">
      <c r="A704" s="31"/>
      <c r="B704" s="24">
        <v>691</v>
      </c>
      <c r="C704" s="24" t="s">
        <v>791</v>
      </c>
      <c r="D704" s="24" t="s">
        <v>8</v>
      </c>
      <c r="E704" s="24" t="s">
        <v>9</v>
      </c>
      <c r="F704" s="24">
        <v>10173</v>
      </c>
      <c r="G704" s="25">
        <v>42896</v>
      </c>
      <c r="H704" s="25">
        <v>46548</v>
      </c>
      <c r="I704" s="24" t="s">
        <v>10</v>
      </c>
      <c r="J704" s="24" t="s">
        <v>11</v>
      </c>
      <c r="K704" s="24" t="str">
        <f>IF(certifications[[#This Row],[ISSUE DATE]]="", "", TEXT(certifications[[#This Row],[ISSUE DATE]], "MMM"))</f>
        <v>Jun</v>
      </c>
      <c r="L704" s="35" t="str">
        <f>IF(certifications[[#This Row],[ISSUE DATE]]="", "", TEXT(certifications[[#This Row],[ISSUE DATE]], "YYYY"))</f>
        <v>2017</v>
      </c>
    </row>
    <row r="705" spans="1:12" s="29" customFormat="1" ht="23.95" customHeight="1" x14ac:dyDescent="0.3">
      <c r="A705" s="31"/>
      <c r="B705" s="24">
        <v>692</v>
      </c>
      <c r="C705" s="24" t="s">
        <v>792</v>
      </c>
      <c r="D705" s="24" t="s">
        <v>80</v>
      </c>
      <c r="E705" s="24" t="s">
        <v>9</v>
      </c>
      <c r="F705" s="24">
        <v>10023</v>
      </c>
      <c r="G705" s="25">
        <v>42766</v>
      </c>
      <c r="H705" s="25">
        <v>46418</v>
      </c>
      <c r="I705" s="24" t="s">
        <v>10</v>
      </c>
      <c r="J705" s="24" t="s">
        <v>38</v>
      </c>
      <c r="K705" s="24" t="str">
        <f>IF(certifications[[#This Row],[ISSUE DATE]]="", "", TEXT(certifications[[#This Row],[ISSUE DATE]], "MMM"))</f>
        <v>Jan</v>
      </c>
      <c r="L705" s="35" t="str">
        <f>IF(certifications[[#This Row],[ISSUE DATE]]="", "", TEXT(certifications[[#This Row],[ISSUE DATE]], "YYYY"))</f>
        <v>2017</v>
      </c>
    </row>
    <row r="706" spans="1:12" s="29" customFormat="1" ht="23.95" customHeight="1" x14ac:dyDescent="0.3">
      <c r="A706" s="31"/>
      <c r="B706" s="24">
        <v>693</v>
      </c>
      <c r="C706" s="3" t="s">
        <v>792</v>
      </c>
      <c r="D706" s="3" t="s">
        <v>80</v>
      </c>
      <c r="E706" s="3" t="s">
        <v>27</v>
      </c>
      <c r="F706" s="3">
        <v>10023</v>
      </c>
      <c r="G706" s="4">
        <v>44286</v>
      </c>
      <c r="H706" s="4">
        <v>46418</v>
      </c>
      <c r="I706" s="3" t="s">
        <v>10</v>
      </c>
      <c r="J706" s="3" t="s">
        <v>38</v>
      </c>
      <c r="K706" s="3" t="str">
        <f>IF(certifications[[#This Row],[ISSUE DATE]]="", "", TEXT(certifications[[#This Row],[ISSUE DATE]], "MMM"))</f>
        <v>Mar</v>
      </c>
      <c r="L706" s="36" t="str">
        <f>IF(certifications[[#This Row],[ISSUE DATE]]="", "", TEXT(certifications[[#This Row],[ISSUE DATE]], "YYYY"))</f>
        <v>2021</v>
      </c>
    </row>
    <row r="707" spans="1:12" s="29" customFormat="1" ht="23.95" customHeight="1" x14ac:dyDescent="0.3">
      <c r="A707" s="31"/>
      <c r="B707" s="24">
        <v>694</v>
      </c>
      <c r="C707" s="24" t="s">
        <v>793</v>
      </c>
      <c r="D707" s="24" t="s">
        <v>32</v>
      </c>
      <c r="E707" s="24" t="s">
        <v>9</v>
      </c>
      <c r="F707" s="24">
        <v>21574</v>
      </c>
      <c r="G707" s="25">
        <v>45707</v>
      </c>
      <c r="H707" s="25">
        <v>46437</v>
      </c>
      <c r="I707" s="24" t="s">
        <v>10</v>
      </c>
      <c r="J707" s="24" t="s">
        <v>33</v>
      </c>
      <c r="K707" s="24" t="str">
        <f>IF(certifications[[#This Row],[ISSUE DATE]]="", "", TEXT(certifications[[#This Row],[ISSUE DATE]], "MMM"))</f>
        <v>Feb</v>
      </c>
      <c r="L707" s="35" t="str">
        <f>IF(certifications[[#This Row],[ISSUE DATE]]="", "", TEXT(certifications[[#This Row],[ISSUE DATE]], "YYYY"))</f>
        <v>2025</v>
      </c>
    </row>
    <row r="708" spans="1:12" s="29" customFormat="1" ht="23.95" customHeight="1" x14ac:dyDescent="0.3">
      <c r="A708" s="31"/>
      <c r="B708" s="24">
        <v>695</v>
      </c>
      <c r="C708" s="24" t="s">
        <v>794</v>
      </c>
      <c r="D708" s="24" t="s">
        <v>593</v>
      </c>
      <c r="E708" s="24" t="s">
        <v>9</v>
      </c>
      <c r="F708" s="24">
        <v>20008</v>
      </c>
      <c r="G708" s="25">
        <v>45363</v>
      </c>
      <c r="H708" s="25">
        <v>46093</v>
      </c>
      <c r="I708" s="24" t="s">
        <v>10</v>
      </c>
      <c r="J708" s="24" t="s">
        <v>30</v>
      </c>
      <c r="K708" s="24" t="str">
        <f>IF(certifications[[#This Row],[ISSUE DATE]]="", "", TEXT(certifications[[#This Row],[ISSUE DATE]], "MMM"))</f>
        <v>Mar</v>
      </c>
      <c r="L708" s="35" t="str">
        <f>IF(certifications[[#This Row],[ISSUE DATE]]="", "", TEXT(certifications[[#This Row],[ISSUE DATE]], "YYYY"))</f>
        <v>2024</v>
      </c>
    </row>
    <row r="709" spans="1:12" s="29" customFormat="1" ht="23.95" customHeight="1" x14ac:dyDescent="0.3">
      <c r="A709" s="31"/>
      <c r="B709" s="24">
        <v>696</v>
      </c>
      <c r="C709" s="24" t="s">
        <v>795</v>
      </c>
      <c r="D709" s="24" t="s">
        <v>32</v>
      </c>
      <c r="E709" s="24" t="s">
        <v>9</v>
      </c>
      <c r="F709" s="24">
        <v>18308</v>
      </c>
      <c r="G709" s="25">
        <v>44971</v>
      </c>
      <c r="H709" s="25">
        <v>45702</v>
      </c>
      <c r="I709" s="24" t="s">
        <v>82</v>
      </c>
      <c r="J709" s="24" t="s">
        <v>33</v>
      </c>
      <c r="K709" s="24" t="str">
        <f>IF(certifications[[#This Row],[ISSUE DATE]]="", "", TEXT(certifications[[#This Row],[ISSUE DATE]], "MMM"))</f>
        <v>Feb</v>
      </c>
      <c r="L709" s="35" t="str">
        <f>IF(certifications[[#This Row],[ISSUE DATE]]="", "", TEXT(certifications[[#This Row],[ISSUE DATE]], "YYYY"))</f>
        <v>2023</v>
      </c>
    </row>
    <row r="710" spans="1:12" s="29" customFormat="1" ht="23.95" customHeight="1" x14ac:dyDescent="0.3">
      <c r="A710" s="31"/>
      <c r="B710" s="24">
        <v>697</v>
      </c>
      <c r="C710" s="24" t="s">
        <v>796</v>
      </c>
      <c r="D710" s="24" t="s">
        <v>13</v>
      </c>
      <c r="E710" s="24" t="s">
        <v>9</v>
      </c>
      <c r="F710" s="24">
        <v>12350</v>
      </c>
      <c r="G710" s="25">
        <v>44544</v>
      </c>
      <c r="H710" s="25">
        <v>46290</v>
      </c>
      <c r="I710" s="24" t="s">
        <v>10</v>
      </c>
      <c r="J710" s="24" t="s">
        <v>14</v>
      </c>
      <c r="K710" s="24" t="str">
        <f>IF(certifications[[#This Row],[ISSUE DATE]]="", "", TEXT(certifications[[#This Row],[ISSUE DATE]], "MMM"))</f>
        <v>Dec</v>
      </c>
      <c r="L710" s="35" t="str">
        <f>IF(certifications[[#This Row],[ISSUE DATE]]="", "", TEXT(certifications[[#This Row],[ISSUE DATE]], "YYYY"))</f>
        <v>2021</v>
      </c>
    </row>
    <row r="711" spans="1:12" s="29" customFormat="1" ht="23.95" customHeight="1" x14ac:dyDescent="0.3">
      <c r="A711" s="31"/>
      <c r="B711" s="24">
        <v>698</v>
      </c>
      <c r="C711" s="24" t="s">
        <v>796</v>
      </c>
      <c r="D711" s="24" t="s">
        <v>13</v>
      </c>
      <c r="E711" s="24" t="s">
        <v>26</v>
      </c>
      <c r="F711" s="24">
        <v>12350</v>
      </c>
      <c r="G711" s="25">
        <v>43368</v>
      </c>
      <c r="H711" s="25">
        <v>46290</v>
      </c>
      <c r="I711" s="24" t="s">
        <v>10</v>
      </c>
      <c r="J711" s="24" t="s">
        <v>14</v>
      </c>
      <c r="K711" s="24" t="str">
        <f>IF(certifications[[#This Row],[ISSUE DATE]]="", "", TEXT(certifications[[#This Row],[ISSUE DATE]], "MMM"))</f>
        <v>Sep</v>
      </c>
      <c r="L711" s="35" t="str">
        <f>IF(certifications[[#This Row],[ISSUE DATE]]="", "", TEXT(certifications[[#This Row],[ISSUE DATE]], "YYYY"))</f>
        <v>2018</v>
      </c>
    </row>
    <row r="712" spans="1:12" s="29" customFormat="1" ht="23.95" customHeight="1" x14ac:dyDescent="0.3">
      <c r="A712" s="31"/>
      <c r="B712" s="24">
        <v>699</v>
      </c>
      <c r="C712" s="24" t="s">
        <v>797</v>
      </c>
      <c r="D712" s="24" t="s">
        <v>32</v>
      </c>
      <c r="E712" s="24" t="s">
        <v>9</v>
      </c>
      <c r="F712" s="24">
        <v>16531</v>
      </c>
      <c r="G712" s="25">
        <v>44372</v>
      </c>
      <c r="H712" s="25">
        <v>45102</v>
      </c>
      <c r="I712" s="24" t="s">
        <v>16</v>
      </c>
      <c r="J712" s="24" t="s">
        <v>33</v>
      </c>
      <c r="K712" s="24" t="str">
        <f>IF(certifications[[#This Row],[ISSUE DATE]]="", "", TEXT(certifications[[#This Row],[ISSUE DATE]], "MMM"))</f>
        <v>Jun</v>
      </c>
      <c r="L712" s="35" t="str">
        <f>IF(certifications[[#This Row],[ISSUE DATE]]="", "", TEXT(certifications[[#This Row],[ISSUE DATE]], "YYYY"))</f>
        <v>2021</v>
      </c>
    </row>
    <row r="713" spans="1:12" s="29" customFormat="1" ht="23.95" customHeight="1" x14ac:dyDescent="0.3">
      <c r="A713" s="31"/>
      <c r="B713" s="24">
        <v>700</v>
      </c>
      <c r="C713" s="24" t="s">
        <v>798</v>
      </c>
      <c r="D713" s="24" t="s">
        <v>32</v>
      </c>
      <c r="E713" s="24" t="s">
        <v>9</v>
      </c>
      <c r="F713" s="24">
        <v>8073</v>
      </c>
      <c r="G713" s="25">
        <v>41002</v>
      </c>
      <c r="H713" s="25">
        <v>41732</v>
      </c>
      <c r="I713" s="24" t="s">
        <v>16</v>
      </c>
      <c r="J713" s="24" t="s">
        <v>33</v>
      </c>
      <c r="K713" s="24" t="str">
        <f>IF(certifications[[#This Row],[ISSUE DATE]]="", "", TEXT(certifications[[#This Row],[ISSUE DATE]], "MMM"))</f>
        <v>Apr</v>
      </c>
      <c r="L713" s="35" t="str">
        <f>IF(certifications[[#This Row],[ISSUE DATE]]="", "", TEXT(certifications[[#This Row],[ISSUE DATE]], "YYYY"))</f>
        <v>2012</v>
      </c>
    </row>
    <row r="714" spans="1:12" s="29" customFormat="1" ht="23.95" customHeight="1" x14ac:dyDescent="0.3">
      <c r="A714" s="31"/>
      <c r="B714" s="24">
        <v>701</v>
      </c>
      <c r="C714" s="24" t="s">
        <v>799</v>
      </c>
      <c r="D714" s="24" t="s">
        <v>32</v>
      </c>
      <c r="E714" s="24" t="s">
        <v>9</v>
      </c>
      <c r="F714" s="24">
        <v>8326</v>
      </c>
      <c r="G714" s="25">
        <v>41325</v>
      </c>
      <c r="H714" s="25">
        <v>43516</v>
      </c>
      <c r="I714" s="24" t="s">
        <v>16</v>
      </c>
      <c r="J714" s="24" t="s">
        <v>33</v>
      </c>
      <c r="K714" s="24" t="str">
        <f>IF(certifications[[#This Row],[ISSUE DATE]]="", "", TEXT(certifications[[#This Row],[ISSUE DATE]], "MMM"))</f>
        <v>Feb</v>
      </c>
      <c r="L714" s="35" t="str">
        <f>IF(certifications[[#This Row],[ISSUE DATE]]="", "", TEXT(certifications[[#This Row],[ISSUE DATE]], "YYYY"))</f>
        <v>2013</v>
      </c>
    </row>
    <row r="715" spans="1:12" s="29" customFormat="1" ht="23.95" customHeight="1" x14ac:dyDescent="0.3">
      <c r="A715" s="31"/>
      <c r="B715" s="24">
        <v>702</v>
      </c>
      <c r="C715" s="24" t="s">
        <v>800</v>
      </c>
      <c r="D715" s="24" t="s">
        <v>363</v>
      </c>
      <c r="E715" s="24" t="s">
        <v>9</v>
      </c>
      <c r="F715" s="24">
        <v>13714</v>
      </c>
      <c r="G715" s="25">
        <v>43640</v>
      </c>
      <c r="H715" s="25">
        <v>45832</v>
      </c>
      <c r="I715" s="24" t="s">
        <v>10</v>
      </c>
      <c r="J715" s="24" t="s">
        <v>19</v>
      </c>
      <c r="K715" s="24" t="str">
        <f>IF(certifications[[#This Row],[ISSUE DATE]]="", "", TEXT(certifications[[#This Row],[ISSUE DATE]], "MMM"))</f>
        <v>Jun</v>
      </c>
      <c r="L715" s="35" t="str">
        <f>IF(certifications[[#This Row],[ISSUE DATE]]="", "", TEXT(certifications[[#This Row],[ISSUE DATE]], "YYYY"))</f>
        <v>2019</v>
      </c>
    </row>
    <row r="716" spans="1:12" s="29" customFormat="1" ht="23.95" customHeight="1" x14ac:dyDescent="0.3">
      <c r="A716" s="31"/>
      <c r="B716" s="24">
        <v>703</v>
      </c>
      <c r="C716" s="24" t="s">
        <v>801</v>
      </c>
      <c r="D716" s="24" t="s">
        <v>13</v>
      </c>
      <c r="E716" s="24" t="s">
        <v>9</v>
      </c>
      <c r="F716" s="24">
        <v>10295</v>
      </c>
      <c r="G716" s="25">
        <v>42915</v>
      </c>
      <c r="H716" s="25">
        <v>43645</v>
      </c>
      <c r="I716" s="24" t="s">
        <v>16</v>
      </c>
      <c r="J716" s="24" t="s">
        <v>14</v>
      </c>
      <c r="K716" s="24" t="str">
        <f>IF(certifications[[#This Row],[ISSUE DATE]]="", "", TEXT(certifications[[#This Row],[ISSUE DATE]], "MMM"))</f>
        <v>Jun</v>
      </c>
      <c r="L716" s="35" t="str">
        <f>IF(certifications[[#This Row],[ISSUE DATE]]="", "", TEXT(certifications[[#This Row],[ISSUE DATE]], "YYYY"))</f>
        <v>2017</v>
      </c>
    </row>
    <row r="717" spans="1:12" s="29" customFormat="1" ht="23.95" customHeight="1" x14ac:dyDescent="0.3">
      <c r="A717" s="31"/>
      <c r="B717" s="24">
        <v>704</v>
      </c>
      <c r="C717" s="24" t="s">
        <v>802</v>
      </c>
      <c r="D717" s="24" t="s">
        <v>109</v>
      </c>
      <c r="E717" s="24" t="s">
        <v>9</v>
      </c>
      <c r="F717" s="24">
        <v>16296</v>
      </c>
      <c r="G717" s="25">
        <v>45003</v>
      </c>
      <c r="H717" s="25">
        <v>46464</v>
      </c>
      <c r="I717" s="24" t="s">
        <v>10</v>
      </c>
      <c r="J717" s="24" t="s">
        <v>38</v>
      </c>
      <c r="K717" s="24" t="str">
        <f>IF(certifications[[#This Row],[ISSUE DATE]]="", "", TEXT(certifications[[#This Row],[ISSUE DATE]], "MMM"))</f>
        <v>Mar</v>
      </c>
      <c r="L717" s="35" t="str">
        <f>IF(certifications[[#This Row],[ISSUE DATE]]="", "", TEXT(certifications[[#This Row],[ISSUE DATE]], "YYYY"))</f>
        <v>2023</v>
      </c>
    </row>
    <row r="718" spans="1:12" s="29" customFormat="1" ht="23.95" customHeight="1" x14ac:dyDescent="0.3">
      <c r="A718" s="31"/>
      <c r="B718" s="24">
        <v>705</v>
      </c>
      <c r="C718" s="24" t="s">
        <v>802</v>
      </c>
      <c r="D718" s="24" t="s">
        <v>109</v>
      </c>
      <c r="E718" s="24" t="s">
        <v>26</v>
      </c>
      <c r="F718" s="24">
        <v>16296</v>
      </c>
      <c r="G718" s="25">
        <v>44350</v>
      </c>
      <c r="H718" s="25">
        <v>46541</v>
      </c>
      <c r="I718" s="24" t="s">
        <v>10</v>
      </c>
      <c r="J718" s="24" t="s">
        <v>38</v>
      </c>
      <c r="K718" s="24" t="str">
        <f>IF(certifications[[#This Row],[ISSUE DATE]]="", "", TEXT(certifications[[#This Row],[ISSUE DATE]], "MMM"))</f>
        <v>Jun</v>
      </c>
      <c r="L718" s="35" t="str">
        <f>IF(certifications[[#This Row],[ISSUE DATE]]="", "", TEXT(certifications[[#This Row],[ISSUE DATE]], "YYYY"))</f>
        <v>2021</v>
      </c>
    </row>
    <row r="719" spans="1:12" s="29" customFormat="1" ht="23.95" customHeight="1" x14ac:dyDescent="0.3">
      <c r="A719" s="31"/>
      <c r="B719" s="24">
        <v>706</v>
      </c>
      <c r="C719" s="24" t="s">
        <v>803</v>
      </c>
      <c r="D719" s="24" t="s">
        <v>53</v>
      </c>
      <c r="E719" s="24" t="s">
        <v>9</v>
      </c>
      <c r="F719" s="24">
        <v>12210</v>
      </c>
      <c r="G719" s="25">
        <v>43546</v>
      </c>
      <c r="H719" s="25">
        <v>44277</v>
      </c>
      <c r="I719" s="24" t="s">
        <v>16</v>
      </c>
      <c r="J719" s="24" t="s">
        <v>25</v>
      </c>
      <c r="K719" s="24" t="str">
        <f>IF(certifications[[#This Row],[ISSUE DATE]]="", "", TEXT(certifications[[#This Row],[ISSUE DATE]], "MMM"))</f>
        <v>Mar</v>
      </c>
      <c r="L719" s="35" t="str">
        <f>IF(certifications[[#This Row],[ISSUE DATE]]="", "", TEXT(certifications[[#This Row],[ISSUE DATE]], "YYYY"))</f>
        <v>2019</v>
      </c>
    </row>
    <row r="720" spans="1:12" s="29" customFormat="1" ht="23.95" customHeight="1" x14ac:dyDescent="0.3">
      <c r="A720" s="31"/>
      <c r="B720" s="24">
        <v>707</v>
      </c>
      <c r="C720" s="24" t="s">
        <v>804</v>
      </c>
      <c r="D720" s="24" t="s">
        <v>32</v>
      </c>
      <c r="E720" s="24" t="s">
        <v>9</v>
      </c>
      <c r="F720" s="24">
        <v>19962</v>
      </c>
      <c r="G720" s="25">
        <v>45801</v>
      </c>
      <c r="H720" s="25">
        <v>46531</v>
      </c>
      <c r="I720" s="24" t="s">
        <v>10</v>
      </c>
      <c r="J720" s="24" t="s">
        <v>33</v>
      </c>
      <c r="K720" s="24" t="str">
        <f>IF(certifications[[#This Row],[ISSUE DATE]]="", "", TEXT(certifications[[#This Row],[ISSUE DATE]], "MMM"))</f>
        <v>May</v>
      </c>
      <c r="L720" s="35" t="str">
        <f>IF(certifications[[#This Row],[ISSUE DATE]]="", "", TEXT(certifications[[#This Row],[ISSUE DATE]], "YYYY"))</f>
        <v>2025</v>
      </c>
    </row>
    <row r="721" spans="1:12" s="29" customFormat="1" ht="23.95" customHeight="1" x14ac:dyDescent="0.3">
      <c r="A721" s="31"/>
      <c r="B721" s="24">
        <v>708</v>
      </c>
      <c r="C721" s="24" t="s">
        <v>805</v>
      </c>
      <c r="D721" s="24" t="s">
        <v>806</v>
      </c>
      <c r="E721" s="24" t="s">
        <v>9</v>
      </c>
      <c r="F721" s="24">
        <v>7974</v>
      </c>
      <c r="G721" s="25">
        <v>40897</v>
      </c>
      <c r="H721" s="25">
        <v>41628</v>
      </c>
      <c r="I721" s="24" t="s">
        <v>16</v>
      </c>
      <c r="J721" s="24" t="s">
        <v>22</v>
      </c>
      <c r="K721" s="24" t="str">
        <f>IF(certifications[[#This Row],[ISSUE DATE]]="", "", TEXT(certifications[[#This Row],[ISSUE DATE]], "MMM"))</f>
        <v>Dec</v>
      </c>
      <c r="L721" s="35" t="str">
        <f>IF(certifications[[#This Row],[ISSUE DATE]]="", "", TEXT(certifications[[#This Row],[ISSUE DATE]], "YYYY"))</f>
        <v>2011</v>
      </c>
    </row>
    <row r="722" spans="1:12" s="29" customFormat="1" ht="23.95" customHeight="1" x14ac:dyDescent="0.3">
      <c r="A722" s="31"/>
      <c r="B722" s="24">
        <v>709</v>
      </c>
      <c r="C722" s="24" t="s">
        <v>807</v>
      </c>
      <c r="D722" s="24" t="s">
        <v>13</v>
      </c>
      <c r="E722" s="24" t="s">
        <v>9</v>
      </c>
      <c r="F722" s="24">
        <v>20505</v>
      </c>
      <c r="G722" s="25">
        <v>45469</v>
      </c>
      <c r="H722" s="25">
        <v>46199</v>
      </c>
      <c r="I722" s="24" t="s">
        <v>10</v>
      </c>
      <c r="J722" s="24" t="s">
        <v>14</v>
      </c>
      <c r="K722" s="24" t="str">
        <f>IF(certifications[[#This Row],[ISSUE DATE]]="", "", TEXT(certifications[[#This Row],[ISSUE DATE]], "MMM"))</f>
        <v>Jun</v>
      </c>
      <c r="L722" s="35" t="str">
        <f>IF(certifications[[#This Row],[ISSUE DATE]]="", "", TEXT(certifications[[#This Row],[ISSUE DATE]], "YYYY"))</f>
        <v>2024</v>
      </c>
    </row>
    <row r="723" spans="1:12" s="29" customFormat="1" ht="23.95" customHeight="1" x14ac:dyDescent="0.3">
      <c r="A723" s="31"/>
      <c r="B723" s="24">
        <v>710</v>
      </c>
      <c r="C723" s="24" t="s">
        <v>808</v>
      </c>
      <c r="D723" s="24" t="s">
        <v>515</v>
      </c>
      <c r="E723" s="24" t="s">
        <v>9</v>
      </c>
      <c r="F723" s="24">
        <v>9428</v>
      </c>
      <c r="G723" s="25">
        <v>42341</v>
      </c>
      <c r="H723" s="25">
        <v>43072</v>
      </c>
      <c r="I723" s="24" t="s">
        <v>16</v>
      </c>
      <c r="J723" s="24" t="s">
        <v>14</v>
      </c>
      <c r="K723" s="24" t="str">
        <f>IF(certifications[[#This Row],[ISSUE DATE]]="", "", TEXT(certifications[[#This Row],[ISSUE DATE]], "MMM"))</f>
        <v>Dec</v>
      </c>
      <c r="L723" s="35" t="str">
        <f>IF(certifications[[#This Row],[ISSUE DATE]]="", "", TEXT(certifications[[#This Row],[ISSUE DATE]], "YYYY"))</f>
        <v>2015</v>
      </c>
    </row>
    <row r="724" spans="1:12" s="29" customFormat="1" ht="23.95" customHeight="1" x14ac:dyDescent="0.3">
      <c r="A724" s="31"/>
      <c r="B724" s="24">
        <v>711</v>
      </c>
      <c r="C724" s="24" t="s">
        <v>809</v>
      </c>
      <c r="D724" s="24" t="s">
        <v>32</v>
      </c>
      <c r="E724" s="24" t="s">
        <v>9</v>
      </c>
      <c r="F724" s="24">
        <v>12692</v>
      </c>
      <c r="G724" s="25">
        <v>43474</v>
      </c>
      <c r="H724" s="25">
        <v>44205</v>
      </c>
      <c r="I724" s="24" t="s">
        <v>16</v>
      </c>
      <c r="J724" s="24" t="s">
        <v>33</v>
      </c>
      <c r="K724" s="24" t="str">
        <f>IF(certifications[[#This Row],[ISSUE DATE]]="", "", TEXT(certifications[[#This Row],[ISSUE DATE]], "MMM"))</f>
        <v>Jan</v>
      </c>
      <c r="L724" s="35" t="str">
        <f>IF(certifications[[#This Row],[ISSUE DATE]]="", "", TEXT(certifications[[#This Row],[ISSUE DATE]], "YYYY"))</f>
        <v>2019</v>
      </c>
    </row>
    <row r="725" spans="1:12" s="29" customFormat="1" ht="23.95" customHeight="1" x14ac:dyDescent="0.3">
      <c r="A725" s="31"/>
      <c r="B725" s="24">
        <v>712</v>
      </c>
      <c r="C725" s="24" t="s">
        <v>810</v>
      </c>
      <c r="D725" s="24" t="s">
        <v>102</v>
      </c>
      <c r="E725" s="24" t="s">
        <v>9</v>
      </c>
      <c r="F725" s="24">
        <v>17897</v>
      </c>
      <c r="G725" s="25">
        <v>44839</v>
      </c>
      <c r="H725" s="25">
        <v>46300</v>
      </c>
      <c r="I725" s="24" t="s">
        <v>10</v>
      </c>
      <c r="J725" s="24" t="s">
        <v>38</v>
      </c>
      <c r="K725" s="24" t="str">
        <f>IF(certifications[[#This Row],[ISSUE DATE]]="", "", TEXT(certifications[[#This Row],[ISSUE DATE]], "MMM"))</f>
        <v>Oct</v>
      </c>
      <c r="L725" s="35" t="str">
        <f>IF(certifications[[#This Row],[ISSUE DATE]]="", "", TEXT(certifications[[#This Row],[ISSUE DATE]], "YYYY"))</f>
        <v>2022</v>
      </c>
    </row>
    <row r="726" spans="1:12" s="29" customFormat="1" ht="23.95" customHeight="1" x14ac:dyDescent="0.3">
      <c r="A726" s="31"/>
      <c r="B726" s="24">
        <v>713</v>
      </c>
      <c r="C726" s="24" t="s">
        <v>811</v>
      </c>
      <c r="D726" s="24" t="s">
        <v>13</v>
      </c>
      <c r="E726" s="24" t="s">
        <v>9</v>
      </c>
      <c r="F726" s="24">
        <v>18172</v>
      </c>
      <c r="G726" s="25">
        <v>44922</v>
      </c>
      <c r="H726" s="25">
        <v>45653</v>
      </c>
      <c r="I726" s="24" t="s">
        <v>82</v>
      </c>
      <c r="J726" s="24" t="s">
        <v>14</v>
      </c>
      <c r="K726" s="24" t="str">
        <f>IF(certifications[[#This Row],[ISSUE DATE]]="", "", TEXT(certifications[[#This Row],[ISSUE DATE]], "MMM"))</f>
        <v>Dec</v>
      </c>
      <c r="L726" s="35" t="str">
        <f>IF(certifications[[#This Row],[ISSUE DATE]]="", "", TEXT(certifications[[#This Row],[ISSUE DATE]], "YYYY"))</f>
        <v>2022</v>
      </c>
    </row>
    <row r="727" spans="1:12" s="29" customFormat="1" ht="23.95" customHeight="1" x14ac:dyDescent="0.3">
      <c r="A727" s="31"/>
      <c r="B727" s="24">
        <v>714</v>
      </c>
      <c r="C727" s="24" t="s">
        <v>812</v>
      </c>
      <c r="D727" s="24" t="s">
        <v>813</v>
      </c>
      <c r="E727" s="24" t="s">
        <v>9</v>
      </c>
      <c r="F727" s="24">
        <v>12783</v>
      </c>
      <c r="G727" s="25">
        <v>43490</v>
      </c>
      <c r="H727" s="25">
        <v>44221</v>
      </c>
      <c r="I727" s="24" t="s">
        <v>16</v>
      </c>
      <c r="J727" s="24" t="s">
        <v>22</v>
      </c>
      <c r="K727" s="24" t="str">
        <f>IF(certifications[[#This Row],[ISSUE DATE]]="", "", TEXT(certifications[[#This Row],[ISSUE DATE]], "MMM"))</f>
        <v>Jan</v>
      </c>
      <c r="L727" s="35" t="str">
        <f>IF(certifications[[#This Row],[ISSUE DATE]]="", "", TEXT(certifications[[#This Row],[ISSUE DATE]], "YYYY"))</f>
        <v>2019</v>
      </c>
    </row>
    <row r="728" spans="1:12" s="29" customFormat="1" ht="23.95" customHeight="1" x14ac:dyDescent="0.3">
      <c r="A728" s="31"/>
      <c r="B728" s="24">
        <v>715</v>
      </c>
      <c r="C728" s="24" t="s">
        <v>814</v>
      </c>
      <c r="D728" s="24" t="s">
        <v>153</v>
      </c>
      <c r="E728" s="24" t="s">
        <v>9</v>
      </c>
      <c r="F728" s="24">
        <v>11284</v>
      </c>
      <c r="G728" s="25">
        <v>44418</v>
      </c>
      <c r="H728" s="25">
        <v>45879</v>
      </c>
      <c r="I728" s="24" t="s">
        <v>10</v>
      </c>
      <c r="J728" s="24" t="s">
        <v>22</v>
      </c>
      <c r="K728" s="24" t="str">
        <f>IF(certifications[[#This Row],[ISSUE DATE]]="", "", TEXT(certifications[[#This Row],[ISSUE DATE]], "MMM"))</f>
        <v>Aug</v>
      </c>
      <c r="L728" s="35" t="str">
        <f>IF(certifications[[#This Row],[ISSUE DATE]]="", "", TEXT(certifications[[#This Row],[ISSUE DATE]], "YYYY"))</f>
        <v>2021</v>
      </c>
    </row>
    <row r="729" spans="1:12" s="29" customFormat="1" ht="23.95" customHeight="1" x14ac:dyDescent="0.3">
      <c r="A729" s="31"/>
      <c r="B729" s="24">
        <v>716</v>
      </c>
      <c r="C729" s="24" t="s">
        <v>815</v>
      </c>
      <c r="D729" s="24" t="s">
        <v>32</v>
      </c>
      <c r="E729" s="24" t="s">
        <v>9</v>
      </c>
      <c r="F729" s="24">
        <v>8461</v>
      </c>
      <c r="G729" s="25">
        <v>41412</v>
      </c>
      <c r="H729" s="25">
        <v>42142</v>
      </c>
      <c r="I729" s="24" t="s">
        <v>16</v>
      </c>
      <c r="J729" s="24" t="s">
        <v>33</v>
      </c>
      <c r="K729" s="24" t="str">
        <f>IF(certifications[[#This Row],[ISSUE DATE]]="", "", TEXT(certifications[[#This Row],[ISSUE DATE]], "MMM"))</f>
        <v>May</v>
      </c>
      <c r="L729" s="35" t="str">
        <f>IF(certifications[[#This Row],[ISSUE DATE]]="", "", TEXT(certifications[[#This Row],[ISSUE DATE]], "YYYY"))</f>
        <v>2013</v>
      </c>
    </row>
    <row r="730" spans="1:12" s="29" customFormat="1" ht="23.95" customHeight="1" x14ac:dyDescent="0.3">
      <c r="A730" s="31"/>
      <c r="B730" s="24">
        <v>717</v>
      </c>
      <c r="C730" s="24" t="s">
        <v>816</v>
      </c>
      <c r="D730" s="24" t="s">
        <v>107</v>
      </c>
      <c r="E730" s="24" t="s">
        <v>9</v>
      </c>
      <c r="F730" s="24">
        <v>7257</v>
      </c>
      <c r="G730" s="25">
        <v>39976</v>
      </c>
      <c r="H730" s="25">
        <v>42167</v>
      </c>
      <c r="I730" s="24" t="s">
        <v>16</v>
      </c>
      <c r="J730" s="24" t="s">
        <v>25</v>
      </c>
      <c r="K730" s="24" t="str">
        <f>IF(certifications[[#This Row],[ISSUE DATE]]="", "", TEXT(certifications[[#This Row],[ISSUE DATE]], "MMM"))</f>
        <v>Jun</v>
      </c>
      <c r="L730" s="35" t="str">
        <f>IF(certifications[[#This Row],[ISSUE DATE]]="", "", TEXT(certifications[[#This Row],[ISSUE DATE]], "YYYY"))</f>
        <v>2009</v>
      </c>
    </row>
    <row r="731" spans="1:12" s="29" customFormat="1" ht="23.95" customHeight="1" x14ac:dyDescent="0.3">
      <c r="A731" s="31"/>
      <c r="B731" s="24">
        <v>718</v>
      </c>
      <c r="C731" s="24" t="s">
        <v>817</v>
      </c>
      <c r="D731" s="24" t="s">
        <v>13</v>
      </c>
      <c r="E731" s="24" t="s">
        <v>9</v>
      </c>
      <c r="F731" s="24">
        <v>11822</v>
      </c>
      <c r="G731" s="25">
        <v>43279</v>
      </c>
      <c r="H731" s="25">
        <v>46201</v>
      </c>
      <c r="I731" s="24" t="s">
        <v>10</v>
      </c>
      <c r="J731" s="24" t="s">
        <v>14</v>
      </c>
      <c r="K731" s="24" t="str">
        <f>IF(certifications[[#This Row],[ISSUE DATE]]="", "", TEXT(certifications[[#This Row],[ISSUE DATE]], "MMM"))</f>
        <v>Jun</v>
      </c>
      <c r="L731" s="35" t="str">
        <f>IF(certifications[[#This Row],[ISSUE DATE]]="", "", TEXT(certifications[[#This Row],[ISSUE DATE]], "YYYY"))</f>
        <v>2018</v>
      </c>
    </row>
    <row r="732" spans="1:12" s="29" customFormat="1" ht="23.95" customHeight="1" x14ac:dyDescent="0.3">
      <c r="A732" s="31"/>
      <c r="B732" s="24">
        <v>719</v>
      </c>
      <c r="C732" s="24" t="s">
        <v>818</v>
      </c>
      <c r="D732" s="24" t="s">
        <v>32</v>
      </c>
      <c r="E732" s="24" t="s">
        <v>26</v>
      </c>
      <c r="F732" s="24">
        <v>21636</v>
      </c>
      <c r="G732" s="25">
        <v>45719</v>
      </c>
      <c r="H732" s="25">
        <v>46449</v>
      </c>
      <c r="I732" s="24" t="s">
        <v>10</v>
      </c>
      <c r="J732" s="24" t="s">
        <v>33</v>
      </c>
      <c r="K732" s="24" t="str">
        <f>IF(certifications[[#This Row],[ISSUE DATE]]="", "", TEXT(certifications[[#This Row],[ISSUE DATE]], "MMM"))</f>
        <v>Mar</v>
      </c>
      <c r="L732" s="35" t="str">
        <f>IF(certifications[[#This Row],[ISSUE DATE]]="", "", TEXT(certifications[[#This Row],[ISSUE DATE]], "YYYY"))</f>
        <v>2025</v>
      </c>
    </row>
    <row r="733" spans="1:12" s="29" customFormat="1" ht="23.95" customHeight="1" x14ac:dyDescent="0.3">
      <c r="A733" s="31"/>
      <c r="B733" s="24">
        <v>720</v>
      </c>
      <c r="C733" s="24" t="s">
        <v>819</v>
      </c>
      <c r="D733" s="24" t="s">
        <v>133</v>
      </c>
      <c r="E733" s="24" t="s">
        <v>9</v>
      </c>
      <c r="F733" s="24">
        <v>21387</v>
      </c>
      <c r="G733" s="25">
        <v>45679</v>
      </c>
      <c r="H733" s="25">
        <v>46409</v>
      </c>
      <c r="I733" s="24" t="s">
        <v>10</v>
      </c>
      <c r="J733" s="24" t="s">
        <v>14</v>
      </c>
      <c r="K733" s="24" t="str">
        <f>IF(certifications[[#This Row],[ISSUE DATE]]="", "", TEXT(certifications[[#This Row],[ISSUE DATE]], "MMM"))</f>
        <v>Jan</v>
      </c>
      <c r="L733" s="35" t="str">
        <f>IF(certifications[[#This Row],[ISSUE DATE]]="", "", TEXT(certifications[[#This Row],[ISSUE DATE]], "YYYY"))</f>
        <v>2025</v>
      </c>
    </row>
    <row r="734" spans="1:12" s="29" customFormat="1" ht="23.95" customHeight="1" x14ac:dyDescent="0.3">
      <c r="A734" s="31"/>
      <c r="B734" s="24">
        <v>721</v>
      </c>
      <c r="C734" s="24" t="s">
        <v>820</v>
      </c>
      <c r="D734" s="24" t="s">
        <v>202</v>
      </c>
      <c r="E734" s="24" t="s">
        <v>9</v>
      </c>
      <c r="F734" s="24">
        <v>10583</v>
      </c>
      <c r="G734" s="25">
        <v>43081</v>
      </c>
      <c r="H734" s="25">
        <v>43811</v>
      </c>
      <c r="I734" s="24" t="s">
        <v>16</v>
      </c>
      <c r="J734" s="24" t="s">
        <v>19</v>
      </c>
      <c r="K734" s="24" t="str">
        <f>IF(certifications[[#This Row],[ISSUE DATE]]="", "", TEXT(certifications[[#This Row],[ISSUE DATE]], "MMM"))</f>
        <v>Dec</v>
      </c>
      <c r="L734" s="35" t="str">
        <f>IF(certifications[[#This Row],[ISSUE DATE]]="", "", TEXT(certifications[[#This Row],[ISSUE DATE]], "YYYY"))</f>
        <v>2017</v>
      </c>
    </row>
    <row r="735" spans="1:12" s="29" customFormat="1" ht="23.95" customHeight="1" x14ac:dyDescent="0.3">
      <c r="A735" s="31"/>
      <c r="B735" s="24">
        <v>722</v>
      </c>
      <c r="C735" s="24" t="s">
        <v>821</v>
      </c>
      <c r="D735" s="24" t="s">
        <v>32</v>
      </c>
      <c r="E735" s="24" t="s">
        <v>9</v>
      </c>
      <c r="F735" s="24">
        <v>12421</v>
      </c>
      <c r="G735" s="25">
        <v>44280</v>
      </c>
      <c r="H735" s="25">
        <v>46318</v>
      </c>
      <c r="I735" s="24" t="s">
        <v>10</v>
      </c>
      <c r="J735" s="24" t="s">
        <v>33</v>
      </c>
      <c r="K735" s="24" t="str">
        <f>IF(certifications[[#This Row],[ISSUE DATE]]="", "", TEXT(certifications[[#This Row],[ISSUE DATE]], "MMM"))</f>
        <v>Mar</v>
      </c>
      <c r="L735" s="35" t="str">
        <f>IF(certifications[[#This Row],[ISSUE DATE]]="", "", TEXT(certifications[[#This Row],[ISSUE DATE]], "YYYY"))</f>
        <v>2021</v>
      </c>
    </row>
    <row r="736" spans="1:12" s="29" customFormat="1" ht="23.95" customHeight="1" x14ac:dyDescent="0.3">
      <c r="A736" s="31"/>
      <c r="B736" s="24">
        <v>723</v>
      </c>
      <c r="C736" s="24" t="s">
        <v>822</v>
      </c>
      <c r="D736" s="24" t="s">
        <v>80</v>
      </c>
      <c r="E736" s="24" t="s">
        <v>9</v>
      </c>
      <c r="F736" s="24">
        <v>19549</v>
      </c>
      <c r="G736" s="25">
        <v>45272</v>
      </c>
      <c r="H736" s="25">
        <v>46003</v>
      </c>
      <c r="I736" s="24" t="s">
        <v>10</v>
      </c>
      <c r="J736" s="24" t="s">
        <v>38</v>
      </c>
      <c r="K736" s="24" t="str">
        <f>IF(certifications[[#This Row],[ISSUE DATE]]="", "", TEXT(certifications[[#This Row],[ISSUE DATE]], "MMM"))</f>
        <v>Dec</v>
      </c>
      <c r="L736" s="35" t="str">
        <f>IF(certifications[[#This Row],[ISSUE DATE]]="", "", TEXT(certifications[[#This Row],[ISSUE DATE]], "YYYY"))</f>
        <v>2023</v>
      </c>
    </row>
    <row r="737" spans="1:12" s="29" customFormat="1" ht="23.95" customHeight="1" x14ac:dyDescent="0.3">
      <c r="A737" s="31"/>
      <c r="B737" s="24">
        <v>724</v>
      </c>
      <c r="C737" s="24" t="s">
        <v>823</v>
      </c>
      <c r="D737" s="24" t="s">
        <v>32</v>
      </c>
      <c r="E737" s="24" t="s">
        <v>9</v>
      </c>
      <c r="F737" s="24">
        <v>8561</v>
      </c>
      <c r="G737" s="25">
        <v>41485</v>
      </c>
      <c r="H737" s="25">
        <v>42215</v>
      </c>
      <c r="I737" s="24" t="s">
        <v>16</v>
      </c>
      <c r="J737" s="24" t="s">
        <v>33</v>
      </c>
      <c r="K737" s="24" t="str">
        <f>IF(certifications[[#This Row],[ISSUE DATE]]="", "", TEXT(certifications[[#This Row],[ISSUE DATE]], "MMM"))</f>
        <v>Jul</v>
      </c>
      <c r="L737" s="35" t="str">
        <f>IF(certifications[[#This Row],[ISSUE DATE]]="", "", TEXT(certifications[[#This Row],[ISSUE DATE]], "YYYY"))</f>
        <v>2013</v>
      </c>
    </row>
    <row r="738" spans="1:12" s="29" customFormat="1" ht="23.95" customHeight="1" x14ac:dyDescent="0.3">
      <c r="A738" s="31"/>
      <c r="B738" s="24">
        <v>725</v>
      </c>
      <c r="C738" s="24" t="s">
        <v>824</v>
      </c>
      <c r="D738" s="24" t="s">
        <v>32</v>
      </c>
      <c r="E738" s="24" t="s">
        <v>9</v>
      </c>
      <c r="F738" s="24">
        <v>9445</v>
      </c>
      <c r="G738" s="25">
        <v>42346</v>
      </c>
      <c r="H738" s="25">
        <v>45999</v>
      </c>
      <c r="I738" s="24" t="s">
        <v>10</v>
      </c>
      <c r="J738" s="24" t="s">
        <v>33</v>
      </c>
      <c r="K738" s="24" t="str">
        <f>IF(certifications[[#This Row],[ISSUE DATE]]="", "", TEXT(certifications[[#This Row],[ISSUE DATE]], "MMM"))</f>
        <v>Dec</v>
      </c>
      <c r="L738" s="35" t="str">
        <f>IF(certifications[[#This Row],[ISSUE DATE]]="", "", TEXT(certifications[[#This Row],[ISSUE DATE]], "YYYY"))</f>
        <v>2015</v>
      </c>
    </row>
    <row r="739" spans="1:12" s="29" customFormat="1" ht="23.95" customHeight="1" x14ac:dyDescent="0.3">
      <c r="A739" s="31"/>
      <c r="B739" s="24">
        <v>726</v>
      </c>
      <c r="C739" s="24" t="s">
        <v>825</v>
      </c>
      <c r="D739" s="24" t="s">
        <v>73</v>
      </c>
      <c r="E739" s="24" t="s">
        <v>9</v>
      </c>
      <c r="F739" s="24">
        <v>8969</v>
      </c>
      <c r="G739" s="25">
        <v>41849</v>
      </c>
      <c r="H739" s="25">
        <v>42580</v>
      </c>
      <c r="I739" s="24" t="s">
        <v>16</v>
      </c>
      <c r="J739" s="24" t="s">
        <v>30</v>
      </c>
      <c r="K739" s="24" t="str">
        <f>IF(certifications[[#This Row],[ISSUE DATE]]="", "", TEXT(certifications[[#This Row],[ISSUE DATE]], "MMM"))</f>
        <v>Jul</v>
      </c>
      <c r="L739" s="35" t="str">
        <f>IF(certifications[[#This Row],[ISSUE DATE]]="", "", TEXT(certifications[[#This Row],[ISSUE DATE]], "YYYY"))</f>
        <v>2014</v>
      </c>
    </row>
    <row r="740" spans="1:12" s="29" customFormat="1" ht="23.95" customHeight="1" x14ac:dyDescent="0.3">
      <c r="A740" s="31"/>
      <c r="B740" s="24">
        <v>727</v>
      </c>
      <c r="C740" s="24" t="s">
        <v>826</v>
      </c>
      <c r="D740" s="24" t="s">
        <v>35</v>
      </c>
      <c r="E740" s="24" t="s">
        <v>9</v>
      </c>
      <c r="F740" s="24">
        <v>9599</v>
      </c>
      <c r="G740" s="25">
        <v>42514</v>
      </c>
      <c r="H740" s="25">
        <v>46166</v>
      </c>
      <c r="I740" s="24" t="s">
        <v>10</v>
      </c>
      <c r="J740" s="24" t="s">
        <v>22</v>
      </c>
      <c r="K740" s="24" t="str">
        <f>IF(certifications[[#This Row],[ISSUE DATE]]="", "", TEXT(certifications[[#This Row],[ISSUE DATE]], "MMM"))</f>
        <v>May</v>
      </c>
      <c r="L740" s="35" t="str">
        <f>IF(certifications[[#This Row],[ISSUE DATE]]="", "", TEXT(certifications[[#This Row],[ISSUE DATE]], "YYYY"))</f>
        <v>2016</v>
      </c>
    </row>
    <row r="741" spans="1:12" s="29" customFormat="1" ht="23.95" customHeight="1" x14ac:dyDescent="0.3">
      <c r="A741" s="31"/>
      <c r="B741" s="24">
        <v>728</v>
      </c>
      <c r="C741" s="24" t="s">
        <v>827</v>
      </c>
      <c r="D741" s="24" t="s">
        <v>32</v>
      </c>
      <c r="E741" s="24" t="s">
        <v>9</v>
      </c>
      <c r="F741" s="24">
        <v>8330</v>
      </c>
      <c r="G741" s="25">
        <v>41325</v>
      </c>
      <c r="H741" s="25">
        <v>42055</v>
      </c>
      <c r="I741" s="24" t="s">
        <v>16</v>
      </c>
      <c r="J741" s="24" t="s">
        <v>33</v>
      </c>
      <c r="K741" s="24" t="str">
        <f>IF(certifications[[#This Row],[ISSUE DATE]]="", "", TEXT(certifications[[#This Row],[ISSUE DATE]], "MMM"))</f>
        <v>Feb</v>
      </c>
      <c r="L741" s="35" t="str">
        <f>IF(certifications[[#This Row],[ISSUE DATE]]="", "", TEXT(certifications[[#This Row],[ISSUE DATE]], "YYYY"))</f>
        <v>2013</v>
      </c>
    </row>
    <row r="742" spans="1:12" s="29" customFormat="1" ht="23.95" customHeight="1" x14ac:dyDescent="0.3">
      <c r="A742" s="31"/>
      <c r="B742" s="24">
        <v>729</v>
      </c>
      <c r="C742" s="24" t="s">
        <v>828</v>
      </c>
      <c r="D742" s="24" t="s">
        <v>114</v>
      </c>
      <c r="E742" s="24" t="s">
        <v>9</v>
      </c>
      <c r="F742" s="24">
        <v>14761</v>
      </c>
      <c r="G742" s="25">
        <v>43770</v>
      </c>
      <c r="H742" s="25">
        <v>44501</v>
      </c>
      <c r="I742" s="24" t="s">
        <v>16</v>
      </c>
      <c r="J742" s="24" t="s">
        <v>22</v>
      </c>
      <c r="K742" s="24" t="str">
        <f>IF(certifications[[#This Row],[ISSUE DATE]]="", "", TEXT(certifications[[#This Row],[ISSUE DATE]], "MMM"))</f>
        <v>Nov</v>
      </c>
      <c r="L742" s="35" t="str">
        <f>IF(certifications[[#This Row],[ISSUE DATE]]="", "", TEXT(certifications[[#This Row],[ISSUE DATE]], "YYYY"))</f>
        <v>2019</v>
      </c>
    </row>
    <row r="743" spans="1:12" s="29" customFormat="1" ht="23.95" customHeight="1" x14ac:dyDescent="0.3">
      <c r="A743" s="31"/>
      <c r="B743" s="24">
        <v>730</v>
      </c>
      <c r="C743" s="24" t="s">
        <v>829</v>
      </c>
      <c r="D743" s="24" t="s">
        <v>347</v>
      </c>
      <c r="E743" s="24" t="s">
        <v>9</v>
      </c>
      <c r="F743" s="24">
        <v>15327</v>
      </c>
      <c r="G743" s="25">
        <v>44096</v>
      </c>
      <c r="H743" s="25">
        <v>45557</v>
      </c>
      <c r="I743" s="24" t="s">
        <v>82</v>
      </c>
      <c r="J743" s="24" t="s">
        <v>25</v>
      </c>
      <c r="K743" s="24" t="str">
        <f>IF(certifications[[#This Row],[ISSUE DATE]]="", "", TEXT(certifications[[#This Row],[ISSUE DATE]], "MMM"))</f>
        <v>Sep</v>
      </c>
      <c r="L743" s="35" t="str">
        <f>IF(certifications[[#This Row],[ISSUE DATE]]="", "", TEXT(certifications[[#This Row],[ISSUE DATE]], "YYYY"))</f>
        <v>2020</v>
      </c>
    </row>
    <row r="744" spans="1:12" s="29" customFormat="1" ht="23.95" customHeight="1" x14ac:dyDescent="0.3">
      <c r="A744" s="31"/>
      <c r="B744" s="24">
        <v>731</v>
      </c>
      <c r="C744" s="24" t="s">
        <v>829</v>
      </c>
      <c r="D744" s="24" t="s">
        <v>347</v>
      </c>
      <c r="E744" s="24" t="s">
        <v>26</v>
      </c>
      <c r="F744" s="24">
        <v>15327</v>
      </c>
      <c r="G744" s="25">
        <v>44040</v>
      </c>
      <c r="H744" s="25">
        <v>44770</v>
      </c>
      <c r="I744" s="24" t="s">
        <v>16</v>
      </c>
      <c r="J744" s="24" t="s">
        <v>25</v>
      </c>
      <c r="K744" s="24" t="str">
        <f>IF(certifications[[#This Row],[ISSUE DATE]]="", "", TEXT(certifications[[#This Row],[ISSUE DATE]], "MMM"))</f>
        <v>Jul</v>
      </c>
      <c r="L744" s="35" t="str">
        <f>IF(certifications[[#This Row],[ISSUE DATE]]="", "", TEXT(certifications[[#This Row],[ISSUE DATE]], "YYYY"))</f>
        <v>2020</v>
      </c>
    </row>
    <row r="745" spans="1:12" s="29" customFormat="1" ht="23.95" customHeight="1" x14ac:dyDescent="0.3">
      <c r="A745" s="31"/>
      <c r="B745" s="24">
        <v>732</v>
      </c>
      <c r="C745" s="24" t="s">
        <v>830</v>
      </c>
      <c r="D745" s="24" t="s">
        <v>269</v>
      </c>
      <c r="E745" s="24" t="s">
        <v>9</v>
      </c>
      <c r="F745" s="24">
        <v>13072</v>
      </c>
      <c r="G745" s="25">
        <v>43546</v>
      </c>
      <c r="H745" s="25">
        <v>46468</v>
      </c>
      <c r="I745" s="24" t="s">
        <v>10</v>
      </c>
      <c r="J745" s="24" t="s">
        <v>25</v>
      </c>
      <c r="K745" s="24" t="str">
        <f>IF(certifications[[#This Row],[ISSUE DATE]]="", "", TEXT(certifications[[#This Row],[ISSUE DATE]], "MMM"))</f>
        <v>Mar</v>
      </c>
      <c r="L745" s="35" t="str">
        <f>IF(certifications[[#This Row],[ISSUE DATE]]="", "", TEXT(certifications[[#This Row],[ISSUE DATE]], "YYYY"))</f>
        <v>2019</v>
      </c>
    </row>
    <row r="746" spans="1:12" s="29" customFormat="1" ht="23.95" customHeight="1" x14ac:dyDescent="0.3">
      <c r="A746" s="31"/>
      <c r="B746" s="24">
        <v>733</v>
      </c>
      <c r="C746" s="24" t="s">
        <v>830</v>
      </c>
      <c r="D746" s="24" t="s">
        <v>269</v>
      </c>
      <c r="E746" s="24" t="s">
        <v>26</v>
      </c>
      <c r="F746" s="24">
        <v>13072</v>
      </c>
      <c r="G746" s="25">
        <v>44405</v>
      </c>
      <c r="H746" s="25">
        <v>45866</v>
      </c>
      <c r="I746" s="24" t="s">
        <v>10</v>
      </c>
      <c r="J746" s="24" t="s">
        <v>25</v>
      </c>
      <c r="K746" s="24" t="str">
        <f>IF(certifications[[#This Row],[ISSUE DATE]]="", "", TEXT(certifications[[#This Row],[ISSUE DATE]], "MMM"))</f>
        <v>Jul</v>
      </c>
      <c r="L746" s="35" t="str">
        <f>IF(certifications[[#This Row],[ISSUE DATE]]="", "", TEXT(certifications[[#This Row],[ISSUE DATE]], "YYYY"))</f>
        <v>2021</v>
      </c>
    </row>
    <row r="747" spans="1:12" s="29" customFormat="1" ht="23.95" customHeight="1" x14ac:dyDescent="0.3">
      <c r="A747" s="31"/>
      <c r="B747" s="24">
        <v>734</v>
      </c>
      <c r="C747" s="3" t="s">
        <v>830</v>
      </c>
      <c r="D747" s="3" t="s">
        <v>269</v>
      </c>
      <c r="E747" s="3" t="s">
        <v>27</v>
      </c>
      <c r="F747" s="3">
        <v>13072</v>
      </c>
      <c r="G747" s="4">
        <v>45450</v>
      </c>
      <c r="H747" s="4">
        <v>46180</v>
      </c>
      <c r="I747" s="3" t="s">
        <v>10</v>
      </c>
      <c r="J747" s="3" t="s">
        <v>25</v>
      </c>
      <c r="K747" s="3" t="str">
        <f>IF(certifications[[#This Row],[ISSUE DATE]]="", "", TEXT(certifications[[#This Row],[ISSUE DATE]], "MMM"))</f>
        <v>Jun</v>
      </c>
      <c r="L747" s="36" t="str">
        <f>IF(certifications[[#This Row],[ISSUE DATE]]="", "", TEXT(certifications[[#This Row],[ISSUE DATE]], "YYYY"))</f>
        <v>2024</v>
      </c>
    </row>
    <row r="748" spans="1:12" s="29" customFormat="1" ht="23.95" customHeight="1" x14ac:dyDescent="0.3">
      <c r="A748" s="31"/>
      <c r="B748" s="24">
        <v>735</v>
      </c>
      <c r="C748" s="24" t="s">
        <v>831</v>
      </c>
      <c r="D748" s="24" t="s">
        <v>832</v>
      </c>
      <c r="E748" s="24" t="s">
        <v>9</v>
      </c>
      <c r="F748" s="24">
        <v>12833</v>
      </c>
      <c r="G748" s="25">
        <v>43504</v>
      </c>
      <c r="H748" s="25">
        <v>44235</v>
      </c>
      <c r="I748" s="24" t="s">
        <v>16</v>
      </c>
      <c r="J748" s="24" t="s">
        <v>11</v>
      </c>
      <c r="K748" s="24" t="str">
        <f>IF(certifications[[#This Row],[ISSUE DATE]]="", "", TEXT(certifications[[#This Row],[ISSUE DATE]], "MMM"))</f>
        <v>Feb</v>
      </c>
      <c r="L748" s="35" t="str">
        <f>IF(certifications[[#This Row],[ISSUE DATE]]="", "", TEXT(certifications[[#This Row],[ISSUE DATE]], "YYYY"))</f>
        <v>2019</v>
      </c>
    </row>
    <row r="749" spans="1:12" s="29" customFormat="1" ht="23.95" customHeight="1" x14ac:dyDescent="0.3">
      <c r="A749" s="31"/>
      <c r="B749" s="24">
        <v>736</v>
      </c>
      <c r="C749" s="24" t="s">
        <v>833</v>
      </c>
      <c r="D749" s="24" t="s">
        <v>611</v>
      </c>
      <c r="E749" s="24" t="s">
        <v>9</v>
      </c>
      <c r="F749" s="24">
        <v>19350</v>
      </c>
      <c r="G749" s="25">
        <v>45336</v>
      </c>
      <c r="H749" s="25">
        <v>46067</v>
      </c>
      <c r="I749" s="24" t="s">
        <v>10</v>
      </c>
      <c r="J749" s="24" t="s">
        <v>22</v>
      </c>
      <c r="K749" s="24" t="str">
        <f>IF(certifications[[#This Row],[ISSUE DATE]]="", "", TEXT(certifications[[#This Row],[ISSUE DATE]], "MMM"))</f>
        <v>Feb</v>
      </c>
      <c r="L749" s="35" t="str">
        <f>IF(certifications[[#This Row],[ISSUE DATE]]="", "", TEXT(certifications[[#This Row],[ISSUE DATE]], "YYYY"))</f>
        <v>2024</v>
      </c>
    </row>
    <row r="750" spans="1:12" s="29" customFormat="1" ht="23.95" customHeight="1" x14ac:dyDescent="0.3">
      <c r="A750" s="31"/>
      <c r="B750" s="24">
        <v>737</v>
      </c>
      <c r="C750" s="24" t="s">
        <v>833</v>
      </c>
      <c r="D750" s="24" t="s">
        <v>611</v>
      </c>
      <c r="E750" s="24" t="s">
        <v>26</v>
      </c>
      <c r="F750" s="24">
        <v>19350</v>
      </c>
      <c r="G750" s="25">
        <v>45237</v>
      </c>
      <c r="H750" s="25">
        <v>45968</v>
      </c>
      <c r="I750" s="24" t="s">
        <v>10</v>
      </c>
      <c r="J750" s="24" t="s">
        <v>22</v>
      </c>
      <c r="K750" s="24" t="str">
        <f>IF(certifications[[#This Row],[ISSUE DATE]]="", "", TEXT(certifications[[#This Row],[ISSUE DATE]], "MMM"))</f>
        <v>Nov</v>
      </c>
      <c r="L750" s="35" t="str">
        <f>IF(certifications[[#This Row],[ISSUE DATE]]="", "", TEXT(certifications[[#This Row],[ISSUE DATE]], "YYYY"))</f>
        <v>2023</v>
      </c>
    </row>
    <row r="751" spans="1:12" s="29" customFormat="1" ht="23.95" customHeight="1" x14ac:dyDescent="0.3">
      <c r="A751" s="31"/>
      <c r="B751" s="24">
        <v>738</v>
      </c>
      <c r="C751" s="24" t="s">
        <v>834</v>
      </c>
      <c r="D751" s="24" t="s">
        <v>32</v>
      </c>
      <c r="E751" s="24" t="s">
        <v>9</v>
      </c>
      <c r="F751" s="24">
        <v>11414</v>
      </c>
      <c r="G751" s="25">
        <v>43237</v>
      </c>
      <c r="H751" s="25">
        <v>43968</v>
      </c>
      <c r="I751" s="24" t="s">
        <v>16</v>
      </c>
      <c r="J751" s="24" t="s">
        <v>33</v>
      </c>
      <c r="K751" s="24" t="str">
        <f>IF(certifications[[#This Row],[ISSUE DATE]]="", "", TEXT(certifications[[#This Row],[ISSUE DATE]], "MMM"))</f>
        <v>May</v>
      </c>
      <c r="L751" s="35" t="str">
        <f>IF(certifications[[#This Row],[ISSUE DATE]]="", "", TEXT(certifications[[#This Row],[ISSUE DATE]], "YYYY"))</f>
        <v>2018</v>
      </c>
    </row>
    <row r="752" spans="1:12" s="29" customFormat="1" ht="23.95" customHeight="1" x14ac:dyDescent="0.3">
      <c r="A752" s="31"/>
      <c r="B752" s="24">
        <v>739</v>
      </c>
      <c r="C752" s="24" t="s">
        <v>835</v>
      </c>
      <c r="D752" s="24" t="s">
        <v>347</v>
      </c>
      <c r="E752" s="24" t="s">
        <v>9</v>
      </c>
      <c r="F752" s="24">
        <v>9542</v>
      </c>
      <c r="G752" s="25">
        <v>42440</v>
      </c>
      <c r="H752" s="25">
        <v>43901</v>
      </c>
      <c r="I752" s="24" t="s">
        <v>16</v>
      </c>
      <c r="J752" s="24" t="s">
        <v>25</v>
      </c>
      <c r="K752" s="24" t="str">
        <f>IF(certifications[[#This Row],[ISSUE DATE]]="", "", TEXT(certifications[[#This Row],[ISSUE DATE]], "MMM"))</f>
        <v>Mar</v>
      </c>
      <c r="L752" s="35" t="str">
        <f>IF(certifications[[#This Row],[ISSUE DATE]]="", "", TEXT(certifications[[#This Row],[ISSUE DATE]], "YYYY"))</f>
        <v>2016</v>
      </c>
    </row>
    <row r="753" spans="1:12" s="29" customFormat="1" ht="23.95" customHeight="1" x14ac:dyDescent="0.3">
      <c r="A753" s="31"/>
      <c r="B753" s="24">
        <v>740</v>
      </c>
      <c r="C753" s="24" t="s">
        <v>836</v>
      </c>
      <c r="D753" s="24" t="s">
        <v>99</v>
      </c>
      <c r="E753" s="24" t="s">
        <v>9</v>
      </c>
      <c r="F753" s="24">
        <v>10118</v>
      </c>
      <c r="G753" s="25">
        <v>42846</v>
      </c>
      <c r="H753" s="25">
        <v>43576</v>
      </c>
      <c r="I753" s="24" t="s">
        <v>16</v>
      </c>
      <c r="J753" s="24" t="s">
        <v>30</v>
      </c>
      <c r="K753" s="24" t="str">
        <f>IF(certifications[[#This Row],[ISSUE DATE]]="", "", TEXT(certifications[[#This Row],[ISSUE DATE]], "MMM"))</f>
        <v>Apr</v>
      </c>
      <c r="L753" s="35" t="str">
        <f>IF(certifications[[#This Row],[ISSUE DATE]]="", "", TEXT(certifications[[#This Row],[ISSUE DATE]], "YYYY"))</f>
        <v>2017</v>
      </c>
    </row>
    <row r="754" spans="1:12" s="29" customFormat="1" ht="23.95" customHeight="1" x14ac:dyDescent="0.3">
      <c r="A754" s="31"/>
      <c r="B754" s="24">
        <v>741</v>
      </c>
      <c r="C754" s="24" t="s">
        <v>837</v>
      </c>
      <c r="D754" s="24" t="s">
        <v>305</v>
      </c>
      <c r="E754" s="24" t="s">
        <v>9</v>
      </c>
      <c r="F754" s="24">
        <v>16532</v>
      </c>
      <c r="G754" s="25">
        <v>44372</v>
      </c>
      <c r="H754" s="25">
        <v>45102</v>
      </c>
      <c r="I754" s="24" t="s">
        <v>16</v>
      </c>
      <c r="J754" s="24" t="s">
        <v>22</v>
      </c>
      <c r="K754" s="24" t="str">
        <f>IF(certifications[[#This Row],[ISSUE DATE]]="", "", TEXT(certifications[[#This Row],[ISSUE DATE]], "MMM"))</f>
        <v>Jun</v>
      </c>
      <c r="L754" s="35" t="str">
        <f>IF(certifications[[#This Row],[ISSUE DATE]]="", "", TEXT(certifications[[#This Row],[ISSUE DATE]], "YYYY"))</f>
        <v>2021</v>
      </c>
    </row>
    <row r="755" spans="1:12" s="29" customFormat="1" ht="23.95" customHeight="1" x14ac:dyDescent="0.3">
      <c r="A755" s="31"/>
      <c r="B755" s="24">
        <v>742</v>
      </c>
      <c r="C755" s="24" t="s">
        <v>838</v>
      </c>
      <c r="D755" s="24" t="s">
        <v>32</v>
      </c>
      <c r="E755" s="24" t="s">
        <v>9</v>
      </c>
      <c r="F755" s="24">
        <v>10003</v>
      </c>
      <c r="G755" s="25">
        <v>42753</v>
      </c>
      <c r="H755" s="25">
        <v>43483</v>
      </c>
      <c r="I755" s="24" t="s">
        <v>16</v>
      </c>
      <c r="J755" s="24" t="s">
        <v>33</v>
      </c>
      <c r="K755" s="24" t="str">
        <f>IF(certifications[[#This Row],[ISSUE DATE]]="", "", TEXT(certifications[[#This Row],[ISSUE DATE]], "MMM"))</f>
        <v>Jan</v>
      </c>
      <c r="L755" s="35" t="str">
        <f>IF(certifications[[#This Row],[ISSUE DATE]]="", "", TEXT(certifications[[#This Row],[ISSUE DATE]], "YYYY"))</f>
        <v>2017</v>
      </c>
    </row>
    <row r="756" spans="1:12" s="29" customFormat="1" ht="23.95" customHeight="1" x14ac:dyDescent="0.3">
      <c r="A756" s="31"/>
      <c r="B756" s="24">
        <v>743</v>
      </c>
      <c r="C756" s="24" t="s">
        <v>838</v>
      </c>
      <c r="D756" s="24" t="s">
        <v>32</v>
      </c>
      <c r="E756" s="24" t="s">
        <v>26</v>
      </c>
      <c r="F756" s="24">
        <v>10003</v>
      </c>
      <c r="G756" s="25">
        <v>45708</v>
      </c>
      <c r="H756" s="25">
        <v>46438</v>
      </c>
      <c r="I756" s="24" t="s">
        <v>10</v>
      </c>
      <c r="J756" s="24" t="s">
        <v>33</v>
      </c>
      <c r="K756" s="24" t="str">
        <f>IF(certifications[[#This Row],[ISSUE DATE]]="", "", TEXT(certifications[[#This Row],[ISSUE DATE]], "MMM"))</f>
        <v>Feb</v>
      </c>
      <c r="L756" s="35" t="str">
        <f>IF(certifications[[#This Row],[ISSUE DATE]]="", "", TEXT(certifications[[#This Row],[ISSUE DATE]], "YYYY"))</f>
        <v>2025</v>
      </c>
    </row>
    <row r="757" spans="1:12" s="29" customFormat="1" ht="23.95" customHeight="1" x14ac:dyDescent="0.3">
      <c r="A757" s="31"/>
      <c r="B757" s="24">
        <v>744</v>
      </c>
      <c r="C757" s="24" t="s">
        <v>839</v>
      </c>
      <c r="D757" s="24" t="s">
        <v>32</v>
      </c>
      <c r="E757" s="24" t="s">
        <v>9</v>
      </c>
      <c r="F757" s="24">
        <v>8453</v>
      </c>
      <c r="G757" s="25">
        <v>43271</v>
      </c>
      <c r="H757" s="25">
        <v>46193</v>
      </c>
      <c r="I757" s="24" t="s">
        <v>10</v>
      </c>
      <c r="J757" s="24" t="s">
        <v>33</v>
      </c>
      <c r="K757" s="24" t="str">
        <f>IF(certifications[[#This Row],[ISSUE DATE]]="", "", TEXT(certifications[[#This Row],[ISSUE DATE]], "MMM"))</f>
        <v>Jun</v>
      </c>
      <c r="L757" s="35" t="str">
        <f>IF(certifications[[#This Row],[ISSUE DATE]]="", "", TEXT(certifications[[#This Row],[ISSUE DATE]], "YYYY"))</f>
        <v>2018</v>
      </c>
    </row>
    <row r="758" spans="1:12" s="29" customFormat="1" ht="23.95" customHeight="1" x14ac:dyDescent="0.3">
      <c r="A758" s="31"/>
      <c r="B758" s="24">
        <v>745</v>
      </c>
      <c r="C758" s="24" t="s">
        <v>840</v>
      </c>
      <c r="D758" s="24" t="s">
        <v>32</v>
      </c>
      <c r="E758" s="24" t="s">
        <v>9</v>
      </c>
      <c r="F758" s="24">
        <v>17379</v>
      </c>
      <c r="G758" s="25">
        <v>44672</v>
      </c>
      <c r="H758" s="25">
        <v>45403</v>
      </c>
      <c r="I758" s="24" t="s">
        <v>16</v>
      </c>
      <c r="J758" s="24" t="s">
        <v>33</v>
      </c>
      <c r="K758" s="24" t="str">
        <f>IF(certifications[[#This Row],[ISSUE DATE]]="", "", TEXT(certifications[[#This Row],[ISSUE DATE]], "MMM"))</f>
        <v>Apr</v>
      </c>
      <c r="L758" s="35" t="str">
        <f>IF(certifications[[#This Row],[ISSUE DATE]]="", "", TEXT(certifications[[#This Row],[ISSUE DATE]], "YYYY"))</f>
        <v>2022</v>
      </c>
    </row>
    <row r="759" spans="1:12" s="29" customFormat="1" ht="23.95" customHeight="1" x14ac:dyDescent="0.3">
      <c r="A759" s="31"/>
      <c r="B759" s="24">
        <v>746</v>
      </c>
      <c r="C759" s="24" t="s">
        <v>841</v>
      </c>
      <c r="D759" s="24" t="s">
        <v>32</v>
      </c>
      <c r="E759" s="24" t="s">
        <v>9</v>
      </c>
      <c r="F759" s="24">
        <v>16313</v>
      </c>
      <c r="G759" s="25">
        <v>44359</v>
      </c>
      <c r="H759" s="25">
        <v>45820</v>
      </c>
      <c r="I759" s="24" t="s">
        <v>82</v>
      </c>
      <c r="J759" s="24" t="s">
        <v>33</v>
      </c>
      <c r="K759" s="24" t="str">
        <f>IF(certifications[[#This Row],[ISSUE DATE]]="", "", TEXT(certifications[[#This Row],[ISSUE DATE]], "MMM"))</f>
        <v>Jun</v>
      </c>
      <c r="L759" s="35" t="str">
        <f>IF(certifications[[#This Row],[ISSUE DATE]]="", "", TEXT(certifications[[#This Row],[ISSUE DATE]], "YYYY"))</f>
        <v>2021</v>
      </c>
    </row>
    <row r="760" spans="1:12" s="29" customFormat="1" ht="23.95" customHeight="1" x14ac:dyDescent="0.3">
      <c r="A760" s="31"/>
      <c r="B760" s="24">
        <v>747</v>
      </c>
      <c r="C760" s="24" t="s">
        <v>841</v>
      </c>
      <c r="D760" s="24" t="s">
        <v>32</v>
      </c>
      <c r="E760" s="24" t="s">
        <v>26</v>
      </c>
      <c r="F760" s="24">
        <v>16313</v>
      </c>
      <c r="G760" s="25">
        <v>44353</v>
      </c>
      <c r="H760" s="25">
        <v>45814</v>
      </c>
      <c r="I760" s="24" t="s">
        <v>82</v>
      </c>
      <c r="J760" s="24" t="s">
        <v>33</v>
      </c>
      <c r="K760" s="24" t="str">
        <f>IF(certifications[[#This Row],[ISSUE DATE]]="", "", TEXT(certifications[[#This Row],[ISSUE DATE]], "MMM"))</f>
        <v>Jun</v>
      </c>
      <c r="L760" s="35" t="str">
        <f>IF(certifications[[#This Row],[ISSUE DATE]]="", "", TEXT(certifications[[#This Row],[ISSUE DATE]], "YYYY"))</f>
        <v>2021</v>
      </c>
    </row>
    <row r="761" spans="1:12" s="29" customFormat="1" ht="23.95" customHeight="1" x14ac:dyDescent="0.3">
      <c r="A761" s="31"/>
      <c r="B761" s="24">
        <v>748</v>
      </c>
      <c r="C761" s="24" t="s">
        <v>842</v>
      </c>
      <c r="D761" s="24" t="s">
        <v>32</v>
      </c>
      <c r="E761" s="24" t="s">
        <v>9</v>
      </c>
      <c r="F761" s="24">
        <v>17526</v>
      </c>
      <c r="G761" s="25">
        <v>44717</v>
      </c>
      <c r="H761" s="25">
        <v>46178</v>
      </c>
      <c r="I761" s="24" t="s">
        <v>10</v>
      </c>
      <c r="J761" s="24" t="s">
        <v>33</v>
      </c>
      <c r="K761" s="24" t="str">
        <f>IF(certifications[[#This Row],[ISSUE DATE]]="", "", TEXT(certifications[[#This Row],[ISSUE DATE]], "MMM"))</f>
        <v>Jun</v>
      </c>
      <c r="L761" s="35" t="str">
        <f>IF(certifications[[#This Row],[ISSUE DATE]]="", "", TEXT(certifications[[#This Row],[ISSUE DATE]], "YYYY"))</f>
        <v>2022</v>
      </c>
    </row>
    <row r="762" spans="1:12" s="29" customFormat="1" ht="23.95" customHeight="1" x14ac:dyDescent="0.3">
      <c r="A762" s="31"/>
      <c r="B762" s="24">
        <v>749</v>
      </c>
      <c r="C762" s="24" t="s">
        <v>842</v>
      </c>
      <c r="D762" s="24" t="s">
        <v>32</v>
      </c>
      <c r="E762" s="24" t="s">
        <v>26</v>
      </c>
      <c r="F762" s="24">
        <v>17526</v>
      </c>
      <c r="G762" s="25">
        <v>44960</v>
      </c>
      <c r="H762" s="25">
        <v>46421</v>
      </c>
      <c r="I762" s="24" t="s">
        <v>10</v>
      </c>
      <c r="J762" s="24" t="s">
        <v>33</v>
      </c>
      <c r="K762" s="24" t="str">
        <f>IF(certifications[[#This Row],[ISSUE DATE]]="", "", TEXT(certifications[[#This Row],[ISSUE DATE]], "MMM"))</f>
        <v>Feb</v>
      </c>
      <c r="L762" s="35" t="str">
        <f>IF(certifications[[#This Row],[ISSUE DATE]]="", "", TEXT(certifications[[#This Row],[ISSUE DATE]], "YYYY"))</f>
        <v>2023</v>
      </c>
    </row>
    <row r="763" spans="1:12" s="29" customFormat="1" ht="23.95" customHeight="1" x14ac:dyDescent="0.3">
      <c r="A763" s="31"/>
      <c r="B763" s="24">
        <v>750</v>
      </c>
      <c r="C763" s="24" t="s">
        <v>843</v>
      </c>
      <c r="D763" s="24" t="s">
        <v>37</v>
      </c>
      <c r="E763" s="24" t="s">
        <v>9</v>
      </c>
      <c r="F763" s="24">
        <v>8785</v>
      </c>
      <c r="G763" s="25">
        <v>41710</v>
      </c>
      <c r="H763" s="25">
        <v>42441</v>
      </c>
      <c r="I763" s="24" t="s">
        <v>16</v>
      </c>
      <c r="J763" s="24" t="s">
        <v>38</v>
      </c>
      <c r="K763" s="24" t="str">
        <f>IF(certifications[[#This Row],[ISSUE DATE]]="", "", TEXT(certifications[[#This Row],[ISSUE DATE]], "MMM"))</f>
        <v>Mar</v>
      </c>
      <c r="L763" s="35" t="str">
        <f>IF(certifications[[#This Row],[ISSUE DATE]]="", "", TEXT(certifications[[#This Row],[ISSUE DATE]], "YYYY"))</f>
        <v>2014</v>
      </c>
    </row>
    <row r="764" spans="1:12" s="29" customFormat="1" ht="23.95" customHeight="1" x14ac:dyDescent="0.3">
      <c r="A764" s="31"/>
      <c r="B764" s="24">
        <v>751</v>
      </c>
      <c r="C764" s="24" t="s">
        <v>844</v>
      </c>
      <c r="D764" s="24" t="s">
        <v>845</v>
      </c>
      <c r="E764" s="24" t="s">
        <v>9</v>
      </c>
      <c r="F764" s="24">
        <v>15339</v>
      </c>
      <c r="G764" s="25">
        <v>44041</v>
      </c>
      <c r="H764" s="25">
        <v>44771</v>
      </c>
      <c r="I764" s="24" t="s">
        <v>16</v>
      </c>
      <c r="J764" s="24" t="s">
        <v>30</v>
      </c>
      <c r="K764" s="24" t="str">
        <f>IF(certifications[[#This Row],[ISSUE DATE]]="", "", TEXT(certifications[[#This Row],[ISSUE DATE]], "MMM"))</f>
        <v>Jul</v>
      </c>
      <c r="L764" s="35" t="str">
        <f>IF(certifications[[#This Row],[ISSUE DATE]]="", "", TEXT(certifications[[#This Row],[ISSUE DATE]], "YYYY"))</f>
        <v>2020</v>
      </c>
    </row>
    <row r="765" spans="1:12" s="29" customFormat="1" ht="23.95" customHeight="1" x14ac:dyDescent="0.3">
      <c r="A765" s="31"/>
      <c r="B765" s="24">
        <v>752</v>
      </c>
      <c r="C765" s="24" t="s">
        <v>846</v>
      </c>
      <c r="D765" s="24" t="s">
        <v>252</v>
      </c>
      <c r="E765" s="24" t="s">
        <v>9</v>
      </c>
      <c r="F765" s="24">
        <v>20395</v>
      </c>
      <c r="G765" s="25">
        <v>45453</v>
      </c>
      <c r="H765" s="25">
        <v>46183</v>
      </c>
      <c r="I765" s="24" t="s">
        <v>10</v>
      </c>
      <c r="J765" s="24" t="s">
        <v>38</v>
      </c>
      <c r="K765" s="24" t="str">
        <f>IF(certifications[[#This Row],[ISSUE DATE]]="", "", TEXT(certifications[[#This Row],[ISSUE DATE]], "MMM"))</f>
        <v>Jun</v>
      </c>
      <c r="L765" s="35" t="str">
        <f>IF(certifications[[#This Row],[ISSUE DATE]]="", "", TEXT(certifications[[#This Row],[ISSUE DATE]], "YYYY"))</f>
        <v>2024</v>
      </c>
    </row>
    <row r="766" spans="1:12" s="29" customFormat="1" ht="23.95" customHeight="1" x14ac:dyDescent="0.3">
      <c r="A766" s="31"/>
      <c r="B766" s="24">
        <v>753</v>
      </c>
      <c r="C766" s="24" t="s">
        <v>847</v>
      </c>
      <c r="D766" s="24" t="s">
        <v>848</v>
      </c>
      <c r="E766" s="24" t="s">
        <v>9</v>
      </c>
      <c r="F766" s="24">
        <v>20704</v>
      </c>
      <c r="G766" s="25">
        <v>45521</v>
      </c>
      <c r="H766" s="25">
        <v>46251</v>
      </c>
      <c r="I766" s="24" t="s">
        <v>10</v>
      </c>
      <c r="J766" s="24" t="s">
        <v>38</v>
      </c>
      <c r="K766" s="24" t="str">
        <f>IF(certifications[[#This Row],[ISSUE DATE]]="", "", TEXT(certifications[[#This Row],[ISSUE DATE]], "MMM"))</f>
        <v>Aug</v>
      </c>
      <c r="L766" s="35" t="str">
        <f>IF(certifications[[#This Row],[ISSUE DATE]]="", "", TEXT(certifications[[#This Row],[ISSUE DATE]], "YYYY"))</f>
        <v>2024</v>
      </c>
    </row>
    <row r="767" spans="1:12" s="29" customFormat="1" ht="23.95" customHeight="1" x14ac:dyDescent="0.3">
      <c r="A767" s="31"/>
      <c r="B767" s="24">
        <v>754</v>
      </c>
      <c r="C767" s="24" t="s">
        <v>849</v>
      </c>
      <c r="D767" s="24" t="s">
        <v>695</v>
      </c>
      <c r="E767" s="24" t="s">
        <v>9</v>
      </c>
      <c r="F767" s="24">
        <v>13571</v>
      </c>
      <c r="G767" s="25">
        <v>43630</v>
      </c>
      <c r="H767" s="25">
        <v>44361</v>
      </c>
      <c r="I767" s="24" t="s">
        <v>16</v>
      </c>
      <c r="J767" s="24" t="s">
        <v>11</v>
      </c>
      <c r="K767" s="24" t="str">
        <f>IF(certifications[[#This Row],[ISSUE DATE]]="", "", TEXT(certifications[[#This Row],[ISSUE DATE]], "MMM"))</f>
        <v>Jun</v>
      </c>
      <c r="L767" s="35" t="str">
        <f>IF(certifications[[#This Row],[ISSUE DATE]]="", "", TEXT(certifications[[#This Row],[ISSUE DATE]], "YYYY"))</f>
        <v>2019</v>
      </c>
    </row>
    <row r="768" spans="1:12" s="29" customFormat="1" ht="23.95" customHeight="1" x14ac:dyDescent="0.3">
      <c r="A768" s="31"/>
      <c r="B768" s="24">
        <v>755</v>
      </c>
      <c r="C768" s="24" t="s">
        <v>850</v>
      </c>
      <c r="D768" s="24" t="s">
        <v>32</v>
      </c>
      <c r="E768" s="24" t="s">
        <v>9</v>
      </c>
      <c r="F768" s="24">
        <v>13073</v>
      </c>
      <c r="G768" s="25">
        <v>43546</v>
      </c>
      <c r="H768" s="25">
        <v>44277</v>
      </c>
      <c r="I768" s="24" t="s">
        <v>16</v>
      </c>
      <c r="J768" s="24" t="s">
        <v>33</v>
      </c>
      <c r="K768" s="24" t="str">
        <f>IF(certifications[[#This Row],[ISSUE DATE]]="", "", TEXT(certifications[[#This Row],[ISSUE DATE]], "MMM"))</f>
        <v>Mar</v>
      </c>
      <c r="L768" s="35" t="str">
        <f>IF(certifications[[#This Row],[ISSUE DATE]]="", "", TEXT(certifications[[#This Row],[ISSUE DATE]], "YYYY"))</f>
        <v>2019</v>
      </c>
    </row>
    <row r="769" spans="1:12" s="29" customFormat="1" ht="23.95" customHeight="1" x14ac:dyDescent="0.3">
      <c r="A769" s="31"/>
      <c r="B769" s="24">
        <v>756</v>
      </c>
      <c r="C769" s="24" t="s">
        <v>851</v>
      </c>
      <c r="D769" s="24" t="s">
        <v>32</v>
      </c>
      <c r="E769" s="24" t="s">
        <v>9</v>
      </c>
      <c r="F769" s="24">
        <v>11346</v>
      </c>
      <c r="G769" s="25">
        <v>43227</v>
      </c>
      <c r="H769" s="25">
        <v>43958</v>
      </c>
      <c r="I769" s="24" t="s">
        <v>16</v>
      </c>
      <c r="J769" s="24" t="s">
        <v>33</v>
      </c>
      <c r="K769" s="24" t="str">
        <f>IF(certifications[[#This Row],[ISSUE DATE]]="", "", TEXT(certifications[[#This Row],[ISSUE DATE]], "MMM"))</f>
        <v>May</v>
      </c>
      <c r="L769" s="35" t="str">
        <f>IF(certifications[[#This Row],[ISSUE DATE]]="", "", TEXT(certifications[[#This Row],[ISSUE DATE]], "YYYY"))</f>
        <v>2018</v>
      </c>
    </row>
    <row r="770" spans="1:12" s="29" customFormat="1" ht="23.95" customHeight="1" x14ac:dyDescent="0.3">
      <c r="A770" s="31"/>
      <c r="B770" s="24">
        <v>757</v>
      </c>
      <c r="C770" s="24" t="s">
        <v>852</v>
      </c>
      <c r="D770" s="24" t="s">
        <v>18</v>
      </c>
      <c r="E770" s="24" t="s">
        <v>9</v>
      </c>
      <c r="F770" s="24">
        <v>9890</v>
      </c>
      <c r="G770" s="25">
        <v>42683</v>
      </c>
      <c r="H770" s="25">
        <v>45605</v>
      </c>
      <c r="I770" s="24" t="s">
        <v>82</v>
      </c>
      <c r="J770" s="24" t="s">
        <v>19</v>
      </c>
      <c r="K770" s="24" t="str">
        <f>IF(certifications[[#This Row],[ISSUE DATE]]="", "", TEXT(certifications[[#This Row],[ISSUE DATE]], "MMM"))</f>
        <v>Nov</v>
      </c>
      <c r="L770" s="35" t="str">
        <f>IF(certifications[[#This Row],[ISSUE DATE]]="", "", TEXT(certifications[[#This Row],[ISSUE DATE]], "YYYY"))</f>
        <v>2016</v>
      </c>
    </row>
    <row r="771" spans="1:12" s="29" customFormat="1" ht="23.95" customHeight="1" x14ac:dyDescent="0.3">
      <c r="A771" s="31"/>
      <c r="B771" s="24">
        <v>758</v>
      </c>
      <c r="C771" s="24" t="s">
        <v>853</v>
      </c>
      <c r="D771" s="24" t="s">
        <v>32</v>
      </c>
      <c r="E771" s="24" t="s">
        <v>9</v>
      </c>
      <c r="F771" s="24">
        <v>8556</v>
      </c>
      <c r="G771" s="25">
        <v>41485</v>
      </c>
      <c r="H771" s="25">
        <v>42215</v>
      </c>
      <c r="I771" s="24" t="s">
        <v>16</v>
      </c>
      <c r="J771" s="24" t="s">
        <v>33</v>
      </c>
      <c r="K771" s="24" t="str">
        <f>IF(certifications[[#This Row],[ISSUE DATE]]="", "", TEXT(certifications[[#This Row],[ISSUE DATE]], "MMM"))</f>
        <v>Jul</v>
      </c>
      <c r="L771" s="35" t="str">
        <f>IF(certifications[[#This Row],[ISSUE DATE]]="", "", TEXT(certifications[[#This Row],[ISSUE DATE]], "YYYY"))</f>
        <v>2013</v>
      </c>
    </row>
    <row r="772" spans="1:12" s="29" customFormat="1" ht="23.95" customHeight="1" x14ac:dyDescent="0.3">
      <c r="A772" s="31"/>
      <c r="B772" s="24">
        <v>759</v>
      </c>
      <c r="C772" s="24" t="s">
        <v>854</v>
      </c>
      <c r="D772" s="24" t="s">
        <v>249</v>
      </c>
      <c r="E772" s="24" t="s">
        <v>9</v>
      </c>
      <c r="F772" s="24">
        <v>12418</v>
      </c>
      <c r="G772" s="25">
        <v>45580</v>
      </c>
      <c r="H772" s="25">
        <v>46310</v>
      </c>
      <c r="I772" s="24" t="s">
        <v>10</v>
      </c>
      <c r="J772" s="24" t="s">
        <v>30</v>
      </c>
      <c r="K772" s="24" t="str">
        <f>IF(certifications[[#This Row],[ISSUE DATE]]="", "", TEXT(certifications[[#This Row],[ISSUE DATE]], "MMM"))</f>
        <v>Oct</v>
      </c>
      <c r="L772" s="35" t="str">
        <f>IF(certifications[[#This Row],[ISSUE DATE]]="", "", TEXT(certifications[[#This Row],[ISSUE DATE]], "YYYY"))</f>
        <v>2024</v>
      </c>
    </row>
    <row r="773" spans="1:12" s="29" customFormat="1" ht="23.95" customHeight="1" x14ac:dyDescent="0.3">
      <c r="A773" s="31"/>
      <c r="B773" s="24">
        <v>760</v>
      </c>
      <c r="C773" s="24" t="s">
        <v>855</v>
      </c>
      <c r="D773" s="24" t="s">
        <v>722</v>
      </c>
      <c r="E773" s="24" t="s">
        <v>9</v>
      </c>
      <c r="F773" s="24">
        <v>17037</v>
      </c>
      <c r="G773" s="25">
        <v>44552</v>
      </c>
      <c r="H773" s="25">
        <v>45282</v>
      </c>
      <c r="I773" s="24" t="s">
        <v>16</v>
      </c>
      <c r="J773" s="24" t="s">
        <v>30</v>
      </c>
      <c r="K773" s="24" t="str">
        <f>IF(certifications[[#This Row],[ISSUE DATE]]="", "", TEXT(certifications[[#This Row],[ISSUE DATE]], "MMM"))</f>
        <v>Dec</v>
      </c>
      <c r="L773" s="35" t="str">
        <f>IF(certifications[[#This Row],[ISSUE DATE]]="", "", TEXT(certifications[[#This Row],[ISSUE DATE]], "YYYY"))</f>
        <v>2021</v>
      </c>
    </row>
    <row r="774" spans="1:12" s="29" customFormat="1" ht="23.95" customHeight="1" x14ac:dyDescent="0.3">
      <c r="A774" s="31"/>
      <c r="B774" s="24">
        <v>761</v>
      </c>
      <c r="C774" s="24" t="s">
        <v>855</v>
      </c>
      <c r="D774" s="24" t="s">
        <v>722</v>
      </c>
      <c r="E774" s="24" t="s">
        <v>26</v>
      </c>
      <c r="F774" s="24">
        <v>17037</v>
      </c>
      <c r="G774" s="25">
        <v>44543</v>
      </c>
      <c r="H774" s="25">
        <v>45273</v>
      </c>
      <c r="I774" s="24" t="s">
        <v>16</v>
      </c>
      <c r="J774" s="24" t="s">
        <v>30</v>
      </c>
      <c r="K774" s="24" t="str">
        <f>IF(certifications[[#This Row],[ISSUE DATE]]="", "", TEXT(certifications[[#This Row],[ISSUE DATE]], "MMM"))</f>
        <v>Dec</v>
      </c>
      <c r="L774" s="35" t="str">
        <f>IF(certifications[[#This Row],[ISSUE DATE]]="", "", TEXT(certifications[[#This Row],[ISSUE DATE]], "YYYY"))</f>
        <v>2021</v>
      </c>
    </row>
    <row r="775" spans="1:12" s="29" customFormat="1" ht="23.95" customHeight="1" x14ac:dyDescent="0.3">
      <c r="A775" s="31"/>
      <c r="B775" s="24">
        <v>762</v>
      </c>
      <c r="C775" s="24" t="s">
        <v>856</v>
      </c>
      <c r="D775" s="24" t="s">
        <v>529</v>
      </c>
      <c r="E775" s="24" t="s">
        <v>9</v>
      </c>
      <c r="F775" s="24">
        <v>7936</v>
      </c>
      <c r="G775" s="25">
        <v>40823</v>
      </c>
      <c r="H775" s="25">
        <v>41554</v>
      </c>
      <c r="I775" s="24" t="s">
        <v>16</v>
      </c>
      <c r="J775" s="24" t="s">
        <v>38</v>
      </c>
      <c r="K775" s="24" t="str">
        <f>IF(certifications[[#This Row],[ISSUE DATE]]="", "", TEXT(certifications[[#This Row],[ISSUE DATE]], "MMM"))</f>
        <v>Oct</v>
      </c>
      <c r="L775" s="35" t="str">
        <f>IF(certifications[[#This Row],[ISSUE DATE]]="", "", TEXT(certifications[[#This Row],[ISSUE DATE]], "YYYY"))</f>
        <v>2011</v>
      </c>
    </row>
    <row r="776" spans="1:12" s="29" customFormat="1" ht="23.95" customHeight="1" x14ac:dyDescent="0.3">
      <c r="A776" s="31"/>
      <c r="B776" s="24">
        <v>763</v>
      </c>
      <c r="C776" s="24" t="s">
        <v>857</v>
      </c>
      <c r="D776" s="24" t="s">
        <v>377</v>
      </c>
      <c r="E776" s="24" t="s">
        <v>9</v>
      </c>
      <c r="F776" s="24">
        <v>13576</v>
      </c>
      <c r="G776" s="25">
        <v>43630</v>
      </c>
      <c r="H776" s="25">
        <v>45091</v>
      </c>
      <c r="I776" s="24" t="s">
        <v>16</v>
      </c>
      <c r="J776" s="24" t="s">
        <v>14</v>
      </c>
      <c r="K776" s="24" t="str">
        <f>IF(certifications[[#This Row],[ISSUE DATE]]="", "", TEXT(certifications[[#This Row],[ISSUE DATE]], "MMM"))</f>
        <v>Jun</v>
      </c>
      <c r="L776" s="35" t="str">
        <f>IF(certifications[[#This Row],[ISSUE DATE]]="", "", TEXT(certifications[[#This Row],[ISSUE DATE]], "YYYY"))</f>
        <v>2019</v>
      </c>
    </row>
    <row r="777" spans="1:12" s="29" customFormat="1" ht="23.95" customHeight="1" x14ac:dyDescent="0.3">
      <c r="A777" s="31"/>
      <c r="B777" s="24">
        <v>764</v>
      </c>
      <c r="C777" s="24" t="s">
        <v>858</v>
      </c>
      <c r="D777" s="24" t="s">
        <v>13</v>
      </c>
      <c r="E777" s="24" t="s">
        <v>9</v>
      </c>
      <c r="F777" s="24">
        <v>10272</v>
      </c>
      <c r="G777" s="25">
        <v>42912</v>
      </c>
      <c r="H777" s="25">
        <v>43642</v>
      </c>
      <c r="I777" s="24" t="s">
        <v>16</v>
      </c>
      <c r="J777" s="24" t="s">
        <v>14</v>
      </c>
      <c r="K777" s="24" t="str">
        <f>IF(certifications[[#This Row],[ISSUE DATE]]="", "", TEXT(certifications[[#This Row],[ISSUE DATE]], "MMM"))</f>
        <v>Jun</v>
      </c>
      <c r="L777" s="35" t="str">
        <f>IF(certifications[[#This Row],[ISSUE DATE]]="", "", TEXT(certifications[[#This Row],[ISSUE DATE]], "YYYY"))</f>
        <v>2017</v>
      </c>
    </row>
    <row r="778" spans="1:12" s="29" customFormat="1" ht="23.95" customHeight="1" x14ac:dyDescent="0.3">
      <c r="A778" s="31"/>
      <c r="B778" s="24">
        <v>765</v>
      </c>
      <c r="C778" s="24" t="s">
        <v>859</v>
      </c>
      <c r="D778" s="24" t="s">
        <v>32</v>
      </c>
      <c r="E778" s="24" t="s">
        <v>9</v>
      </c>
      <c r="F778" s="24">
        <v>20336</v>
      </c>
      <c r="G778" s="25">
        <v>45436</v>
      </c>
      <c r="H778" s="25">
        <v>46166</v>
      </c>
      <c r="I778" s="24" t="s">
        <v>10</v>
      </c>
      <c r="J778" s="24" t="s">
        <v>33</v>
      </c>
      <c r="K778" s="24" t="str">
        <f>IF(certifications[[#This Row],[ISSUE DATE]]="", "", TEXT(certifications[[#This Row],[ISSUE DATE]], "MMM"))</f>
        <v>May</v>
      </c>
      <c r="L778" s="35" t="str">
        <f>IF(certifications[[#This Row],[ISSUE DATE]]="", "", TEXT(certifications[[#This Row],[ISSUE DATE]], "YYYY"))</f>
        <v>2024</v>
      </c>
    </row>
    <row r="779" spans="1:12" s="29" customFormat="1" ht="23.95" customHeight="1" x14ac:dyDescent="0.3">
      <c r="A779" s="31"/>
      <c r="B779" s="24">
        <v>766</v>
      </c>
      <c r="C779" s="24" t="s">
        <v>860</v>
      </c>
      <c r="D779" s="24" t="s">
        <v>29</v>
      </c>
      <c r="E779" s="24" t="s">
        <v>9</v>
      </c>
      <c r="F779" s="24">
        <v>15442</v>
      </c>
      <c r="G779" s="25">
        <v>44071</v>
      </c>
      <c r="H779" s="25">
        <v>46262</v>
      </c>
      <c r="I779" s="24" t="s">
        <v>10</v>
      </c>
      <c r="J779" s="24" t="s">
        <v>30</v>
      </c>
      <c r="K779" s="24" t="str">
        <f>IF(certifications[[#This Row],[ISSUE DATE]]="", "", TEXT(certifications[[#This Row],[ISSUE DATE]], "MMM"))</f>
        <v>Aug</v>
      </c>
      <c r="L779" s="35" t="str">
        <f>IF(certifications[[#This Row],[ISSUE DATE]]="", "", TEXT(certifications[[#This Row],[ISSUE DATE]], "YYYY"))</f>
        <v>2020</v>
      </c>
    </row>
    <row r="780" spans="1:12" s="29" customFormat="1" ht="23.95" customHeight="1" x14ac:dyDescent="0.3">
      <c r="A780" s="31"/>
      <c r="B780" s="24">
        <v>767</v>
      </c>
      <c r="C780" s="24" t="s">
        <v>861</v>
      </c>
      <c r="D780" s="24" t="s">
        <v>32</v>
      </c>
      <c r="E780" s="24" t="s">
        <v>9</v>
      </c>
      <c r="F780" s="24">
        <v>14805</v>
      </c>
      <c r="G780" s="25">
        <v>43787</v>
      </c>
      <c r="H780" s="25">
        <v>44518</v>
      </c>
      <c r="I780" s="24" t="s">
        <v>16</v>
      </c>
      <c r="J780" s="24" t="s">
        <v>33</v>
      </c>
      <c r="K780" s="24" t="str">
        <f>IF(certifications[[#This Row],[ISSUE DATE]]="", "", TEXT(certifications[[#This Row],[ISSUE DATE]], "MMM"))</f>
        <v>Nov</v>
      </c>
      <c r="L780" s="35" t="str">
        <f>IF(certifications[[#This Row],[ISSUE DATE]]="", "", TEXT(certifications[[#This Row],[ISSUE DATE]], "YYYY"))</f>
        <v>2019</v>
      </c>
    </row>
    <row r="781" spans="1:12" s="29" customFormat="1" ht="23.95" customHeight="1" x14ac:dyDescent="0.3">
      <c r="A781" s="31"/>
      <c r="B781" s="24">
        <v>768</v>
      </c>
      <c r="C781" s="24" t="s">
        <v>862</v>
      </c>
      <c r="D781" s="24" t="s">
        <v>13</v>
      </c>
      <c r="E781" s="24" t="s">
        <v>9</v>
      </c>
      <c r="F781" s="24">
        <v>7981</v>
      </c>
      <c r="G781" s="25">
        <v>42648</v>
      </c>
      <c r="H781" s="25">
        <v>44839</v>
      </c>
      <c r="I781" s="24" t="s">
        <v>16</v>
      </c>
      <c r="J781" s="24" t="s">
        <v>14</v>
      </c>
      <c r="K781" s="24" t="str">
        <f>IF(certifications[[#This Row],[ISSUE DATE]]="", "", TEXT(certifications[[#This Row],[ISSUE DATE]], "MMM"))</f>
        <v>Oct</v>
      </c>
      <c r="L781" s="35" t="str">
        <f>IF(certifications[[#This Row],[ISSUE DATE]]="", "", TEXT(certifications[[#This Row],[ISSUE DATE]], "YYYY"))</f>
        <v>2016</v>
      </c>
    </row>
    <row r="782" spans="1:12" s="29" customFormat="1" ht="23.95" customHeight="1" x14ac:dyDescent="0.3">
      <c r="A782" s="31"/>
      <c r="B782" s="24">
        <v>769</v>
      </c>
      <c r="C782" s="24" t="s">
        <v>863</v>
      </c>
      <c r="D782" s="24" t="s">
        <v>32</v>
      </c>
      <c r="E782" s="24" t="s">
        <v>9</v>
      </c>
      <c r="F782" s="24">
        <v>8044</v>
      </c>
      <c r="G782" s="25">
        <v>40977</v>
      </c>
      <c r="H782" s="25">
        <v>45360</v>
      </c>
      <c r="I782" s="24" t="s">
        <v>16</v>
      </c>
      <c r="J782" s="24" t="s">
        <v>33</v>
      </c>
      <c r="K782" s="24" t="str">
        <f>IF(certifications[[#This Row],[ISSUE DATE]]="", "", TEXT(certifications[[#This Row],[ISSUE DATE]], "MMM"))</f>
        <v>Mar</v>
      </c>
      <c r="L782" s="35" t="str">
        <f>IF(certifications[[#This Row],[ISSUE DATE]]="", "", TEXT(certifications[[#This Row],[ISSUE DATE]], "YYYY"))</f>
        <v>2012</v>
      </c>
    </row>
    <row r="783" spans="1:12" s="29" customFormat="1" ht="23.95" customHeight="1" x14ac:dyDescent="0.3">
      <c r="A783" s="31"/>
      <c r="B783" s="24">
        <v>770</v>
      </c>
      <c r="C783" s="24" t="s">
        <v>864</v>
      </c>
      <c r="D783" s="24" t="s">
        <v>18</v>
      </c>
      <c r="E783" s="24" t="s">
        <v>9</v>
      </c>
      <c r="F783" s="24">
        <v>9433</v>
      </c>
      <c r="G783" s="25">
        <v>42341</v>
      </c>
      <c r="H783" s="25">
        <v>45994</v>
      </c>
      <c r="I783" s="24" t="s">
        <v>10</v>
      </c>
      <c r="J783" s="24" t="s">
        <v>19</v>
      </c>
      <c r="K783" s="24" t="str">
        <f>IF(certifications[[#This Row],[ISSUE DATE]]="", "", TEXT(certifications[[#This Row],[ISSUE DATE]], "MMM"))</f>
        <v>Dec</v>
      </c>
      <c r="L783" s="35" t="str">
        <f>IF(certifications[[#This Row],[ISSUE DATE]]="", "", TEXT(certifications[[#This Row],[ISSUE DATE]], "YYYY"))</f>
        <v>2015</v>
      </c>
    </row>
    <row r="784" spans="1:12" s="29" customFormat="1" ht="23.95" customHeight="1" x14ac:dyDescent="0.3">
      <c r="A784" s="31"/>
      <c r="B784" s="24">
        <v>771</v>
      </c>
      <c r="C784" s="24" t="s">
        <v>865</v>
      </c>
      <c r="D784" s="24" t="s">
        <v>32</v>
      </c>
      <c r="E784" s="24" t="s">
        <v>9</v>
      </c>
      <c r="F784" s="24">
        <v>19871</v>
      </c>
      <c r="G784" s="25">
        <v>45336</v>
      </c>
      <c r="H784" s="25">
        <v>46067</v>
      </c>
      <c r="I784" s="24" t="s">
        <v>10</v>
      </c>
      <c r="J784" s="24" t="s">
        <v>33</v>
      </c>
      <c r="K784" s="24" t="str">
        <f>IF(certifications[[#This Row],[ISSUE DATE]]="", "", TEXT(certifications[[#This Row],[ISSUE DATE]], "MMM"))</f>
        <v>Feb</v>
      </c>
      <c r="L784" s="35" t="str">
        <f>IF(certifications[[#This Row],[ISSUE DATE]]="", "", TEXT(certifications[[#This Row],[ISSUE DATE]], "YYYY"))</f>
        <v>2024</v>
      </c>
    </row>
    <row r="785" spans="1:12" s="29" customFormat="1" ht="23.95" customHeight="1" x14ac:dyDescent="0.3">
      <c r="A785" s="31"/>
      <c r="B785" s="24">
        <v>772</v>
      </c>
      <c r="C785" s="24" t="s">
        <v>866</v>
      </c>
      <c r="D785" s="24" t="s">
        <v>29</v>
      </c>
      <c r="E785" s="24" t="s">
        <v>9</v>
      </c>
      <c r="F785" s="24">
        <v>9987</v>
      </c>
      <c r="G785" s="25">
        <v>42746</v>
      </c>
      <c r="H785" s="25">
        <v>43476</v>
      </c>
      <c r="I785" s="24" t="s">
        <v>16</v>
      </c>
      <c r="J785" s="24" t="s">
        <v>30</v>
      </c>
      <c r="K785" s="24" t="str">
        <f>IF(certifications[[#This Row],[ISSUE DATE]]="", "", TEXT(certifications[[#This Row],[ISSUE DATE]], "MMM"))</f>
        <v>Jan</v>
      </c>
      <c r="L785" s="35" t="str">
        <f>IF(certifications[[#This Row],[ISSUE DATE]]="", "", TEXT(certifications[[#This Row],[ISSUE DATE]], "YYYY"))</f>
        <v>2017</v>
      </c>
    </row>
    <row r="786" spans="1:12" s="29" customFormat="1" ht="23.95" customHeight="1" x14ac:dyDescent="0.3">
      <c r="A786" s="31"/>
      <c r="B786" s="24">
        <v>773</v>
      </c>
      <c r="C786" s="24" t="s">
        <v>867</v>
      </c>
      <c r="D786" s="24" t="s">
        <v>32</v>
      </c>
      <c r="E786" s="24" t="s">
        <v>9</v>
      </c>
      <c r="F786" s="24">
        <v>18286</v>
      </c>
      <c r="G786" s="25">
        <v>44963</v>
      </c>
      <c r="H786" s="25">
        <v>46424</v>
      </c>
      <c r="I786" s="24" t="s">
        <v>10</v>
      </c>
      <c r="J786" s="24" t="s">
        <v>33</v>
      </c>
      <c r="K786" s="24" t="str">
        <f>IF(certifications[[#This Row],[ISSUE DATE]]="", "", TEXT(certifications[[#This Row],[ISSUE DATE]], "MMM"))</f>
        <v>Feb</v>
      </c>
      <c r="L786" s="35" t="str">
        <f>IF(certifications[[#This Row],[ISSUE DATE]]="", "", TEXT(certifications[[#This Row],[ISSUE DATE]], "YYYY"))</f>
        <v>2023</v>
      </c>
    </row>
    <row r="787" spans="1:12" s="29" customFormat="1" ht="23.95" customHeight="1" x14ac:dyDescent="0.3">
      <c r="A787" s="31"/>
      <c r="B787" s="24">
        <v>774</v>
      </c>
      <c r="C787" s="24" t="s">
        <v>868</v>
      </c>
      <c r="D787" s="24" t="s">
        <v>32</v>
      </c>
      <c r="E787" s="24" t="s">
        <v>9</v>
      </c>
      <c r="F787" s="24">
        <v>14808</v>
      </c>
      <c r="G787" s="25">
        <v>43787</v>
      </c>
      <c r="H787" s="25">
        <v>44518</v>
      </c>
      <c r="I787" s="24" t="s">
        <v>16</v>
      </c>
      <c r="J787" s="24" t="s">
        <v>33</v>
      </c>
      <c r="K787" s="24" t="str">
        <f>IF(certifications[[#This Row],[ISSUE DATE]]="", "", TEXT(certifications[[#This Row],[ISSUE DATE]], "MMM"))</f>
        <v>Nov</v>
      </c>
      <c r="L787" s="35" t="str">
        <f>IF(certifications[[#This Row],[ISSUE DATE]]="", "", TEXT(certifications[[#This Row],[ISSUE DATE]], "YYYY"))</f>
        <v>2019</v>
      </c>
    </row>
    <row r="788" spans="1:12" s="29" customFormat="1" ht="23.95" customHeight="1" x14ac:dyDescent="0.3">
      <c r="A788" s="31"/>
      <c r="B788" s="24">
        <v>775</v>
      </c>
      <c r="C788" s="24" t="s">
        <v>869</v>
      </c>
      <c r="D788" s="24" t="s">
        <v>32</v>
      </c>
      <c r="E788" s="24" t="s">
        <v>9</v>
      </c>
      <c r="F788" s="24">
        <v>17309</v>
      </c>
      <c r="G788" s="25">
        <v>44656</v>
      </c>
      <c r="H788" s="25">
        <v>46117</v>
      </c>
      <c r="I788" s="24" t="s">
        <v>10</v>
      </c>
      <c r="J788" s="24" t="s">
        <v>33</v>
      </c>
      <c r="K788" s="24" t="str">
        <f>IF(certifications[[#This Row],[ISSUE DATE]]="", "", TEXT(certifications[[#This Row],[ISSUE DATE]], "MMM"))</f>
        <v>Apr</v>
      </c>
      <c r="L788" s="35" t="str">
        <f>IF(certifications[[#This Row],[ISSUE DATE]]="", "", TEXT(certifications[[#This Row],[ISSUE DATE]], "YYYY"))</f>
        <v>2022</v>
      </c>
    </row>
    <row r="789" spans="1:12" s="29" customFormat="1" ht="23.95" customHeight="1" x14ac:dyDescent="0.3">
      <c r="A789" s="31"/>
      <c r="B789" s="24">
        <v>776</v>
      </c>
      <c r="C789" s="24" t="s">
        <v>870</v>
      </c>
      <c r="D789" s="24" t="s">
        <v>32</v>
      </c>
      <c r="E789" s="24" t="s">
        <v>9</v>
      </c>
      <c r="F789" s="24">
        <v>8321</v>
      </c>
      <c r="G789" s="25">
        <v>41325</v>
      </c>
      <c r="H789" s="25">
        <v>42055</v>
      </c>
      <c r="I789" s="24" t="s">
        <v>16</v>
      </c>
      <c r="J789" s="24" t="s">
        <v>33</v>
      </c>
      <c r="K789" s="24" t="str">
        <f>IF(certifications[[#This Row],[ISSUE DATE]]="", "", TEXT(certifications[[#This Row],[ISSUE DATE]], "MMM"))</f>
        <v>Feb</v>
      </c>
      <c r="L789" s="35" t="str">
        <f>IF(certifications[[#This Row],[ISSUE DATE]]="", "", TEXT(certifications[[#This Row],[ISSUE DATE]], "YYYY"))</f>
        <v>2013</v>
      </c>
    </row>
    <row r="790" spans="1:12" s="29" customFormat="1" ht="23.95" customHeight="1" x14ac:dyDescent="0.3">
      <c r="A790" s="31"/>
      <c r="B790" s="24">
        <v>777</v>
      </c>
      <c r="C790" s="24" t="s">
        <v>871</v>
      </c>
      <c r="D790" s="24" t="s">
        <v>176</v>
      </c>
      <c r="E790" s="24" t="s">
        <v>9</v>
      </c>
      <c r="F790" s="24">
        <v>10490</v>
      </c>
      <c r="G790" s="25">
        <v>43035</v>
      </c>
      <c r="H790" s="25">
        <v>43765</v>
      </c>
      <c r="I790" s="24" t="s">
        <v>16</v>
      </c>
      <c r="J790" s="24" t="s">
        <v>30</v>
      </c>
      <c r="K790" s="24" t="str">
        <f>IF(certifications[[#This Row],[ISSUE DATE]]="", "", TEXT(certifications[[#This Row],[ISSUE DATE]], "MMM"))</f>
        <v>Oct</v>
      </c>
      <c r="L790" s="35" t="str">
        <f>IF(certifications[[#This Row],[ISSUE DATE]]="", "", TEXT(certifications[[#This Row],[ISSUE DATE]], "YYYY"))</f>
        <v>2017</v>
      </c>
    </row>
    <row r="791" spans="1:12" s="29" customFormat="1" ht="23.95" customHeight="1" x14ac:dyDescent="0.3">
      <c r="A791" s="31"/>
      <c r="B791" s="24">
        <v>778</v>
      </c>
      <c r="C791" s="24" t="s">
        <v>872</v>
      </c>
      <c r="D791" s="24" t="s">
        <v>260</v>
      </c>
      <c r="E791" s="24" t="s">
        <v>9</v>
      </c>
      <c r="F791" s="24">
        <v>8867</v>
      </c>
      <c r="G791" s="25">
        <v>41774</v>
      </c>
      <c r="H791" s="25">
        <v>42505</v>
      </c>
      <c r="I791" s="24" t="s">
        <v>16</v>
      </c>
      <c r="J791" s="24" t="s">
        <v>14</v>
      </c>
      <c r="K791" s="24" t="str">
        <f>IF(certifications[[#This Row],[ISSUE DATE]]="", "", TEXT(certifications[[#This Row],[ISSUE DATE]], "MMM"))</f>
        <v>May</v>
      </c>
      <c r="L791" s="35" t="str">
        <f>IF(certifications[[#This Row],[ISSUE DATE]]="", "", TEXT(certifications[[#This Row],[ISSUE DATE]], "YYYY"))</f>
        <v>2014</v>
      </c>
    </row>
    <row r="792" spans="1:12" s="29" customFormat="1" ht="23.95" customHeight="1" x14ac:dyDescent="0.3">
      <c r="A792" s="31"/>
      <c r="B792" s="24">
        <v>779</v>
      </c>
      <c r="C792" s="24" t="s">
        <v>873</v>
      </c>
      <c r="D792" s="24" t="s">
        <v>874</v>
      </c>
      <c r="E792" s="24" t="s">
        <v>9</v>
      </c>
      <c r="F792" s="24">
        <v>17941</v>
      </c>
      <c r="G792" s="25">
        <v>44845</v>
      </c>
      <c r="H792" s="25">
        <v>46306</v>
      </c>
      <c r="I792" s="24" t="s">
        <v>10</v>
      </c>
      <c r="J792" s="24" t="s">
        <v>14</v>
      </c>
      <c r="K792" s="24" t="str">
        <f>IF(certifications[[#This Row],[ISSUE DATE]]="", "", TEXT(certifications[[#This Row],[ISSUE DATE]], "MMM"))</f>
        <v>Oct</v>
      </c>
      <c r="L792" s="35" t="str">
        <f>IF(certifications[[#This Row],[ISSUE DATE]]="", "", TEXT(certifications[[#This Row],[ISSUE DATE]], "YYYY"))</f>
        <v>2022</v>
      </c>
    </row>
    <row r="793" spans="1:12" s="29" customFormat="1" ht="23.95" customHeight="1" x14ac:dyDescent="0.3">
      <c r="A793" s="31"/>
      <c r="B793" s="24">
        <v>780</v>
      </c>
      <c r="C793" s="24" t="s">
        <v>875</v>
      </c>
      <c r="D793" s="24" t="s">
        <v>32</v>
      </c>
      <c r="E793" s="24" t="s">
        <v>9</v>
      </c>
      <c r="F793" s="24">
        <v>20669</v>
      </c>
      <c r="G793" s="25">
        <v>45516</v>
      </c>
      <c r="H793" s="25">
        <v>46246</v>
      </c>
      <c r="I793" s="24" t="s">
        <v>10</v>
      </c>
      <c r="J793" s="24" t="s">
        <v>33</v>
      </c>
      <c r="K793" s="24" t="str">
        <f>IF(certifications[[#This Row],[ISSUE DATE]]="", "", TEXT(certifications[[#This Row],[ISSUE DATE]], "MMM"))</f>
        <v>Aug</v>
      </c>
      <c r="L793" s="35" t="str">
        <f>IF(certifications[[#This Row],[ISSUE DATE]]="", "", TEXT(certifications[[#This Row],[ISSUE DATE]], "YYYY"))</f>
        <v>2024</v>
      </c>
    </row>
    <row r="794" spans="1:12" s="29" customFormat="1" ht="23.95" customHeight="1" x14ac:dyDescent="0.3">
      <c r="A794" s="31"/>
      <c r="B794" s="24">
        <v>781</v>
      </c>
      <c r="C794" s="24" t="s">
        <v>876</v>
      </c>
      <c r="D794" s="24" t="s">
        <v>877</v>
      </c>
      <c r="E794" s="24" t="s">
        <v>9</v>
      </c>
      <c r="F794" s="24">
        <v>9344</v>
      </c>
      <c r="G794" s="25">
        <v>42258</v>
      </c>
      <c r="H794" s="25">
        <v>42989</v>
      </c>
      <c r="I794" s="24" t="s">
        <v>16</v>
      </c>
      <c r="J794" s="24" t="s">
        <v>30</v>
      </c>
      <c r="K794" s="24" t="str">
        <f>IF(certifications[[#This Row],[ISSUE DATE]]="", "", TEXT(certifications[[#This Row],[ISSUE DATE]], "MMM"))</f>
        <v>Sep</v>
      </c>
      <c r="L794" s="35" t="str">
        <f>IF(certifications[[#This Row],[ISSUE DATE]]="", "", TEXT(certifications[[#This Row],[ISSUE DATE]], "YYYY"))</f>
        <v>2015</v>
      </c>
    </row>
    <row r="795" spans="1:12" s="29" customFormat="1" ht="23.95" customHeight="1" x14ac:dyDescent="0.3">
      <c r="A795" s="31"/>
      <c r="B795" s="24">
        <v>782</v>
      </c>
      <c r="C795" s="24" t="s">
        <v>878</v>
      </c>
      <c r="D795" s="24" t="s">
        <v>235</v>
      </c>
      <c r="E795" s="24" t="s">
        <v>9</v>
      </c>
      <c r="F795" s="24">
        <v>21201</v>
      </c>
      <c r="G795" s="25">
        <v>45638</v>
      </c>
      <c r="H795" s="25">
        <v>46368</v>
      </c>
      <c r="I795" s="24" t="s">
        <v>10</v>
      </c>
      <c r="J795" s="24" t="s">
        <v>22</v>
      </c>
      <c r="K795" s="24" t="str">
        <f>IF(certifications[[#This Row],[ISSUE DATE]]="", "", TEXT(certifications[[#This Row],[ISSUE DATE]], "MMM"))</f>
        <v>Dec</v>
      </c>
      <c r="L795" s="35" t="str">
        <f>IF(certifications[[#This Row],[ISSUE DATE]]="", "", TEXT(certifications[[#This Row],[ISSUE DATE]], "YYYY"))</f>
        <v>2024</v>
      </c>
    </row>
    <row r="796" spans="1:12" s="29" customFormat="1" ht="23.95" customHeight="1" x14ac:dyDescent="0.3">
      <c r="A796" s="31"/>
      <c r="B796" s="24">
        <v>783</v>
      </c>
      <c r="C796" s="24" t="s">
        <v>878</v>
      </c>
      <c r="D796" s="24" t="s">
        <v>235</v>
      </c>
      <c r="E796" s="24" t="s">
        <v>26</v>
      </c>
      <c r="F796" s="24">
        <v>21201</v>
      </c>
      <c r="G796" s="25">
        <v>45630</v>
      </c>
      <c r="H796" s="25">
        <v>46360</v>
      </c>
      <c r="I796" s="24" t="s">
        <v>10</v>
      </c>
      <c r="J796" s="24" t="s">
        <v>22</v>
      </c>
      <c r="K796" s="24" t="str">
        <f>IF(certifications[[#This Row],[ISSUE DATE]]="", "", TEXT(certifications[[#This Row],[ISSUE DATE]], "MMM"))</f>
        <v>Dec</v>
      </c>
      <c r="L796" s="35" t="str">
        <f>IF(certifications[[#This Row],[ISSUE DATE]]="", "", TEXT(certifications[[#This Row],[ISSUE DATE]], "YYYY"))</f>
        <v>2024</v>
      </c>
    </row>
    <row r="797" spans="1:12" s="29" customFormat="1" ht="23.95" customHeight="1" x14ac:dyDescent="0.3">
      <c r="A797" s="31"/>
      <c r="B797" s="24">
        <v>784</v>
      </c>
      <c r="C797" s="24" t="s">
        <v>879</v>
      </c>
      <c r="D797" s="24" t="s">
        <v>269</v>
      </c>
      <c r="E797" s="24" t="s">
        <v>9</v>
      </c>
      <c r="F797" s="24">
        <v>2174</v>
      </c>
      <c r="G797" s="25">
        <v>44578</v>
      </c>
      <c r="H797" s="25">
        <v>46039</v>
      </c>
      <c r="I797" s="24" t="s">
        <v>10</v>
      </c>
      <c r="J797" s="24" t="s">
        <v>25</v>
      </c>
      <c r="K797" s="24" t="str">
        <f>IF(certifications[[#This Row],[ISSUE DATE]]="", "", TEXT(certifications[[#This Row],[ISSUE DATE]], "MMM"))</f>
        <v>Jan</v>
      </c>
      <c r="L797" s="35" t="str">
        <f>IF(certifications[[#This Row],[ISSUE DATE]]="", "", TEXT(certifications[[#This Row],[ISSUE DATE]], "YYYY"))</f>
        <v>2022</v>
      </c>
    </row>
    <row r="798" spans="1:12" s="29" customFormat="1" ht="23.95" customHeight="1" x14ac:dyDescent="0.3">
      <c r="A798" s="31"/>
      <c r="B798" s="24">
        <v>785</v>
      </c>
      <c r="C798" s="24" t="s">
        <v>880</v>
      </c>
      <c r="D798" s="24" t="s">
        <v>190</v>
      </c>
      <c r="E798" s="24" t="s">
        <v>9</v>
      </c>
      <c r="F798" s="24">
        <v>11684</v>
      </c>
      <c r="G798" s="25">
        <v>43269</v>
      </c>
      <c r="H798" s="25">
        <v>44000</v>
      </c>
      <c r="I798" s="24" t="s">
        <v>16</v>
      </c>
      <c r="J798" s="24" t="s">
        <v>14</v>
      </c>
      <c r="K798" s="24" t="str">
        <f>IF(certifications[[#This Row],[ISSUE DATE]]="", "", TEXT(certifications[[#This Row],[ISSUE DATE]], "MMM"))</f>
        <v>Jun</v>
      </c>
      <c r="L798" s="35" t="str">
        <f>IF(certifications[[#This Row],[ISSUE DATE]]="", "", TEXT(certifications[[#This Row],[ISSUE DATE]], "YYYY"))</f>
        <v>2018</v>
      </c>
    </row>
    <row r="799" spans="1:12" s="29" customFormat="1" ht="23.95" customHeight="1" x14ac:dyDescent="0.3">
      <c r="A799" s="31"/>
      <c r="B799" s="24">
        <v>786</v>
      </c>
      <c r="C799" s="24" t="s">
        <v>881</v>
      </c>
      <c r="D799" s="24" t="s">
        <v>32</v>
      </c>
      <c r="E799" s="24" t="s">
        <v>9</v>
      </c>
      <c r="F799" s="24">
        <v>22113</v>
      </c>
      <c r="G799" s="25">
        <v>45814</v>
      </c>
      <c r="H799" s="25">
        <v>46544</v>
      </c>
      <c r="I799" s="24" t="s">
        <v>10</v>
      </c>
      <c r="J799" s="24" t="s">
        <v>33</v>
      </c>
      <c r="K799" s="24" t="str">
        <f>IF(certifications[[#This Row],[ISSUE DATE]]="", "", TEXT(certifications[[#This Row],[ISSUE DATE]], "MMM"))</f>
        <v>Jun</v>
      </c>
      <c r="L799" s="35" t="str">
        <f>IF(certifications[[#This Row],[ISSUE DATE]]="", "", TEXT(certifications[[#This Row],[ISSUE DATE]], "YYYY"))</f>
        <v>2025</v>
      </c>
    </row>
    <row r="800" spans="1:12" s="29" customFormat="1" ht="23.95" customHeight="1" x14ac:dyDescent="0.3">
      <c r="A800" s="31"/>
      <c r="B800" s="24">
        <v>787</v>
      </c>
      <c r="C800" s="24" t="s">
        <v>882</v>
      </c>
      <c r="D800" s="24" t="s">
        <v>32</v>
      </c>
      <c r="E800" s="24" t="s">
        <v>9</v>
      </c>
      <c r="F800" s="24">
        <v>17935</v>
      </c>
      <c r="G800" s="25">
        <v>44840</v>
      </c>
      <c r="H800" s="25">
        <v>46301</v>
      </c>
      <c r="I800" s="24" t="s">
        <v>10</v>
      </c>
      <c r="J800" s="24" t="s">
        <v>33</v>
      </c>
      <c r="K800" s="24" t="str">
        <f>IF(certifications[[#This Row],[ISSUE DATE]]="", "", TEXT(certifications[[#This Row],[ISSUE DATE]], "MMM"))</f>
        <v>Oct</v>
      </c>
      <c r="L800" s="35" t="str">
        <f>IF(certifications[[#This Row],[ISSUE DATE]]="", "", TEXT(certifications[[#This Row],[ISSUE DATE]], "YYYY"))</f>
        <v>2022</v>
      </c>
    </row>
    <row r="801" spans="1:12" s="29" customFormat="1" ht="23.95" customHeight="1" x14ac:dyDescent="0.3">
      <c r="A801" s="31"/>
      <c r="B801" s="24">
        <v>788</v>
      </c>
      <c r="C801" s="24" t="s">
        <v>883</v>
      </c>
      <c r="D801" s="24" t="s">
        <v>884</v>
      </c>
      <c r="E801" s="24" t="s">
        <v>9</v>
      </c>
      <c r="F801" s="24">
        <v>14022</v>
      </c>
      <c r="G801" s="25">
        <v>43670</v>
      </c>
      <c r="H801" s="25">
        <v>44401</v>
      </c>
      <c r="I801" s="24" t="s">
        <v>16</v>
      </c>
      <c r="J801" s="24" t="s">
        <v>22</v>
      </c>
      <c r="K801" s="24" t="str">
        <f>IF(certifications[[#This Row],[ISSUE DATE]]="", "", TEXT(certifications[[#This Row],[ISSUE DATE]], "MMM"))</f>
        <v>Jul</v>
      </c>
      <c r="L801" s="35" t="str">
        <f>IF(certifications[[#This Row],[ISSUE DATE]]="", "", TEXT(certifications[[#This Row],[ISSUE DATE]], "YYYY"))</f>
        <v>2019</v>
      </c>
    </row>
    <row r="802" spans="1:12" s="29" customFormat="1" ht="23.95" customHeight="1" x14ac:dyDescent="0.3">
      <c r="A802" s="31"/>
      <c r="B802" s="24">
        <v>789</v>
      </c>
      <c r="C802" s="24" t="s">
        <v>885</v>
      </c>
      <c r="D802" s="24" t="s">
        <v>32</v>
      </c>
      <c r="E802" s="24" t="s">
        <v>9</v>
      </c>
      <c r="F802" s="24">
        <v>9981</v>
      </c>
      <c r="G802" s="25">
        <v>42746</v>
      </c>
      <c r="H802" s="25">
        <v>46398</v>
      </c>
      <c r="I802" s="24" t="s">
        <v>10</v>
      </c>
      <c r="J802" s="24" t="s">
        <v>33</v>
      </c>
      <c r="K802" s="24" t="str">
        <f>IF(certifications[[#This Row],[ISSUE DATE]]="", "", TEXT(certifications[[#This Row],[ISSUE DATE]], "MMM"))</f>
        <v>Jan</v>
      </c>
      <c r="L802" s="35" t="str">
        <f>IF(certifications[[#This Row],[ISSUE DATE]]="", "", TEXT(certifications[[#This Row],[ISSUE DATE]], "YYYY"))</f>
        <v>2017</v>
      </c>
    </row>
    <row r="803" spans="1:12" s="29" customFormat="1" ht="23.95" customHeight="1" x14ac:dyDescent="0.3">
      <c r="A803" s="31"/>
      <c r="B803" s="24">
        <v>790</v>
      </c>
      <c r="C803" s="24" t="s">
        <v>886</v>
      </c>
      <c r="D803" s="24" t="s">
        <v>32</v>
      </c>
      <c r="E803" s="24" t="s">
        <v>9</v>
      </c>
      <c r="F803" s="24">
        <v>8550</v>
      </c>
      <c r="G803" s="25">
        <v>41485</v>
      </c>
      <c r="H803" s="25">
        <v>42215</v>
      </c>
      <c r="I803" s="24" t="s">
        <v>16</v>
      </c>
      <c r="J803" s="24" t="s">
        <v>33</v>
      </c>
      <c r="K803" s="24" t="str">
        <f>IF(certifications[[#This Row],[ISSUE DATE]]="", "", TEXT(certifications[[#This Row],[ISSUE DATE]], "MMM"))</f>
        <v>Jul</v>
      </c>
      <c r="L803" s="35" t="str">
        <f>IF(certifications[[#This Row],[ISSUE DATE]]="", "", TEXT(certifications[[#This Row],[ISSUE DATE]], "YYYY"))</f>
        <v>2013</v>
      </c>
    </row>
    <row r="804" spans="1:12" s="29" customFormat="1" ht="23.95" customHeight="1" x14ac:dyDescent="0.3">
      <c r="A804" s="31"/>
      <c r="B804" s="24">
        <v>791</v>
      </c>
      <c r="C804" s="24" t="s">
        <v>887</v>
      </c>
      <c r="D804" s="24" t="s">
        <v>109</v>
      </c>
      <c r="E804" s="24" t="s">
        <v>9</v>
      </c>
      <c r="F804" s="24">
        <v>8474</v>
      </c>
      <c r="G804" s="25">
        <v>45011</v>
      </c>
      <c r="H804" s="25">
        <v>46472</v>
      </c>
      <c r="I804" s="24" t="s">
        <v>10</v>
      </c>
      <c r="J804" s="24" t="s">
        <v>38</v>
      </c>
      <c r="K804" s="24" t="str">
        <f>IF(certifications[[#This Row],[ISSUE DATE]]="", "", TEXT(certifications[[#This Row],[ISSUE DATE]], "MMM"))</f>
        <v>Mar</v>
      </c>
      <c r="L804" s="35" t="str">
        <f>IF(certifications[[#This Row],[ISSUE DATE]]="", "", TEXT(certifications[[#This Row],[ISSUE DATE]], "YYYY"))</f>
        <v>2023</v>
      </c>
    </row>
    <row r="805" spans="1:12" s="29" customFormat="1" ht="23.95" customHeight="1" x14ac:dyDescent="0.3">
      <c r="A805" s="31"/>
      <c r="B805" s="24">
        <v>792</v>
      </c>
      <c r="C805" s="24" t="s">
        <v>888</v>
      </c>
      <c r="D805" s="24" t="s">
        <v>61</v>
      </c>
      <c r="E805" s="24" t="s">
        <v>9</v>
      </c>
      <c r="F805" s="24">
        <v>8721</v>
      </c>
      <c r="G805" s="25">
        <v>41625</v>
      </c>
      <c r="H805" s="25">
        <v>44547</v>
      </c>
      <c r="I805" s="24" t="s">
        <v>16</v>
      </c>
      <c r="J805" s="24" t="s">
        <v>19</v>
      </c>
      <c r="K805" s="24" t="str">
        <f>IF(certifications[[#This Row],[ISSUE DATE]]="", "", TEXT(certifications[[#This Row],[ISSUE DATE]], "MMM"))</f>
        <v>Dec</v>
      </c>
      <c r="L805" s="35" t="str">
        <f>IF(certifications[[#This Row],[ISSUE DATE]]="", "", TEXT(certifications[[#This Row],[ISSUE DATE]], "YYYY"))</f>
        <v>2013</v>
      </c>
    </row>
    <row r="806" spans="1:12" s="29" customFormat="1" ht="23.95" customHeight="1" x14ac:dyDescent="0.3">
      <c r="A806" s="31"/>
      <c r="B806" s="24">
        <v>793</v>
      </c>
      <c r="C806" s="24" t="s">
        <v>889</v>
      </c>
      <c r="D806" s="24" t="s">
        <v>504</v>
      </c>
      <c r="E806" s="24" t="s">
        <v>9</v>
      </c>
      <c r="F806" s="24">
        <v>13331</v>
      </c>
      <c r="G806" s="25">
        <v>43599</v>
      </c>
      <c r="H806" s="25">
        <v>44330</v>
      </c>
      <c r="I806" s="24" t="s">
        <v>16</v>
      </c>
      <c r="J806" s="24" t="s">
        <v>38</v>
      </c>
      <c r="K806" s="24" t="str">
        <f>IF(certifications[[#This Row],[ISSUE DATE]]="", "", TEXT(certifications[[#This Row],[ISSUE DATE]], "MMM"))</f>
        <v>May</v>
      </c>
      <c r="L806" s="35" t="str">
        <f>IF(certifications[[#This Row],[ISSUE DATE]]="", "", TEXT(certifications[[#This Row],[ISSUE DATE]], "YYYY"))</f>
        <v>2019</v>
      </c>
    </row>
    <row r="807" spans="1:12" s="29" customFormat="1" ht="23.95" customHeight="1" x14ac:dyDescent="0.3">
      <c r="A807" s="31"/>
      <c r="B807" s="24">
        <v>794</v>
      </c>
      <c r="C807" s="24" t="s">
        <v>890</v>
      </c>
      <c r="D807" s="24" t="s">
        <v>32</v>
      </c>
      <c r="E807" s="24" t="s">
        <v>9</v>
      </c>
      <c r="F807" s="24">
        <v>17766</v>
      </c>
      <c r="G807" s="25">
        <v>44791</v>
      </c>
      <c r="H807" s="25">
        <v>45522</v>
      </c>
      <c r="I807" s="24" t="s">
        <v>82</v>
      </c>
      <c r="J807" s="24" t="s">
        <v>33</v>
      </c>
      <c r="K807" s="24" t="str">
        <f>IF(certifications[[#This Row],[ISSUE DATE]]="", "", TEXT(certifications[[#This Row],[ISSUE DATE]], "MMM"))</f>
        <v>Aug</v>
      </c>
      <c r="L807" s="35" t="str">
        <f>IF(certifications[[#This Row],[ISSUE DATE]]="", "", TEXT(certifications[[#This Row],[ISSUE DATE]], "YYYY"))</f>
        <v>2022</v>
      </c>
    </row>
    <row r="808" spans="1:12" s="29" customFormat="1" ht="23.95" customHeight="1" x14ac:dyDescent="0.3">
      <c r="A808" s="31"/>
      <c r="B808" s="24">
        <v>795</v>
      </c>
      <c r="C808" s="24" t="s">
        <v>891</v>
      </c>
      <c r="D808" s="24" t="s">
        <v>48</v>
      </c>
      <c r="E808" s="24" t="s">
        <v>9</v>
      </c>
      <c r="F808" s="24">
        <v>18544</v>
      </c>
      <c r="G808" s="25">
        <v>45375</v>
      </c>
      <c r="H808" s="25">
        <v>46105</v>
      </c>
      <c r="I808" s="24" t="s">
        <v>10</v>
      </c>
      <c r="J808" s="24" t="s">
        <v>38</v>
      </c>
      <c r="K808" s="24" t="str">
        <f>IF(certifications[[#This Row],[ISSUE DATE]]="", "", TEXT(certifications[[#This Row],[ISSUE DATE]], "MMM"))</f>
        <v>Mar</v>
      </c>
      <c r="L808" s="35" t="str">
        <f>IF(certifications[[#This Row],[ISSUE DATE]]="", "", TEXT(certifications[[#This Row],[ISSUE DATE]], "YYYY"))</f>
        <v>2024</v>
      </c>
    </row>
    <row r="809" spans="1:12" s="29" customFormat="1" ht="23.95" customHeight="1" x14ac:dyDescent="0.3">
      <c r="A809" s="31"/>
      <c r="B809" s="24">
        <v>796</v>
      </c>
      <c r="C809" s="24" t="s">
        <v>892</v>
      </c>
      <c r="D809" s="24" t="s">
        <v>893</v>
      </c>
      <c r="E809" s="24" t="s">
        <v>9</v>
      </c>
      <c r="F809" s="24">
        <v>17776</v>
      </c>
      <c r="G809" s="25">
        <v>44791</v>
      </c>
      <c r="H809" s="25">
        <v>46252</v>
      </c>
      <c r="I809" s="24" t="s">
        <v>10</v>
      </c>
      <c r="J809" s="24" t="s">
        <v>30</v>
      </c>
      <c r="K809" s="24" t="str">
        <f>IF(certifications[[#This Row],[ISSUE DATE]]="", "", TEXT(certifications[[#This Row],[ISSUE DATE]], "MMM"))</f>
        <v>Aug</v>
      </c>
      <c r="L809" s="35" t="str">
        <f>IF(certifications[[#This Row],[ISSUE DATE]]="", "", TEXT(certifications[[#This Row],[ISSUE DATE]], "YYYY"))</f>
        <v>2022</v>
      </c>
    </row>
    <row r="810" spans="1:12" s="29" customFormat="1" ht="23.95" customHeight="1" x14ac:dyDescent="0.3">
      <c r="A810" s="31"/>
      <c r="B810" s="24">
        <v>797</v>
      </c>
      <c r="C810" s="24" t="s">
        <v>894</v>
      </c>
      <c r="D810" s="24" t="s">
        <v>18</v>
      </c>
      <c r="E810" s="24" t="s">
        <v>9</v>
      </c>
      <c r="F810" s="24">
        <v>16835</v>
      </c>
      <c r="G810" s="25">
        <v>44453</v>
      </c>
      <c r="H810" s="25">
        <v>45914</v>
      </c>
      <c r="I810" s="24" t="s">
        <v>10</v>
      </c>
      <c r="J810" s="24" t="s">
        <v>19</v>
      </c>
      <c r="K810" s="24" t="str">
        <f>IF(certifications[[#This Row],[ISSUE DATE]]="", "", TEXT(certifications[[#This Row],[ISSUE DATE]], "MMM"))</f>
        <v>Sep</v>
      </c>
      <c r="L810" s="35" t="str">
        <f>IF(certifications[[#This Row],[ISSUE DATE]]="", "", TEXT(certifications[[#This Row],[ISSUE DATE]], "YYYY"))</f>
        <v>2021</v>
      </c>
    </row>
    <row r="811" spans="1:12" s="29" customFormat="1" ht="23.95" customHeight="1" x14ac:dyDescent="0.3">
      <c r="A811" s="31"/>
      <c r="B811" s="24">
        <v>798</v>
      </c>
      <c r="C811" s="24" t="s">
        <v>895</v>
      </c>
      <c r="D811" s="24" t="s">
        <v>80</v>
      </c>
      <c r="E811" s="24" t="s">
        <v>9</v>
      </c>
      <c r="F811" s="24">
        <v>20030</v>
      </c>
      <c r="G811" s="25">
        <v>45372</v>
      </c>
      <c r="H811" s="25">
        <v>46102</v>
      </c>
      <c r="I811" s="24" t="s">
        <v>10</v>
      </c>
      <c r="J811" s="24" t="s">
        <v>38</v>
      </c>
      <c r="K811" s="24" t="str">
        <f>IF(certifications[[#This Row],[ISSUE DATE]]="", "", TEXT(certifications[[#This Row],[ISSUE DATE]], "MMM"))</f>
        <v>Mar</v>
      </c>
      <c r="L811" s="35" t="str">
        <f>IF(certifications[[#This Row],[ISSUE DATE]]="", "", TEXT(certifications[[#This Row],[ISSUE DATE]], "YYYY"))</f>
        <v>2024</v>
      </c>
    </row>
    <row r="812" spans="1:12" s="29" customFormat="1" ht="23.95" customHeight="1" x14ac:dyDescent="0.3">
      <c r="A812" s="31"/>
      <c r="B812" s="24">
        <v>799</v>
      </c>
      <c r="C812" s="24" t="s">
        <v>896</v>
      </c>
      <c r="D812" s="24" t="s">
        <v>65</v>
      </c>
      <c r="E812" s="24" t="s">
        <v>26</v>
      </c>
      <c r="F812" s="24">
        <v>17038</v>
      </c>
      <c r="G812" s="25">
        <v>44544</v>
      </c>
      <c r="H812" s="25">
        <v>45274</v>
      </c>
      <c r="I812" s="24" t="s">
        <v>16</v>
      </c>
      <c r="J812" s="24" t="s">
        <v>19</v>
      </c>
      <c r="K812" s="24" t="str">
        <f>IF(certifications[[#This Row],[ISSUE DATE]]="", "", TEXT(certifications[[#This Row],[ISSUE DATE]], "MMM"))</f>
        <v>Dec</v>
      </c>
      <c r="L812" s="35" t="str">
        <f>IF(certifications[[#This Row],[ISSUE DATE]]="", "", TEXT(certifications[[#This Row],[ISSUE DATE]], "YYYY"))</f>
        <v>2021</v>
      </c>
    </row>
    <row r="813" spans="1:12" s="29" customFormat="1" ht="23.95" customHeight="1" x14ac:dyDescent="0.3">
      <c r="A813" s="31"/>
      <c r="B813" s="24">
        <v>800</v>
      </c>
      <c r="C813" s="24" t="s">
        <v>897</v>
      </c>
      <c r="D813" s="24" t="s">
        <v>235</v>
      </c>
      <c r="E813" s="24" t="s">
        <v>9</v>
      </c>
      <c r="F813" s="24">
        <v>20996</v>
      </c>
      <c r="G813" s="25">
        <v>45580</v>
      </c>
      <c r="H813" s="25">
        <v>46310</v>
      </c>
      <c r="I813" s="24" t="s">
        <v>10</v>
      </c>
      <c r="J813" s="24" t="s">
        <v>22</v>
      </c>
      <c r="K813" s="24" t="str">
        <f>IF(certifications[[#This Row],[ISSUE DATE]]="", "", TEXT(certifications[[#This Row],[ISSUE DATE]], "MMM"))</f>
        <v>Oct</v>
      </c>
      <c r="L813" s="35" t="str">
        <f>IF(certifications[[#This Row],[ISSUE DATE]]="", "", TEXT(certifications[[#This Row],[ISSUE DATE]], "YYYY"))</f>
        <v>2024</v>
      </c>
    </row>
    <row r="814" spans="1:12" s="29" customFormat="1" ht="23.95" customHeight="1" x14ac:dyDescent="0.3">
      <c r="A814" s="31"/>
      <c r="B814" s="24">
        <v>801</v>
      </c>
      <c r="C814" s="24" t="s">
        <v>898</v>
      </c>
      <c r="D814" s="24" t="s">
        <v>29</v>
      </c>
      <c r="E814" s="24" t="s">
        <v>9</v>
      </c>
      <c r="F814" s="24">
        <v>15435</v>
      </c>
      <c r="G814" s="25">
        <v>44071</v>
      </c>
      <c r="H814" s="25">
        <v>44801</v>
      </c>
      <c r="I814" s="24" t="s">
        <v>16</v>
      </c>
      <c r="J814" s="24" t="s">
        <v>30</v>
      </c>
      <c r="K814" s="24" t="str">
        <f>IF(certifications[[#This Row],[ISSUE DATE]]="", "", TEXT(certifications[[#This Row],[ISSUE DATE]], "MMM"))</f>
        <v>Aug</v>
      </c>
      <c r="L814" s="35" t="str">
        <f>IF(certifications[[#This Row],[ISSUE DATE]]="", "", TEXT(certifications[[#This Row],[ISSUE DATE]], "YYYY"))</f>
        <v>2020</v>
      </c>
    </row>
    <row r="815" spans="1:12" s="29" customFormat="1" ht="23.95" customHeight="1" x14ac:dyDescent="0.3">
      <c r="A815" s="31"/>
      <c r="B815" s="24">
        <v>802</v>
      </c>
      <c r="C815" s="24" t="s">
        <v>899</v>
      </c>
      <c r="D815" s="24" t="s">
        <v>80</v>
      </c>
      <c r="E815" s="24" t="s">
        <v>9</v>
      </c>
      <c r="F815" s="24">
        <v>14947</v>
      </c>
      <c r="G815" s="25">
        <v>43818</v>
      </c>
      <c r="H815" s="25">
        <v>44549</v>
      </c>
      <c r="I815" s="24" t="s">
        <v>16</v>
      </c>
      <c r="J815" s="24" t="s">
        <v>38</v>
      </c>
      <c r="K815" s="24" t="str">
        <f>IF(certifications[[#This Row],[ISSUE DATE]]="", "", TEXT(certifications[[#This Row],[ISSUE DATE]], "MMM"))</f>
        <v>Dec</v>
      </c>
      <c r="L815" s="35" t="str">
        <f>IF(certifications[[#This Row],[ISSUE DATE]]="", "", TEXT(certifications[[#This Row],[ISSUE DATE]], "YYYY"))</f>
        <v>2019</v>
      </c>
    </row>
    <row r="816" spans="1:12" s="29" customFormat="1" ht="23.95" customHeight="1" x14ac:dyDescent="0.3">
      <c r="A816" s="31"/>
      <c r="B816" s="24">
        <v>803</v>
      </c>
      <c r="C816" s="24" t="s">
        <v>900</v>
      </c>
      <c r="D816" s="24" t="s">
        <v>164</v>
      </c>
      <c r="E816" s="24" t="s">
        <v>9</v>
      </c>
      <c r="F816" s="24">
        <v>18563</v>
      </c>
      <c r="G816" s="25">
        <v>45047</v>
      </c>
      <c r="H816" s="25">
        <v>45778</v>
      </c>
      <c r="I816" s="24" t="s">
        <v>82</v>
      </c>
      <c r="J816" s="24" t="s">
        <v>22</v>
      </c>
      <c r="K816" s="24" t="str">
        <f>IF(certifications[[#This Row],[ISSUE DATE]]="", "", TEXT(certifications[[#This Row],[ISSUE DATE]], "MMM"))</f>
        <v>May</v>
      </c>
      <c r="L816" s="35" t="str">
        <f>IF(certifications[[#This Row],[ISSUE DATE]]="", "", TEXT(certifications[[#This Row],[ISSUE DATE]], "YYYY"))</f>
        <v>2023</v>
      </c>
    </row>
    <row r="817" spans="1:12" s="29" customFormat="1" ht="23.95" customHeight="1" x14ac:dyDescent="0.3">
      <c r="A817" s="31"/>
      <c r="B817" s="24">
        <v>804</v>
      </c>
      <c r="C817" s="24" t="s">
        <v>901</v>
      </c>
      <c r="D817" s="24" t="s">
        <v>235</v>
      </c>
      <c r="E817" s="24" t="s">
        <v>9</v>
      </c>
      <c r="F817" s="24">
        <v>16536</v>
      </c>
      <c r="G817" s="25">
        <v>44372</v>
      </c>
      <c r="H817" s="25">
        <v>46563</v>
      </c>
      <c r="I817" s="24" t="s">
        <v>10</v>
      </c>
      <c r="J817" s="24" t="s">
        <v>22</v>
      </c>
      <c r="K817" s="24" t="str">
        <f>IF(certifications[[#This Row],[ISSUE DATE]]="", "", TEXT(certifications[[#This Row],[ISSUE DATE]], "MMM"))</f>
        <v>Jun</v>
      </c>
      <c r="L817" s="35" t="str">
        <f>IF(certifications[[#This Row],[ISSUE DATE]]="", "", TEXT(certifications[[#This Row],[ISSUE DATE]], "YYYY"))</f>
        <v>2021</v>
      </c>
    </row>
    <row r="818" spans="1:12" s="29" customFormat="1" ht="23.95" customHeight="1" x14ac:dyDescent="0.3">
      <c r="A818" s="31"/>
      <c r="B818" s="24">
        <v>805</v>
      </c>
      <c r="C818" s="24" t="s">
        <v>902</v>
      </c>
      <c r="D818" s="24" t="s">
        <v>390</v>
      </c>
      <c r="E818" s="24" t="s">
        <v>9</v>
      </c>
      <c r="F818" s="24">
        <v>10036</v>
      </c>
      <c r="G818" s="25">
        <v>42766</v>
      </c>
      <c r="H818" s="25">
        <v>44957</v>
      </c>
      <c r="I818" s="24" t="s">
        <v>16</v>
      </c>
      <c r="J818" s="24" t="s">
        <v>22</v>
      </c>
      <c r="K818" s="24" t="str">
        <f>IF(certifications[[#This Row],[ISSUE DATE]]="", "", TEXT(certifications[[#This Row],[ISSUE DATE]], "MMM"))</f>
        <v>Jan</v>
      </c>
      <c r="L818" s="35" t="str">
        <f>IF(certifications[[#This Row],[ISSUE DATE]]="", "", TEXT(certifications[[#This Row],[ISSUE DATE]], "YYYY"))</f>
        <v>2017</v>
      </c>
    </row>
    <row r="819" spans="1:12" s="29" customFormat="1" ht="23.95" customHeight="1" x14ac:dyDescent="0.3">
      <c r="A819" s="31"/>
      <c r="B819" s="24">
        <v>806</v>
      </c>
      <c r="C819" s="24" t="s">
        <v>903</v>
      </c>
      <c r="D819" s="24" t="s">
        <v>141</v>
      </c>
      <c r="E819" s="24" t="s">
        <v>9</v>
      </c>
      <c r="F819" s="24">
        <v>9240</v>
      </c>
      <c r="G819" s="25">
        <v>42180</v>
      </c>
      <c r="H819" s="25">
        <v>43641</v>
      </c>
      <c r="I819" s="24" t="s">
        <v>16</v>
      </c>
      <c r="J819" s="24" t="s">
        <v>38</v>
      </c>
      <c r="K819" s="24" t="str">
        <f>IF(certifications[[#This Row],[ISSUE DATE]]="", "", TEXT(certifications[[#This Row],[ISSUE DATE]], "MMM"))</f>
        <v>Jun</v>
      </c>
      <c r="L819" s="35" t="str">
        <f>IF(certifications[[#This Row],[ISSUE DATE]]="", "", TEXT(certifications[[#This Row],[ISSUE DATE]], "YYYY"))</f>
        <v>2015</v>
      </c>
    </row>
    <row r="820" spans="1:12" s="29" customFormat="1" ht="23.95" customHeight="1" x14ac:dyDescent="0.3">
      <c r="A820" s="31"/>
      <c r="B820" s="24">
        <v>807</v>
      </c>
      <c r="C820" s="24" t="s">
        <v>904</v>
      </c>
      <c r="D820" s="24" t="s">
        <v>32</v>
      </c>
      <c r="E820" s="24" t="s">
        <v>9</v>
      </c>
      <c r="F820" s="24">
        <v>12638</v>
      </c>
      <c r="G820" s="25">
        <v>44361</v>
      </c>
      <c r="H820" s="25">
        <v>45091</v>
      </c>
      <c r="I820" s="24" t="s">
        <v>16</v>
      </c>
      <c r="J820" s="24" t="s">
        <v>33</v>
      </c>
      <c r="K820" s="24" t="str">
        <f>IF(certifications[[#This Row],[ISSUE DATE]]="", "", TEXT(certifications[[#This Row],[ISSUE DATE]], "MMM"))</f>
        <v>Jun</v>
      </c>
      <c r="L820" s="35" t="str">
        <f>IF(certifications[[#This Row],[ISSUE DATE]]="", "", TEXT(certifications[[#This Row],[ISSUE DATE]], "YYYY"))</f>
        <v>2021</v>
      </c>
    </row>
    <row r="821" spans="1:12" s="29" customFormat="1" ht="23.95" customHeight="1" x14ac:dyDescent="0.3">
      <c r="A821" s="31"/>
      <c r="B821" s="24">
        <v>808</v>
      </c>
      <c r="C821" s="24" t="s">
        <v>905</v>
      </c>
      <c r="D821" s="24" t="s">
        <v>53</v>
      </c>
      <c r="E821" s="24" t="s">
        <v>9</v>
      </c>
      <c r="F821" s="24">
        <v>15512</v>
      </c>
      <c r="G821" s="25">
        <v>44096</v>
      </c>
      <c r="H821" s="25">
        <v>46287</v>
      </c>
      <c r="I821" s="24" t="s">
        <v>10</v>
      </c>
      <c r="J821" s="24" t="s">
        <v>25</v>
      </c>
      <c r="K821" s="24" t="str">
        <f>IF(certifications[[#This Row],[ISSUE DATE]]="", "", TEXT(certifications[[#This Row],[ISSUE DATE]], "MMM"))</f>
        <v>Sep</v>
      </c>
      <c r="L821" s="35" t="str">
        <f>IF(certifications[[#This Row],[ISSUE DATE]]="", "", TEXT(certifications[[#This Row],[ISSUE DATE]], "YYYY"))</f>
        <v>2020</v>
      </c>
    </row>
    <row r="822" spans="1:12" s="29" customFormat="1" ht="23.95" customHeight="1" x14ac:dyDescent="0.3">
      <c r="A822" s="31"/>
      <c r="B822" s="24">
        <v>809</v>
      </c>
      <c r="C822" s="24" t="s">
        <v>906</v>
      </c>
      <c r="D822" s="24" t="s">
        <v>128</v>
      </c>
      <c r="E822" s="24" t="s">
        <v>26</v>
      </c>
      <c r="F822" s="24">
        <v>13241</v>
      </c>
      <c r="G822" s="25">
        <v>43587</v>
      </c>
      <c r="H822" s="25">
        <v>44318</v>
      </c>
      <c r="I822" s="24" t="s">
        <v>16</v>
      </c>
      <c r="J822" s="24" t="s">
        <v>14</v>
      </c>
      <c r="K822" s="24" t="str">
        <f>IF(certifications[[#This Row],[ISSUE DATE]]="", "", TEXT(certifications[[#This Row],[ISSUE DATE]], "MMM"))</f>
        <v>May</v>
      </c>
      <c r="L822" s="35" t="str">
        <f>IF(certifications[[#This Row],[ISSUE DATE]]="", "", TEXT(certifications[[#This Row],[ISSUE DATE]], "YYYY"))</f>
        <v>2019</v>
      </c>
    </row>
    <row r="823" spans="1:12" s="29" customFormat="1" ht="23.95" customHeight="1" x14ac:dyDescent="0.3">
      <c r="A823" s="31"/>
      <c r="B823" s="24">
        <v>810</v>
      </c>
      <c r="C823" s="24" t="s">
        <v>907</v>
      </c>
      <c r="D823" s="24" t="s">
        <v>908</v>
      </c>
      <c r="E823" s="24" t="s">
        <v>9</v>
      </c>
      <c r="F823" s="24">
        <v>14952</v>
      </c>
      <c r="G823" s="25">
        <v>43818</v>
      </c>
      <c r="H823" s="25">
        <v>45279</v>
      </c>
      <c r="I823" s="24" t="s">
        <v>16</v>
      </c>
      <c r="J823" s="24" t="s">
        <v>30</v>
      </c>
      <c r="K823" s="24" t="str">
        <f>IF(certifications[[#This Row],[ISSUE DATE]]="", "", TEXT(certifications[[#This Row],[ISSUE DATE]], "MMM"))</f>
        <v>Dec</v>
      </c>
      <c r="L823" s="35" t="str">
        <f>IF(certifications[[#This Row],[ISSUE DATE]]="", "", TEXT(certifications[[#This Row],[ISSUE DATE]], "YYYY"))</f>
        <v>2019</v>
      </c>
    </row>
    <row r="824" spans="1:12" s="29" customFormat="1" ht="23.95" customHeight="1" x14ac:dyDescent="0.3">
      <c r="A824" s="31"/>
      <c r="B824" s="24">
        <v>811</v>
      </c>
      <c r="C824" s="24" t="s">
        <v>909</v>
      </c>
      <c r="D824" s="24" t="s">
        <v>48</v>
      </c>
      <c r="E824" s="24" t="s">
        <v>9</v>
      </c>
      <c r="F824" s="24">
        <v>9245</v>
      </c>
      <c r="G824" s="25">
        <v>42180</v>
      </c>
      <c r="H824" s="25">
        <v>45833</v>
      </c>
      <c r="I824" s="24" t="s">
        <v>10</v>
      </c>
      <c r="J824" s="24" t="s">
        <v>38</v>
      </c>
      <c r="K824" s="24" t="str">
        <f>IF(certifications[[#This Row],[ISSUE DATE]]="", "", TEXT(certifications[[#This Row],[ISSUE DATE]], "MMM"))</f>
        <v>Jun</v>
      </c>
      <c r="L824" s="35" t="str">
        <f>IF(certifications[[#This Row],[ISSUE DATE]]="", "", TEXT(certifications[[#This Row],[ISSUE DATE]], "YYYY"))</f>
        <v>2015</v>
      </c>
    </row>
    <row r="825" spans="1:12" s="29" customFormat="1" ht="23.95" customHeight="1" x14ac:dyDescent="0.3">
      <c r="A825" s="31"/>
      <c r="B825" s="24">
        <v>812</v>
      </c>
      <c r="C825" s="24" t="s">
        <v>910</v>
      </c>
      <c r="D825" s="24" t="s">
        <v>141</v>
      </c>
      <c r="E825" s="24" t="s">
        <v>9</v>
      </c>
      <c r="F825" s="24">
        <v>9540</v>
      </c>
      <c r="G825" s="25">
        <v>42440</v>
      </c>
      <c r="H825" s="25">
        <v>43170</v>
      </c>
      <c r="I825" s="24" t="s">
        <v>16</v>
      </c>
      <c r="J825" s="24" t="s">
        <v>38</v>
      </c>
      <c r="K825" s="24" t="str">
        <f>IF(certifications[[#This Row],[ISSUE DATE]]="", "", TEXT(certifications[[#This Row],[ISSUE DATE]], "MMM"))</f>
        <v>Mar</v>
      </c>
      <c r="L825" s="35" t="str">
        <f>IF(certifications[[#This Row],[ISSUE DATE]]="", "", TEXT(certifications[[#This Row],[ISSUE DATE]], "YYYY"))</f>
        <v>2016</v>
      </c>
    </row>
    <row r="826" spans="1:12" s="29" customFormat="1" ht="23.95" customHeight="1" x14ac:dyDescent="0.3">
      <c r="A826" s="31"/>
      <c r="B826" s="24">
        <v>813</v>
      </c>
      <c r="C826" s="24" t="s">
        <v>911</v>
      </c>
      <c r="D826" s="24" t="s">
        <v>845</v>
      </c>
      <c r="E826" s="24" t="s">
        <v>9</v>
      </c>
      <c r="F826" s="24">
        <v>7935</v>
      </c>
      <c r="G826" s="25">
        <v>40823</v>
      </c>
      <c r="H826" s="25">
        <v>45206</v>
      </c>
      <c r="I826" s="24" t="s">
        <v>16</v>
      </c>
      <c r="J826" s="24" t="s">
        <v>30</v>
      </c>
      <c r="K826" s="24" t="str">
        <f>IF(certifications[[#This Row],[ISSUE DATE]]="", "", TEXT(certifications[[#This Row],[ISSUE DATE]], "MMM"))</f>
        <v>Oct</v>
      </c>
      <c r="L826" s="35" t="str">
        <f>IF(certifications[[#This Row],[ISSUE DATE]]="", "", TEXT(certifications[[#This Row],[ISSUE DATE]], "YYYY"))</f>
        <v>2011</v>
      </c>
    </row>
    <row r="827" spans="1:12" s="29" customFormat="1" ht="23.95" customHeight="1" x14ac:dyDescent="0.3">
      <c r="A827" s="31"/>
      <c r="B827" s="24">
        <v>814</v>
      </c>
      <c r="C827" s="24" t="s">
        <v>912</v>
      </c>
      <c r="D827" s="24" t="s">
        <v>500</v>
      </c>
      <c r="E827" s="24" t="s">
        <v>9</v>
      </c>
      <c r="F827" s="24">
        <v>14237</v>
      </c>
      <c r="G827" s="25">
        <v>43686</v>
      </c>
      <c r="H827" s="25">
        <v>44417</v>
      </c>
      <c r="I827" s="24" t="s">
        <v>16</v>
      </c>
      <c r="J827" s="24" t="s">
        <v>30</v>
      </c>
      <c r="K827" s="24" t="str">
        <f>IF(certifications[[#This Row],[ISSUE DATE]]="", "", TEXT(certifications[[#This Row],[ISSUE DATE]], "MMM"))</f>
        <v>Aug</v>
      </c>
      <c r="L827" s="35" t="str">
        <f>IF(certifications[[#This Row],[ISSUE DATE]]="", "", TEXT(certifications[[#This Row],[ISSUE DATE]], "YYYY"))</f>
        <v>2019</v>
      </c>
    </row>
    <row r="828" spans="1:12" s="29" customFormat="1" ht="23.95" customHeight="1" x14ac:dyDescent="0.3">
      <c r="A828" s="31"/>
      <c r="B828" s="24">
        <v>815</v>
      </c>
      <c r="C828" s="24" t="s">
        <v>913</v>
      </c>
      <c r="D828" s="24" t="s">
        <v>32</v>
      </c>
      <c r="E828" s="24" t="s">
        <v>9</v>
      </c>
      <c r="F828" s="24">
        <v>16530</v>
      </c>
      <c r="G828" s="25">
        <v>44372</v>
      </c>
      <c r="H828" s="25">
        <v>45833</v>
      </c>
      <c r="I828" s="24" t="s">
        <v>10</v>
      </c>
      <c r="J828" s="24" t="s">
        <v>33</v>
      </c>
      <c r="K828" s="24" t="str">
        <f>IF(certifications[[#This Row],[ISSUE DATE]]="", "", TEXT(certifications[[#This Row],[ISSUE DATE]], "MMM"))</f>
        <v>Jun</v>
      </c>
      <c r="L828" s="35" t="str">
        <f>IF(certifications[[#This Row],[ISSUE DATE]]="", "", TEXT(certifications[[#This Row],[ISSUE DATE]], "YYYY"))</f>
        <v>2021</v>
      </c>
    </row>
    <row r="829" spans="1:12" s="29" customFormat="1" ht="23.95" customHeight="1" x14ac:dyDescent="0.3">
      <c r="A829" s="31"/>
      <c r="B829" s="24">
        <v>816</v>
      </c>
      <c r="C829" s="24" t="s">
        <v>914</v>
      </c>
      <c r="D829" s="24" t="s">
        <v>80</v>
      </c>
      <c r="E829" s="24" t="s">
        <v>9</v>
      </c>
      <c r="F829" s="24">
        <v>8179</v>
      </c>
      <c r="G829" s="25">
        <v>41111</v>
      </c>
      <c r="H829" s="25">
        <v>41841</v>
      </c>
      <c r="I829" s="24" t="s">
        <v>16</v>
      </c>
      <c r="J829" s="24" t="s">
        <v>38</v>
      </c>
      <c r="K829" s="24" t="str">
        <f>IF(certifications[[#This Row],[ISSUE DATE]]="", "", TEXT(certifications[[#This Row],[ISSUE DATE]], "MMM"))</f>
        <v>Jul</v>
      </c>
      <c r="L829" s="35" t="str">
        <f>IF(certifications[[#This Row],[ISSUE DATE]]="", "", TEXT(certifications[[#This Row],[ISSUE DATE]], "YYYY"))</f>
        <v>2012</v>
      </c>
    </row>
    <row r="830" spans="1:12" s="29" customFormat="1" ht="23.95" customHeight="1" x14ac:dyDescent="0.3">
      <c r="A830" s="31"/>
      <c r="B830" s="24">
        <v>817</v>
      </c>
      <c r="C830" s="24" t="s">
        <v>915</v>
      </c>
      <c r="D830" s="24" t="s">
        <v>32</v>
      </c>
      <c r="E830" s="24" t="s">
        <v>9</v>
      </c>
      <c r="F830" s="24">
        <v>22090</v>
      </c>
      <c r="G830" s="25">
        <v>45813</v>
      </c>
      <c r="H830" s="25">
        <v>46543</v>
      </c>
      <c r="I830" s="24" t="s">
        <v>10</v>
      </c>
      <c r="J830" s="24" t="s">
        <v>33</v>
      </c>
      <c r="K830" s="24" t="str">
        <f>IF(certifications[[#This Row],[ISSUE DATE]]="", "", TEXT(certifications[[#This Row],[ISSUE DATE]], "MMM"))</f>
        <v>Jun</v>
      </c>
      <c r="L830" s="35" t="str">
        <f>IF(certifications[[#This Row],[ISSUE DATE]]="", "", TEXT(certifications[[#This Row],[ISSUE DATE]], "YYYY"))</f>
        <v>2025</v>
      </c>
    </row>
    <row r="831" spans="1:12" s="29" customFormat="1" ht="23.95" customHeight="1" x14ac:dyDescent="0.3">
      <c r="A831" s="31"/>
      <c r="B831" s="24">
        <v>818</v>
      </c>
      <c r="C831" s="24" t="s">
        <v>916</v>
      </c>
      <c r="D831" s="24" t="s">
        <v>164</v>
      </c>
      <c r="E831" s="24" t="s">
        <v>9</v>
      </c>
      <c r="F831" s="24">
        <v>18136</v>
      </c>
      <c r="G831" s="25">
        <v>44911</v>
      </c>
      <c r="H831" s="25">
        <v>45642</v>
      </c>
      <c r="I831" s="24" t="s">
        <v>82</v>
      </c>
      <c r="J831" s="24" t="s">
        <v>22</v>
      </c>
      <c r="K831" s="24" t="str">
        <f>IF(certifications[[#This Row],[ISSUE DATE]]="", "", TEXT(certifications[[#This Row],[ISSUE DATE]], "MMM"))</f>
        <v>Dec</v>
      </c>
      <c r="L831" s="35" t="str">
        <f>IF(certifications[[#This Row],[ISSUE DATE]]="", "", TEXT(certifications[[#This Row],[ISSUE DATE]], "YYYY"))</f>
        <v>2022</v>
      </c>
    </row>
    <row r="832" spans="1:12" s="29" customFormat="1" ht="23.95" customHeight="1" x14ac:dyDescent="0.3">
      <c r="A832" s="31"/>
      <c r="B832" s="24">
        <v>819</v>
      </c>
      <c r="C832" s="24" t="s">
        <v>917</v>
      </c>
      <c r="D832" s="24" t="s">
        <v>269</v>
      </c>
      <c r="E832" s="24" t="s">
        <v>9</v>
      </c>
      <c r="F832" s="24">
        <v>17966</v>
      </c>
      <c r="G832" s="25">
        <v>44852</v>
      </c>
      <c r="H832" s="25">
        <v>46313</v>
      </c>
      <c r="I832" s="24" t="s">
        <v>10</v>
      </c>
      <c r="J832" s="24" t="s">
        <v>25</v>
      </c>
      <c r="K832" s="24" t="str">
        <f>IF(certifications[[#This Row],[ISSUE DATE]]="", "", TEXT(certifications[[#This Row],[ISSUE DATE]], "MMM"))</f>
        <v>Oct</v>
      </c>
      <c r="L832" s="35" t="str">
        <f>IF(certifications[[#This Row],[ISSUE DATE]]="", "", TEXT(certifications[[#This Row],[ISSUE DATE]], "YYYY"))</f>
        <v>2022</v>
      </c>
    </row>
    <row r="833" spans="1:12" s="29" customFormat="1" ht="23.95" customHeight="1" x14ac:dyDescent="0.3">
      <c r="A833" s="31"/>
      <c r="B833" s="24">
        <v>820</v>
      </c>
      <c r="C833" s="24" t="s">
        <v>918</v>
      </c>
      <c r="D833" s="24" t="s">
        <v>457</v>
      </c>
      <c r="E833" s="24" t="s">
        <v>9</v>
      </c>
      <c r="F833" s="24">
        <v>13570</v>
      </c>
      <c r="G833" s="25">
        <v>43630</v>
      </c>
      <c r="H833" s="25">
        <v>44361</v>
      </c>
      <c r="I833" s="24" t="s">
        <v>16</v>
      </c>
      <c r="J833" s="24" t="s">
        <v>14</v>
      </c>
      <c r="K833" s="24" t="str">
        <f>IF(certifications[[#This Row],[ISSUE DATE]]="", "", TEXT(certifications[[#This Row],[ISSUE DATE]], "MMM"))</f>
        <v>Jun</v>
      </c>
      <c r="L833" s="35" t="str">
        <f>IF(certifications[[#This Row],[ISSUE DATE]]="", "", TEXT(certifications[[#This Row],[ISSUE DATE]], "YYYY"))</f>
        <v>2019</v>
      </c>
    </row>
    <row r="834" spans="1:12" s="29" customFormat="1" ht="23.95" customHeight="1" x14ac:dyDescent="0.3">
      <c r="A834" s="31"/>
      <c r="B834" s="24">
        <v>821</v>
      </c>
      <c r="C834" s="24" t="s">
        <v>919</v>
      </c>
      <c r="D834" s="24" t="s">
        <v>884</v>
      </c>
      <c r="E834" s="24" t="s">
        <v>9</v>
      </c>
      <c r="F834" s="24">
        <v>9605</v>
      </c>
      <c r="G834" s="25">
        <v>42513</v>
      </c>
      <c r="H834" s="25">
        <v>43243</v>
      </c>
      <c r="I834" s="24" t="s">
        <v>16</v>
      </c>
      <c r="J834" s="24" t="s">
        <v>22</v>
      </c>
      <c r="K834" s="24" t="str">
        <f>IF(certifications[[#This Row],[ISSUE DATE]]="", "", TEXT(certifications[[#This Row],[ISSUE DATE]], "MMM"))</f>
        <v>May</v>
      </c>
      <c r="L834" s="35" t="str">
        <f>IF(certifications[[#This Row],[ISSUE DATE]]="", "", TEXT(certifications[[#This Row],[ISSUE DATE]], "YYYY"))</f>
        <v>2016</v>
      </c>
    </row>
    <row r="835" spans="1:12" s="29" customFormat="1" ht="23.95" customHeight="1" x14ac:dyDescent="0.3">
      <c r="A835" s="31"/>
      <c r="B835" s="24">
        <v>822</v>
      </c>
      <c r="C835" s="24" t="s">
        <v>920</v>
      </c>
      <c r="D835" s="24" t="s">
        <v>593</v>
      </c>
      <c r="E835" s="24" t="s">
        <v>9</v>
      </c>
      <c r="F835" s="24">
        <v>10259</v>
      </c>
      <c r="G835" s="25">
        <v>42908</v>
      </c>
      <c r="H835" s="25">
        <v>43638</v>
      </c>
      <c r="I835" s="24" t="s">
        <v>16</v>
      </c>
      <c r="J835" s="24" t="s">
        <v>30</v>
      </c>
      <c r="K835" s="24" t="str">
        <f>IF(certifications[[#This Row],[ISSUE DATE]]="", "", TEXT(certifications[[#This Row],[ISSUE DATE]], "MMM"))</f>
        <v>Jun</v>
      </c>
      <c r="L835" s="35" t="str">
        <f>IF(certifications[[#This Row],[ISSUE DATE]]="", "", TEXT(certifications[[#This Row],[ISSUE DATE]], "YYYY"))</f>
        <v>2017</v>
      </c>
    </row>
    <row r="836" spans="1:12" s="29" customFormat="1" ht="23.95" customHeight="1" x14ac:dyDescent="0.3">
      <c r="A836" s="31"/>
      <c r="B836" s="24">
        <v>823</v>
      </c>
      <c r="C836" s="24" t="s">
        <v>921</v>
      </c>
      <c r="D836" s="24" t="s">
        <v>32</v>
      </c>
      <c r="E836" s="24" t="s">
        <v>9</v>
      </c>
      <c r="F836" s="24">
        <v>8657</v>
      </c>
      <c r="G836" s="25">
        <v>41577</v>
      </c>
      <c r="H836" s="25">
        <v>42307</v>
      </c>
      <c r="I836" s="24" t="s">
        <v>16</v>
      </c>
      <c r="J836" s="24" t="s">
        <v>33</v>
      </c>
      <c r="K836" s="24" t="str">
        <f>IF(certifications[[#This Row],[ISSUE DATE]]="", "", TEXT(certifications[[#This Row],[ISSUE DATE]], "MMM"))</f>
        <v>Oct</v>
      </c>
      <c r="L836" s="35" t="str">
        <f>IF(certifications[[#This Row],[ISSUE DATE]]="", "", TEXT(certifications[[#This Row],[ISSUE DATE]], "YYYY"))</f>
        <v>2013</v>
      </c>
    </row>
    <row r="837" spans="1:12" s="29" customFormat="1" ht="23.95" customHeight="1" x14ac:dyDescent="0.3">
      <c r="A837" s="31"/>
      <c r="B837" s="24">
        <v>824</v>
      </c>
      <c r="C837" s="24" t="s">
        <v>922</v>
      </c>
      <c r="D837" s="24" t="s">
        <v>53</v>
      </c>
      <c r="E837" s="24" t="s">
        <v>9</v>
      </c>
      <c r="F837" s="24">
        <v>9779</v>
      </c>
      <c r="G837" s="25">
        <v>42622</v>
      </c>
      <c r="H837" s="25">
        <v>43352</v>
      </c>
      <c r="I837" s="24" t="s">
        <v>16</v>
      </c>
      <c r="J837" s="24" t="s">
        <v>25</v>
      </c>
      <c r="K837" s="24" t="str">
        <f>IF(certifications[[#This Row],[ISSUE DATE]]="", "", TEXT(certifications[[#This Row],[ISSUE DATE]], "MMM"))</f>
        <v>Sep</v>
      </c>
      <c r="L837" s="35" t="str">
        <f>IF(certifications[[#This Row],[ISSUE DATE]]="", "", TEXT(certifications[[#This Row],[ISSUE DATE]], "YYYY"))</f>
        <v>2016</v>
      </c>
    </row>
    <row r="838" spans="1:12" s="29" customFormat="1" ht="23.95" customHeight="1" x14ac:dyDescent="0.3">
      <c r="A838" s="31"/>
      <c r="B838" s="24">
        <v>825</v>
      </c>
      <c r="C838" s="24" t="s">
        <v>923</v>
      </c>
      <c r="D838" s="24" t="s">
        <v>198</v>
      </c>
      <c r="E838" s="24" t="s">
        <v>9</v>
      </c>
      <c r="F838" s="24">
        <v>17433</v>
      </c>
      <c r="G838" s="25">
        <v>44692</v>
      </c>
      <c r="H838" s="25">
        <v>46153</v>
      </c>
      <c r="I838" s="24" t="s">
        <v>10</v>
      </c>
      <c r="J838" s="24" t="s">
        <v>38</v>
      </c>
      <c r="K838" s="24" t="str">
        <f>IF(certifications[[#This Row],[ISSUE DATE]]="", "", TEXT(certifications[[#This Row],[ISSUE DATE]], "MMM"))</f>
        <v>May</v>
      </c>
      <c r="L838" s="35" t="str">
        <f>IF(certifications[[#This Row],[ISSUE DATE]]="", "", TEXT(certifications[[#This Row],[ISSUE DATE]], "YYYY"))</f>
        <v>2022</v>
      </c>
    </row>
    <row r="839" spans="1:12" s="29" customFormat="1" ht="23.95" customHeight="1" x14ac:dyDescent="0.3">
      <c r="A839" s="31"/>
      <c r="B839" s="24">
        <v>826</v>
      </c>
      <c r="C839" s="24" t="s">
        <v>924</v>
      </c>
      <c r="D839" s="24" t="s">
        <v>169</v>
      </c>
      <c r="E839" s="24" t="s">
        <v>9</v>
      </c>
      <c r="F839" s="24">
        <v>15027</v>
      </c>
      <c r="G839" s="25">
        <v>43840</v>
      </c>
      <c r="H839" s="25">
        <v>44571</v>
      </c>
      <c r="I839" s="24" t="s">
        <v>16</v>
      </c>
      <c r="J839" s="24" t="s">
        <v>14</v>
      </c>
      <c r="K839" s="24" t="str">
        <f>IF(certifications[[#This Row],[ISSUE DATE]]="", "", TEXT(certifications[[#This Row],[ISSUE DATE]], "MMM"))</f>
        <v>Jan</v>
      </c>
      <c r="L839" s="35" t="str">
        <f>IF(certifications[[#This Row],[ISSUE DATE]]="", "", TEXT(certifications[[#This Row],[ISSUE DATE]], "YYYY"))</f>
        <v>2020</v>
      </c>
    </row>
    <row r="840" spans="1:12" s="29" customFormat="1" ht="23.95" customHeight="1" x14ac:dyDescent="0.3">
      <c r="A840" s="31"/>
      <c r="B840" s="24">
        <v>827</v>
      </c>
      <c r="C840" s="24" t="s">
        <v>925</v>
      </c>
      <c r="D840" s="24" t="s">
        <v>53</v>
      </c>
      <c r="E840" s="24" t="s">
        <v>9</v>
      </c>
      <c r="F840" s="24">
        <v>15086</v>
      </c>
      <c r="G840" s="25">
        <v>45231</v>
      </c>
      <c r="H840" s="25">
        <v>45962</v>
      </c>
      <c r="I840" s="24" t="s">
        <v>10</v>
      </c>
      <c r="J840" s="24" t="s">
        <v>25</v>
      </c>
      <c r="K840" s="24" t="str">
        <f>IF(certifications[[#This Row],[ISSUE DATE]]="", "", TEXT(certifications[[#This Row],[ISSUE DATE]], "MMM"))</f>
        <v>Nov</v>
      </c>
      <c r="L840" s="35" t="str">
        <f>IF(certifications[[#This Row],[ISSUE DATE]]="", "", TEXT(certifications[[#This Row],[ISSUE DATE]], "YYYY"))</f>
        <v>2023</v>
      </c>
    </row>
    <row r="841" spans="1:12" s="29" customFormat="1" ht="23.95" customHeight="1" x14ac:dyDescent="0.3">
      <c r="A841" s="31"/>
      <c r="B841" s="24">
        <v>828</v>
      </c>
      <c r="C841" s="24" t="s">
        <v>925</v>
      </c>
      <c r="D841" s="24" t="s">
        <v>53</v>
      </c>
      <c r="E841" s="24" t="s">
        <v>26</v>
      </c>
      <c r="F841" s="24">
        <v>15086</v>
      </c>
      <c r="G841" s="25">
        <v>45290</v>
      </c>
      <c r="H841" s="25">
        <v>46021</v>
      </c>
      <c r="I841" s="24" t="s">
        <v>10</v>
      </c>
      <c r="J841" s="24" t="s">
        <v>25</v>
      </c>
      <c r="K841" s="24" t="str">
        <f>IF(certifications[[#This Row],[ISSUE DATE]]="", "", TEXT(certifications[[#This Row],[ISSUE DATE]], "MMM"))</f>
        <v>Dec</v>
      </c>
      <c r="L841" s="35" t="str">
        <f>IF(certifications[[#This Row],[ISSUE DATE]]="", "", TEXT(certifications[[#This Row],[ISSUE DATE]], "YYYY"))</f>
        <v>2023</v>
      </c>
    </row>
    <row r="842" spans="1:12" s="29" customFormat="1" ht="23.95" customHeight="1" x14ac:dyDescent="0.3">
      <c r="A842" s="31"/>
      <c r="B842" s="24">
        <v>829</v>
      </c>
      <c r="C842" s="24" t="s">
        <v>926</v>
      </c>
      <c r="D842" s="24" t="s">
        <v>190</v>
      </c>
      <c r="E842" s="24" t="s">
        <v>9</v>
      </c>
      <c r="F842" s="24">
        <v>7769</v>
      </c>
      <c r="G842" s="25">
        <v>40613</v>
      </c>
      <c r="H842" s="25">
        <v>41344</v>
      </c>
      <c r="I842" s="24" t="s">
        <v>16</v>
      </c>
      <c r="J842" s="24" t="s">
        <v>14</v>
      </c>
      <c r="K842" s="24" t="str">
        <f>IF(certifications[[#This Row],[ISSUE DATE]]="", "", TEXT(certifications[[#This Row],[ISSUE DATE]], "MMM"))</f>
        <v>Mar</v>
      </c>
      <c r="L842" s="35" t="str">
        <f>IF(certifications[[#This Row],[ISSUE DATE]]="", "", TEXT(certifications[[#This Row],[ISSUE DATE]], "YYYY"))</f>
        <v>2011</v>
      </c>
    </row>
    <row r="843" spans="1:12" s="29" customFormat="1" ht="23.95" customHeight="1" x14ac:dyDescent="0.3">
      <c r="A843" s="31"/>
      <c r="B843" s="24">
        <v>830</v>
      </c>
      <c r="C843" s="24" t="s">
        <v>927</v>
      </c>
      <c r="D843" s="24" t="s">
        <v>32</v>
      </c>
      <c r="E843" s="24" t="s">
        <v>9</v>
      </c>
      <c r="F843" s="24">
        <v>11345</v>
      </c>
      <c r="G843" s="25">
        <v>43227</v>
      </c>
      <c r="H843" s="25">
        <v>43958</v>
      </c>
      <c r="I843" s="24" t="s">
        <v>16</v>
      </c>
      <c r="J843" s="24" t="s">
        <v>33</v>
      </c>
      <c r="K843" s="24" t="str">
        <f>IF(certifications[[#This Row],[ISSUE DATE]]="", "", TEXT(certifications[[#This Row],[ISSUE DATE]], "MMM"))</f>
        <v>May</v>
      </c>
      <c r="L843" s="35" t="str">
        <f>IF(certifications[[#This Row],[ISSUE DATE]]="", "", TEXT(certifications[[#This Row],[ISSUE DATE]], "YYYY"))</f>
        <v>2018</v>
      </c>
    </row>
    <row r="844" spans="1:12" s="29" customFormat="1" ht="23.95" customHeight="1" x14ac:dyDescent="0.3">
      <c r="A844" s="31"/>
      <c r="B844" s="24">
        <v>831</v>
      </c>
      <c r="C844" s="24" t="s">
        <v>928</v>
      </c>
      <c r="D844" s="24" t="s">
        <v>40</v>
      </c>
      <c r="E844" s="24" t="s">
        <v>9</v>
      </c>
      <c r="F844" s="24">
        <v>13075</v>
      </c>
      <c r="G844" s="25">
        <v>43546</v>
      </c>
      <c r="H844" s="25">
        <v>44277</v>
      </c>
      <c r="I844" s="24" t="s">
        <v>16</v>
      </c>
      <c r="J844" s="24" t="s">
        <v>25</v>
      </c>
      <c r="K844" s="24" t="str">
        <f>IF(certifications[[#This Row],[ISSUE DATE]]="", "", TEXT(certifications[[#This Row],[ISSUE DATE]], "MMM"))</f>
        <v>Mar</v>
      </c>
      <c r="L844" s="35" t="str">
        <f>IF(certifications[[#This Row],[ISSUE DATE]]="", "", TEXT(certifications[[#This Row],[ISSUE DATE]], "YYYY"))</f>
        <v>2019</v>
      </c>
    </row>
    <row r="845" spans="1:12" s="29" customFormat="1" ht="23.95" customHeight="1" x14ac:dyDescent="0.3">
      <c r="A845" s="31"/>
      <c r="B845" s="24">
        <v>832</v>
      </c>
      <c r="C845" s="24" t="s">
        <v>929</v>
      </c>
      <c r="D845" s="24" t="s">
        <v>32</v>
      </c>
      <c r="E845" s="24" t="s">
        <v>9</v>
      </c>
      <c r="F845" s="24">
        <v>15468</v>
      </c>
      <c r="G845" s="25">
        <v>44096</v>
      </c>
      <c r="H845" s="25">
        <v>45557</v>
      </c>
      <c r="I845" s="24" t="s">
        <v>82</v>
      </c>
      <c r="J845" s="24" t="s">
        <v>33</v>
      </c>
      <c r="K845" s="24" t="str">
        <f>IF(certifications[[#This Row],[ISSUE DATE]]="", "", TEXT(certifications[[#This Row],[ISSUE DATE]], "MMM"))</f>
        <v>Sep</v>
      </c>
      <c r="L845" s="35" t="str">
        <f>IF(certifications[[#This Row],[ISSUE DATE]]="", "", TEXT(certifications[[#This Row],[ISSUE DATE]], "YYYY"))</f>
        <v>2020</v>
      </c>
    </row>
    <row r="846" spans="1:12" s="29" customFormat="1" ht="23.95" customHeight="1" x14ac:dyDescent="0.3">
      <c r="A846" s="31"/>
      <c r="B846" s="24">
        <v>833</v>
      </c>
      <c r="C846" s="24" t="s">
        <v>929</v>
      </c>
      <c r="D846" s="24" t="s">
        <v>32</v>
      </c>
      <c r="E846" s="24" t="s">
        <v>26</v>
      </c>
      <c r="F846" s="24">
        <v>15468</v>
      </c>
      <c r="G846" s="25">
        <v>44089</v>
      </c>
      <c r="H846" s="25">
        <v>45550</v>
      </c>
      <c r="I846" s="24" t="s">
        <v>82</v>
      </c>
      <c r="J846" s="24" t="s">
        <v>33</v>
      </c>
      <c r="K846" s="24" t="str">
        <f>IF(certifications[[#This Row],[ISSUE DATE]]="", "", TEXT(certifications[[#This Row],[ISSUE DATE]], "MMM"))</f>
        <v>Sep</v>
      </c>
      <c r="L846" s="35" t="str">
        <f>IF(certifications[[#This Row],[ISSUE DATE]]="", "", TEXT(certifications[[#This Row],[ISSUE DATE]], "YYYY"))</f>
        <v>2020</v>
      </c>
    </row>
    <row r="847" spans="1:12" s="29" customFormat="1" ht="23.95" customHeight="1" x14ac:dyDescent="0.3">
      <c r="A847" s="31"/>
      <c r="B847" s="24">
        <v>834</v>
      </c>
      <c r="C847" s="24" t="s">
        <v>930</v>
      </c>
      <c r="D847" s="24" t="s">
        <v>252</v>
      </c>
      <c r="E847" s="24" t="s">
        <v>9</v>
      </c>
      <c r="F847" s="24">
        <v>8471</v>
      </c>
      <c r="G847" s="25">
        <v>41426</v>
      </c>
      <c r="H847" s="25">
        <v>42156</v>
      </c>
      <c r="I847" s="24" t="s">
        <v>16</v>
      </c>
      <c r="J847" s="24" t="s">
        <v>38</v>
      </c>
      <c r="K847" s="24" t="str">
        <f>IF(certifications[[#This Row],[ISSUE DATE]]="", "", TEXT(certifications[[#This Row],[ISSUE DATE]], "MMM"))</f>
        <v>Jun</v>
      </c>
      <c r="L847" s="35" t="str">
        <f>IF(certifications[[#This Row],[ISSUE DATE]]="", "", TEXT(certifications[[#This Row],[ISSUE DATE]], "YYYY"))</f>
        <v>2013</v>
      </c>
    </row>
    <row r="848" spans="1:12" s="29" customFormat="1" ht="23.95" customHeight="1" x14ac:dyDescent="0.3">
      <c r="A848" s="31"/>
      <c r="B848" s="24">
        <v>835</v>
      </c>
      <c r="C848" s="24" t="s">
        <v>931</v>
      </c>
      <c r="D848" s="24" t="s">
        <v>32</v>
      </c>
      <c r="E848" s="24" t="s">
        <v>9</v>
      </c>
      <c r="F848" s="24">
        <v>21929</v>
      </c>
      <c r="G848" s="25">
        <v>45784</v>
      </c>
      <c r="H848" s="25">
        <v>46514</v>
      </c>
      <c r="I848" s="24" t="s">
        <v>10</v>
      </c>
      <c r="J848" s="24" t="s">
        <v>33</v>
      </c>
      <c r="K848" s="24" t="str">
        <f>IF(certifications[[#This Row],[ISSUE DATE]]="", "", TEXT(certifications[[#This Row],[ISSUE DATE]], "MMM"))</f>
        <v>May</v>
      </c>
      <c r="L848" s="35" t="str">
        <f>IF(certifications[[#This Row],[ISSUE DATE]]="", "", TEXT(certifications[[#This Row],[ISSUE DATE]], "YYYY"))</f>
        <v>2025</v>
      </c>
    </row>
    <row r="849" spans="1:12" s="29" customFormat="1" ht="23.95" customHeight="1" x14ac:dyDescent="0.3">
      <c r="A849" s="31"/>
      <c r="B849" s="24">
        <v>836</v>
      </c>
      <c r="C849" s="24" t="s">
        <v>932</v>
      </c>
      <c r="D849" s="24" t="s">
        <v>704</v>
      </c>
      <c r="E849" s="24" t="s">
        <v>26</v>
      </c>
      <c r="F849" s="24">
        <v>17950</v>
      </c>
      <c r="G849" s="25">
        <v>45460</v>
      </c>
      <c r="H849" s="25">
        <v>46190</v>
      </c>
      <c r="I849" s="24" t="s">
        <v>10</v>
      </c>
      <c r="J849" s="24" t="s">
        <v>14</v>
      </c>
      <c r="K849" s="24" t="str">
        <f>IF(certifications[[#This Row],[ISSUE DATE]]="", "", TEXT(certifications[[#This Row],[ISSUE DATE]], "MMM"))</f>
        <v>Jun</v>
      </c>
      <c r="L849" s="35" t="str">
        <f>IF(certifications[[#This Row],[ISSUE DATE]]="", "", TEXT(certifications[[#This Row],[ISSUE DATE]], "YYYY"))</f>
        <v>2024</v>
      </c>
    </row>
    <row r="850" spans="1:12" s="29" customFormat="1" ht="23.95" customHeight="1" x14ac:dyDescent="0.3">
      <c r="A850" s="31"/>
      <c r="B850" s="24">
        <v>837</v>
      </c>
      <c r="C850" s="24" t="s">
        <v>933</v>
      </c>
      <c r="D850" s="24" t="s">
        <v>674</v>
      </c>
      <c r="E850" s="24" t="s">
        <v>9</v>
      </c>
      <c r="F850" s="24">
        <v>15612</v>
      </c>
      <c r="G850" s="25">
        <v>44140</v>
      </c>
      <c r="H850" s="25">
        <v>46331</v>
      </c>
      <c r="I850" s="24" t="s">
        <v>10</v>
      </c>
      <c r="J850" s="24" t="s">
        <v>22</v>
      </c>
      <c r="K850" s="24" t="str">
        <f>IF(certifications[[#This Row],[ISSUE DATE]]="", "", TEXT(certifications[[#This Row],[ISSUE DATE]], "MMM"))</f>
        <v>Nov</v>
      </c>
      <c r="L850" s="35" t="str">
        <f>IF(certifications[[#This Row],[ISSUE DATE]]="", "", TEXT(certifications[[#This Row],[ISSUE DATE]], "YYYY"))</f>
        <v>2020</v>
      </c>
    </row>
    <row r="851" spans="1:12" s="29" customFormat="1" ht="23.95" customHeight="1" x14ac:dyDescent="0.3">
      <c r="A851" s="31"/>
      <c r="B851" s="24">
        <v>838</v>
      </c>
      <c r="C851" s="24" t="s">
        <v>934</v>
      </c>
      <c r="D851" s="24" t="s">
        <v>53</v>
      </c>
      <c r="E851" s="24" t="s">
        <v>9</v>
      </c>
      <c r="F851" s="24">
        <v>17949</v>
      </c>
      <c r="G851" s="25">
        <v>44847</v>
      </c>
      <c r="H851" s="25">
        <v>45578</v>
      </c>
      <c r="I851" s="24" t="s">
        <v>82</v>
      </c>
      <c r="J851" s="24" t="s">
        <v>25</v>
      </c>
      <c r="K851" s="24" t="str">
        <f>IF(certifications[[#This Row],[ISSUE DATE]]="", "", TEXT(certifications[[#This Row],[ISSUE DATE]], "MMM"))</f>
        <v>Oct</v>
      </c>
      <c r="L851" s="35" t="str">
        <f>IF(certifications[[#This Row],[ISSUE DATE]]="", "", TEXT(certifications[[#This Row],[ISSUE DATE]], "YYYY"))</f>
        <v>2022</v>
      </c>
    </row>
    <row r="852" spans="1:12" s="29" customFormat="1" ht="23.95" customHeight="1" x14ac:dyDescent="0.3">
      <c r="A852" s="31"/>
      <c r="B852" s="24">
        <v>839</v>
      </c>
      <c r="C852" s="24" t="s">
        <v>935</v>
      </c>
      <c r="D852" s="24" t="s">
        <v>65</v>
      </c>
      <c r="E852" s="24" t="s">
        <v>9</v>
      </c>
      <c r="F852" s="24">
        <v>10299</v>
      </c>
      <c r="G852" s="25">
        <v>42915</v>
      </c>
      <c r="H852" s="25">
        <v>43645</v>
      </c>
      <c r="I852" s="24" t="s">
        <v>16</v>
      </c>
      <c r="J852" s="24" t="s">
        <v>19</v>
      </c>
      <c r="K852" s="24" t="str">
        <f>IF(certifications[[#This Row],[ISSUE DATE]]="", "", TEXT(certifications[[#This Row],[ISSUE DATE]], "MMM"))</f>
        <v>Jun</v>
      </c>
      <c r="L852" s="35" t="str">
        <f>IF(certifications[[#This Row],[ISSUE DATE]]="", "", TEXT(certifications[[#This Row],[ISSUE DATE]], "YYYY"))</f>
        <v>2017</v>
      </c>
    </row>
    <row r="853" spans="1:12" s="29" customFormat="1" ht="23.95" customHeight="1" x14ac:dyDescent="0.3">
      <c r="A853" s="31"/>
      <c r="B853" s="24">
        <v>840</v>
      </c>
      <c r="C853" s="24" t="s">
        <v>936</v>
      </c>
      <c r="D853" s="24" t="s">
        <v>114</v>
      </c>
      <c r="E853" s="24" t="s">
        <v>9</v>
      </c>
      <c r="F853" s="24">
        <v>13569</v>
      </c>
      <c r="G853" s="25">
        <v>43630</v>
      </c>
      <c r="H853" s="25">
        <v>45822</v>
      </c>
      <c r="I853" s="24" t="s">
        <v>82</v>
      </c>
      <c r="J853" s="24" t="s">
        <v>22</v>
      </c>
      <c r="K853" s="24" t="str">
        <f>IF(certifications[[#This Row],[ISSUE DATE]]="", "", TEXT(certifications[[#This Row],[ISSUE DATE]], "MMM"))</f>
        <v>Jun</v>
      </c>
      <c r="L853" s="35" t="str">
        <f>IF(certifications[[#This Row],[ISSUE DATE]]="", "", TEXT(certifications[[#This Row],[ISSUE DATE]], "YYYY"))</f>
        <v>2019</v>
      </c>
    </row>
    <row r="854" spans="1:12" s="29" customFormat="1" ht="23.95" customHeight="1" x14ac:dyDescent="0.3">
      <c r="A854" s="31"/>
      <c r="B854" s="24">
        <v>841</v>
      </c>
      <c r="C854" s="24" t="s">
        <v>937</v>
      </c>
      <c r="D854" s="24" t="s">
        <v>611</v>
      </c>
      <c r="E854" s="24" t="s">
        <v>9</v>
      </c>
      <c r="F854" s="24">
        <v>17459</v>
      </c>
      <c r="G854" s="25">
        <v>45202</v>
      </c>
      <c r="H854" s="25">
        <v>45933</v>
      </c>
      <c r="I854" s="24" t="s">
        <v>10</v>
      </c>
      <c r="J854" s="24" t="s">
        <v>22</v>
      </c>
      <c r="K854" s="24" t="str">
        <f>IF(certifications[[#This Row],[ISSUE DATE]]="", "", TEXT(certifications[[#This Row],[ISSUE DATE]], "MMM"))</f>
        <v>Oct</v>
      </c>
      <c r="L854" s="35" t="str">
        <f>IF(certifications[[#This Row],[ISSUE DATE]]="", "", TEXT(certifications[[#This Row],[ISSUE DATE]], "YYYY"))</f>
        <v>2023</v>
      </c>
    </row>
    <row r="855" spans="1:12" s="29" customFormat="1" ht="23.95" customHeight="1" x14ac:dyDescent="0.3">
      <c r="A855" s="31"/>
      <c r="B855" s="24">
        <v>842</v>
      </c>
      <c r="C855" s="24" t="s">
        <v>938</v>
      </c>
      <c r="D855" s="24" t="s">
        <v>939</v>
      </c>
      <c r="E855" s="24" t="s">
        <v>9</v>
      </c>
      <c r="F855" s="24">
        <v>7811</v>
      </c>
      <c r="G855" s="25">
        <v>40647</v>
      </c>
      <c r="H855" s="25">
        <v>41378</v>
      </c>
      <c r="I855" s="24" t="s">
        <v>16</v>
      </c>
      <c r="J855" s="24" t="s">
        <v>11</v>
      </c>
      <c r="K855" s="24" t="str">
        <f>IF(certifications[[#This Row],[ISSUE DATE]]="", "", TEXT(certifications[[#This Row],[ISSUE DATE]], "MMM"))</f>
        <v>Apr</v>
      </c>
      <c r="L855" s="35" t="str">
        <f>IF(certifications[[#This Row],[ISSUE DATE]]="", "", TEXT(certifications[[#This Row],[ISSUE DATE]], "YYYY"))</f>
        <v>2011</v>
      </c>
    </row>
    <row r="856" spans="1:12" s="29" customFormat="1" ht="23.95" customHeight="1" x14ac:dyDescent="0.3">
      <c r="A856" s="31"/>
      <c r="B856" s="24">
        <v>843</v>
      </c>
      <c r="C856" s="24" t="s">
        <v>940</v>
      </c>
      <c r="D856" s="24" t="s">
        <v>18</v>
      </c>
      <c r="E856" s="24" t="s">
        <v>9</v>
      </c>
      <c r="F856" s="24">
        <v>17601</v>
      </c>
      <c r="G856" s="25">
        <v>44743</v>
      </c>
      <c r="H856" s="25">
        <v>45474</v>
      </c>
      <c r="I856" s="24" t="s">
        <v>82</v>
      </c>
      <c r="J856" s="24" t="s">
        <v>19</v>
      </c>
      <c r="K856" s="24" t="str">
        <f>IF(certifications[[#This Row],[ISSUE DATE]]="", "", TEXT(certifications[[#This Row],[ISSUE DATE]], "MMM"))</f>
        <v>Jul</v>
      </c>
      <c r="L856" s="35" t="str">
        <f>IF(certifications[[#This Row],[ISSUE DATE]]="", "", TEXT(certifications[[#This Row],[ISSUE DATE]], "YYYY"))</f>
        <v>2022</v>
      </c>
    </row>
    <row r="857" spans="1:12" s="29" customFormat="1" ht="23.95" customHeight="1" x14ac:dyDescent="0.3">
      <c r="A857" s="31"/>
      <c r="B857" s="24">
        <v>844</v>
      </c>
      <c r="C857" s="24" t="s">
        <v>941</v>
      </c>
      <c r="D857" s="24" t="s">
        <v>13</v>
      </c>
      <c r="E857" s="24" t="s">
        <v>9</v>
      </c>
      <c r="F857" s="24">
        <v>9188</v>
      </c>
      <c r="G857" s="25">
        <v>42144</v>
      </c>
      <c r="H857" s="25">
        <v>42875</v>
      </c>
      <c r="I857" s="24" t="s">
        <v>16</v>
      </c>
      <c r="J857" s="24" t="s">
        <v>14</v>
      </c>
      <c r="K857" s="24" t="str">
        <f>IF(certifications[[#This Row],[ISSUE DATE]]="", "", TEXT(certifications[[#This Row],[ISSUE DATE]], "MMM"))</f>
        <v>May</v>
      </c>
      <c r="L857" s="35" t="str">
        <f>IF(certifications[[#This Row],[ISSUE DATE]]="", "", TEXT(certifications[[#This Row],[ISSUE DATE]], "YYYY"))</f>
        <v>2015</v>
      </c>
    </row>
    <row r="858" spans="1:12" s="29" customFormat="1" ht="23.95" customHeight="1" x14ac:dyDescent="0.3">
      <c r="A858" s="31"/>
      <c r="B858" s="24">
        <v>845</v>
      </c>
      <c r="C858" s="24" t="s">
        <v>942</v>
      </c>
      <c r="D858" s="24" t="s">
        <v>848</v>
      </c>
      <c r="E858" s="24" t="s">
        <v>9</v>
      </c>
      <c r="F858" s="24">
        <v>14415</v>
      </c>
      <c r="G858" s="25">
        <v>43697</v>
      </c>
      <c r="H858" s="25">
        <v>44428</v>
      </c>
      <c r="I858" s="24" t="s">
        <v>16</v>
      </c>
      <c r="J858" s="24" t="s">
        <v>38</v>
      </c>
      <c r="K858" s="24" t="str">
        <f>IF(certifications[[#This Row],[ISSUE DATE]]="", "", TEXT(certifications[[#This Row],[ISSUE DATE]], "MMM"))</f>
        <v>Aug</v>
      </c>
      <c r="L858" s="35" t="str">
        <f>IF(certifications[[#This Row],[ISSUE DATE]]="", "", TEXT(certifications[[#This Row],[ISSUE DATE]], "YYYY"))</f>
        <v>2019</v>
      </c>
    </row>
    <row r="859" spans="1:12" s="29" customFormat="1" ht="23.95" customHeight="1" x14ac:dyDescent="0.3">
      <c r="A859" s="31"/>
      <c r="B859" s="24">
        <v>846</v>
      </c>
      <c r="C859" s="24" t="s">
        <v>943</v>
      </c>
      <c r="D859" s="24" t="s">
        <v>53</v>
      </c>
      <c r="E859" s="24" t="s">
        <v>9</v>
      </c>
      <c r="F859" s="24">
        <v>15516</v>
      </c>
      <c r="G859" s="25">
        <v>44096</v>
      </c>
      <c r="H859" s="25">
        <v>46287</v>
      </c>
      <c r="I859" s="24" t="s">
        <v>10</v>
      </c>
      <c r="J859" s="24" t="s">
        <v>25</v>
      </c>
      <c r="K859" s="24" t="str">
        <f>IF(certifications[[#This Row],[ISSUE DATE]]="", "", TEXT(certifications[[#This Row],[ISSUE DATE]], "MMM"))</f>
        <v>Sep</v>
      </c>
      <c r="L859" s="35" t="str">
        <f>IF(certifications[[#This Row],[ISSUE DATE]]="", "", TEXT(certifications[[#This Row],[ISSUE DATE]], "YYYY"))</f>
        <v>2020</v>
      </c>
    </row>
    <row r="860" spans="1:12" s="29" customFormat="1" ht="23.95" customHeight="1" x14ac:dyDescent="0.3">
      <c r="A860" s="31"/>
      <c r="B860" s="24">
        <v>847</v>
      </c>
      <c r="C860" s="24" t="s">
        <v>944</v>
      </c>
      <c r="D860" s="24" t="s">
        <v>13</v>
      </c>
      <c r="E860" s="24" t="s">
        <v>9</v>
      </c>
      <c r="F860" s="24">
        <v>9761</v>
      </c>
      <c r="G860" s="25">
        <v>44228</v>
      </c>
      <c r="H860" s="25">
        <v>44958</v>
      </c>
      <c r="I860" s="24" t="s">
        <v>16</v>
      </c>
      <c r="J860" s="24" t="s">
        <v>14</v>
      </c>
      <c r="K860" s="24" t="str">
        <f>IF(certifications[[#This Row],[ISSUE DATE]]="", "", TEXT(certifications[[#This Row],[ISSUE DATE]], "MMM"))</f>
        <v>Feb</v>
      </c>
      <c r="L860" s="35" t="str">
        <f>IF(certifications[[#This Row],[ISSUE DATE]]="", "", TEXT(certifications[[#This Row],[ISSUE DATE]], "YYYY"))</f>
        <v>2021</v>
      </c>
    </row>
    <row r="861" spans="1:12" s="29" customFormat="1" ht="23.95" customHeight="1" x14ac:dyDescent="0.3">
      <c r="A861" s="31"/>
      <c r="B861" s="24">
        <v>848</v>
      </c>
      <c r="C861" s="24" t="s">
        <v>945</v>
      </c>
      <c r="D861" s="24" t="s">
        <v>46</v>
      </c>
      <c r="E861" s="24" t="s">
        <v>9</v>
      </c>
      <c r="F861" s="24">
        <v>8780</v>
      </c>
      <c r="G861" s="25">
        <v>41710</v>
      </c>
      <c r="H861" s="25">
        <v>42441</v>
      </c>
      <c r="I861" s="24" t="s">
        <v>16</v>
      </c>
      <c r="J861" s="24" t="s">
        <v>38</v>
      </c>
      <c r="K861" s="24" t="str">
        <f>IF(certifications[[#This Row],[ISSUE DATE]]="", "", TEXT(certifications[[#This Row],[ISSUE DATE]], "MMM"))</f>
        <v>Mar</v>
      </c>
      <c r="L861" s="35" t="str">
        <f>IF(certifications[[#This Row],[ISSUE DATE]]="", "", TEXT(certifications[[#This Row],[ISSUE DATE]], "YYYY"))</f>
        <v>2014</v>
      </c>
    </row>
    <row r="862" spans="1:12" s="29" customFormat="1" ht="23.95" customHeight="1" x14ac:dyDescent="0.3">
      <c r="A862" s="31"/>
      <c r="B862" s="24">
        <v>849</v>
      </c>
      <c r="C862" s="24" t="s">
        <v>946</v>
      </c>
      <c r="D862" s="24" t="s">
        <v>32</v>
      </c>
      <c r="E862" s="24" t="s">
        <v>9</v>
      </c>
      <c r="F862" s="24">
        <v>18590</v>
      </c>
      <c r="G862" s="25">
        <v>45055</v>
      </c>
      <c r="H862" s="25">
        <v>46516</v>
      </c>
      <c r="I862" s="24" t="s">
        <v>10</v>
      </c>
      <c r="J862" s="24" t="s">
        <v>33</v>
      </c>
      <c r="K862" s="24" t="str">
        <f>IF(certifications[[#This Row],[ISSUE DATE]]="", "", TEXT(certifications[[#This Row],[ISSUE DATE]], "MMM"))</f>
        <v>May</v>
      </c>
      <c r="L862" s="35" t="str">
        <f>IF(certifications[[#This Row],[ISSUE DATE]]="", "", TEXT(certifications[[#This Row],[ISSUE DATE]], "YYYY"))</f>
        <v>2023</v>
      </c>
    </row>
    <row r="863" spans="1:12" s="29" customFormat="1" ht="23.95" customHeight="1" x14ac:dyDescent="0.3">
      <c r="A863" s="31"/>
      <c r="B863" s="24">
        <v>850</v>
      </c>
      <c r="C863" s="24" t="s">
        <v>947</v>
      </c>
      <c r="D863" s="24" t="s">
        <v>32</v>
      </c>
      <c r="E863" s="24" t="s">
        <v>9</v>
      </c>
      <c r="F863" s="24">
        <v>16100</v>
      </c>
      <c r="G863" s="25">
        <v>44274</v>
      </c>
      <c r="H863" s="25">
        <v>45004</v>
      </c>
      <c r="I863" s="24" t="s">
        <v>16</v>
      </c>
      <c r="J863" s="24" t="s">
        <v>33</v>
      </c>
      <c r="K863" s="24" t="str">
        <f>IF(certifications[[#This Row],[ISSUE DATE]]="", "", TEXT(certifications[[#This Row],[ISSUE DATE]], "MMM"))</f>
        <v>Mar</v>
      </c>
      <c r="L863" s="35" t="str">
        <f>IF(certifications[[#This Row],[ISSUE DATE]]="", "", TEXT(certifications[[#This Row],[ISSUE DATE]], "YYYY"))</f>
        <v>2021</v>
      </c>
    </row>
    <row r="864" spans="1:12" s="29" customFormat="1" ht="23.95" customHeight="1" x14ac:dyDescent="0.3">
      <c r="A864" s="31"/>
      <c r="B864" s="24">
        <v>851</v>
      </c>
      <c r="C864" s="24" t="s">
        <v>948</v>
      </c>
      <c r="D864" s="24" t="s">
        <v>158</v>
      </c>
      <c r="E864" s="24" t="s">
        <v>9</v>
      </c>
      <c r="F864" s="24">
        <v>14949</v>
      </c>
      <c r="G864" s="25">
        <v>43818</v>
      </c>
      <c r="H864" s="25">
        <v>45279</v>
      </c>
      <c r="I864" s="24" t="s">
        <v>16</v>
      </c>
      <c r="J864" s="24" t="s">
        <v>30</v>
      </c>
      <c r="K864" s="24" t="str">
        <f>IF(certifications[[#This Row],[ISSUE DATE]]="", "", TEXT(certifications[[#This Row],[ISSUE DATE]], "MMM"))</f>
        <v>Dec</v>
      </c>
      <c r="L864" s="35" t="str">
        <f>IF(certifications[[#This Row],[ISSUE DATE]]="", "", TEXT(certifications[[#This Row],[ISSUE DATE]], "YYYY"))</f>
        <v>2019</v>
      </c>
    </row>
    <row r="865" spans="1:12" s="29" customFormat="1" ht="23.95" customHeight="1" x14ac:dyDescent="0.3">
      <c r="A865" s="31"/>
      <c r="B865" s="24">
        <v>852</v>
      </c>
      <c r="C865" s="24" t="s">
        <v>949</v>
      </c>
      <c r="D865" s="24" t="s">
        <v>260</v>
      </c>
      <c r="E865" s="24" t="s">
        <v>9</v>
      </c>
      <c r="F865" s="24">
        <v>10167</v>
      </c>
      <c r="G865" s="25">
        <v>42899</v>
      </c>
      <c r="H865" s="25">
        <v>43629</v>
      </c>
      <c r="I865" s="24" t="s">
        <v>16</v>
      </c>
      <c r="J865" s="24" t="s">
        <v>14</v>
      </c>
      <c r="K865" s="24" t="str">
        <f>IF(certifications[[#This Row],[ISSUE DATE]]="", "", TEXT(certifications[[#This Row],[ISSUE DATE]], "MMM"))</f>
        <v>Jun</v>
      </c>
      <c r="L865" s="35" t="str">
        <f>IF(certifications[[#This Row],[ISSUE DATE]]="", "", TEXT(certifications[[#This Row],[ISSUE DATE]], "YYYY"))</f>
        <v>2017</v>
      </c>
    </row>
    <row r="866" spans="1:12" s="29" customFormat="1" ht="23.95" customHeight="1" x14ac:dyDescent="0.3">
      <c r="A866" s="31"/>
      <c r="B866" s="24">
        <v>853</v>
      </c>
      <c r="C866" s="24" t="s">
        <v>950</v>
      </c>
      <c r="D866" s="24" t="s">
        <v>645</v>
      </c>
      <c r="E866" s="24" t="s">
        <v>9</v>
      </c>
      <c r="F866" s="24">
        <v>19687</v>
      </c>
      <c r="G866" s="25">
        <v>45298</v>
      </c>
      <c r="H866" s="25">
        <v>46029</v>
      </c>
      <c r="I866" s="24" t="s">
        <v>10</v>
      </c>
      <c r="J866" s="24" t="s">
        <v>38</v>
      </c>
      <c r="K866" s="24" t="str">
        <f>IF(certifications[[#This Row],[ISSUE DATE]]="", "", TEXT(certifications[[#This Row],[ISSUE DATE]], "MMM"))</f>
        <v>Jan</v>
      </c>
      <c r="L866" s="35" t="str">
        <f>IF(certifications[[#This Row],[ISSUE DATE]]="", "", TEXT(certifications[[#This Row],[ISSUE DATE]], "YYYY"))</f>
        <v>2024</v>
      </c>
    </row>
    <row r="867" spans="1:12" s="29" customFormat="1" ht="23.95" customHeight="1" x14ac:dyDescent="0.3">
      <c r="A867" s="31"/>
      <c r="B867" s="24">
        <v>854</v>
      </c>
      <c r="C867" s="24" t="s">
        <v>951</v>
      </c>
      <c r="D867" s="24" t="s">
        <v>109</v>
      </c>
      <c r="E867" s="24" t="s">
        <v>9</v>
      </c>
      <c r="F867" s="24">
        <v>17104</v>
      </c>
      <c r="G867" s="25">
        <v>44701</v>
      </c>
      <c r="H867" s="25">
        <v>46033</v>
      </c>
      <c r="I867" s="24" t="s">
        <v>10</v>
      </c>
      <c r="J867" s="24" t="s">
        <v>38</v>
      </c>
      <c r="K867" s="24" t="str">
        <f>IF(certifications[[#This Row],[ISSUE DATE]]="", "", TEXT(certifications[[#This Row],[ISSUE DATE]], "MMM"))</f>
        <v>May</v>
      </c>
      <c r="L867" s="35" t="str">
        <f>IF(certifications[[#This Row],[ISSUE DATE]]="", "", TEXT(certifications[[#This Row],[ISSUE DATE]], "YYYY"))</f>
        <v>2022</v>
      </c>
    </row>
    <row r="868" spans="1:12" s="29" customFormat="1" ht="23.95" customHeight="1" x14ac:dyDescent="0.3">
      <c r="A868" s="31"/>
      <c r="B868" s="24">
        <v>855</v>
      </c>
      <c r="C868" s="24" t="s">
        <v>951</v>
      </c>
      <c r="D868" s="24" t="s">
        <v>109</v>
      </c>
      <c r="E868" s="24" t="s">
        <v>26</v>
      </c>
      <c r="F868" s="24">
        <v>17104</v>
      </c>
      <c r="G868" s="25">
        <v>44572</v>
      </c>
      <c r="H868" s="25">
        <v>46033</v>
      </c>
      <c r="I868" s="24" t="s">
        <v>10</v>
      </c>
      <c r="J868" s="24" t="s">
        <v>38</v>
      </c>
      <c r="K868" s="24" t="str">
        <f>IF(certifications[[#This Row],[ISSUE DATE]]="", "", TEXT(certifications[[#This Row],[ISSUE DATE]], "MMM"))</f>
        <v>Jan</v>
      </c>
      <c r="L868" s="35" t="str">
        <f>IF(certifications[[#This Row],[ISSUE DATE]]="", "", TEXT(certifications[[#This Row],[ISSUE DATE]], "YYYY"))</f>
        <v>2022</v>
      </c>
    </row>
    <row r="869" spans="1:12" s="29" customFormat="1" ht="23.95" customHeight="1" x14ac:dyDescent="0.3">
      <c r="A869" s="31"/>
      <c r="B869" s="24">
        <v>856</v>
      </c>
      <c r="C869" s="24" t="s">
        <v>952</v>
      </c>
      <c r="D869" s="24" t="s">
        <v>171</v>
      </c>
      <c r="E869" s="24" t="s">
        <v>9</v>
      </c>
      <c r="F869" s="24">
        <v>8333</v>
      </c>
      <c r="G869" s="25">
        <v>41331</v>
      </c>
      <c r="H869" s="25">
        <v>46444</v>
      </c>
      <c r="I869" s="24" t="s">
        <v>10</v>
      </c>
      <c r="J869" s="24" t="s">
        <v>14</v>
      </c>
      <c r="K869" s="24" t="str">
        <f>IF(certifications[[#This Row],[ISSUE DATE]]="", "", TEXT(certifications[[#This Row],[ISSUE DATE]], "MMM"))</f>
        <v>Feb</v>
      </c>
      <c r="L869" s="35" t="str">
        <f>IF(certifications[[#This Row],[ISSUE DATE]]="", "", TEXT(certifications[[#This Row],[ISSUE DATE]], "YYYY"))</f>
        <v>2013</v>
      </c>
    </row>
    <row r="870" spans="1:12" s="29" customFormat="1" ht="23.95" customHeight="1" x14ac:dyDescent="0.3">
      <c r="A870" s="31"/>
      <c r="B870" s="24">
        <v>857</v>
      </c>
      <c r="C870" s="24" t="s">
        <v>953</v>
      </c>
      <c r="D870" s="24" t="s">
        <v>32</v>
      </c>
      <c r="E870" s="24" t="s">
        <v>9</v>
      </c>
      <c r="F870" s="24">
        <v>18325</v>
      </c>
      <c r="G870" s="25">
        <v>45194</v>
      </c>
      <c r="H870" s="25">
        <v>45925</v>
      </c>
      <c r="I870" s="24" t="s">
        <v>10</v>
      </c>
      <c r="J870" s="24" t="s">
        <v>33</v>
      </c>
      <c r="K870" s="24" t="str">
        <f>IF(certifications[[#This Row],[ISSUE DATE]]="", "", TEXT(certifications[[#This Row],[ISSUE DATE]], "MMM"))</f>
        <v>Sep</v>
      </c>
      <c r="L870" s="35" t="str">
        <f>IF(certifications[[#This Row],[ISSUE DATE]]="", "", TEXT(certifications[[#This Row],[ISSUE DATE]], "YYYY"))</f>
        <v>2023</v>
      </c>
    </row>
    <row r="871" spans="1:12" s="29" customFormat="1" ht="23.95" customHeight="1" x14ac:dyDescent="0.3">
      <c r="A871" s="31"/>
      <c r="B871" s="24">
        <v>858</v>
      </c>
      <c r="C871" s="24" t="s">
        <v>954</v>
      </c>
      <c r="D871" s="24" t="s">
        <v>13</v>
      </c>
      <c r="E871" s="24" t="s">
        <v>9</v>
      </c>
      <c r="F871" s="24">
        <v>18448</v>
      </c>
      <c r="G871" s="25">
        <v>45011</v>
      </c>
      <c r="H871" s="25">
        <v>46472</v>
      </c>
      <c r="I871" s="24" t="s">
        <v>10</v>
      </c>
      <c r="J871" s="24" t="s">
        <v>14</v>
      </c>
      <c r="K871" s="24" t="str">
        <f>IF(certifications[[#This Row],[ISSUE DATE]]="", "", TEXT(certifications[[#This Row],[ISSUE DATE]], "MMM"))</f>
        <v>Mar</v>
      </c>
      <c r="L871" s="35" t="str">
        <f>IF(certifications[[#This Row],[ISSUE DATE]]="", "", TEXT(certifications[[#This Row],[ISSUE DATE]], "YYYY"))</f>
        <v>2023</v>
      </c>
    </row>
    <row r="872" spans="1:12" s="29" customFormat="1" ht="23.95" customHeight="1" x14ac:dyDescent="0.3">
      <c r="A872" s="31"/>
      <c r="B872" s="24">
        <v>859</v>
      </c>
      <c r="C872" s="24" t="s">
        <v>955</v>
      </c>
      <c r="D872" s="24" t="s">
        <v>956</v>
      </c>
      <c r="E872" s="24" t="s">
        <v>9</v>
      </c>
      <c r="F872" s="24">
        <v>8454</v>
      </c>
      <c r="G872" s="25">
        <v>41412</v>
      </c>
      <c r="H872" s="25">
        <v>42873</v>
      </c>
      <c r="I872" s="24" t="s">
        <v>321</v>
      </c>
      <c r="J872" s="24" t="s">
        <v>30</v>
      </c>
      <c r="K872" s="24" t="str">
        <f>IF(certifications[[#This Row],[ISSUE DATE]]="", "", TEXT(certifications[[#This Row],[ISSUE DATE]], "MMM"))</f>
        <v>May</v>
      </c>
      <c r="L872" s="35" t="str">
        <f>IF(certifications[[#This Row],[ISSUE DATE]]="", "", TEXT(certifications[[#This Row],[ISSUE DATE]], "YYYY"))</f>
        <v>2013</v>
      </c>
    </row>
    <row r="873" spans="1:12" s="29" customFormat="1" ht="23.95" customHeight="1" x14ac:dyDescent="0.3">
      <c r="A873" s="31"/>
      <c r="B873" s="24">
        <v>860</v>
      </c>
      <c r="C873" s="24" t="s">
        <v>957</v>
      </c>
      <c r="D873" s="24" t="s">
        <v>40</v>
      </c>
      <c r="E873" s="24" t="s">
        <v>9</v>
      </c>
      <c r="F873" s="24">
        <v>18703</v>
      </c>
      <c r="G873" s="25">
        <v>45092</v>
      </c>
      <c r="H873" s="25">
        <v>46553</v>
      </c>
      <c r="I873" s="24" t="s">
        <v>10</v>
      </c>
      <c r="J873" s="24" t="s">
        <v>25</v>
      </c>
      <c r="K873" s="24" t="str">
        <f>IF(certifications[[#This Row],[ISSUE DATE]]="", "", TEXT(certifications[[#This Row],[ISSUE DATE]], "MMM"))</f>
        <v>Jun</v>
      </c>
      <c r="L873" s="35" t="str">
        <f>IF(certifications[[#This Row],[ISSUE DATE]]="", "", TEXT(certifications[[#This Row],[ISSUE DATE]], "YYYY"))</f>
        <v>2023</v>
      </c>
    </row>
    <row r="874" spans="1:12" s="29" customFormat="1" ht="23.95" customHeight="1" x14ac:dyDescent="0.3">
      <c r="A874" s="31"/>
      <c r="B874" s="24">
        <v>861</v>
      </c>
      <c r="C874" s="24" t="s">
        <v>957</v>
      </c>
      <c r="D874" s="24" t="s">
        <v>315</v>
      </c>
      <c r="E874" s="24" t="s">
        <v>26</v>
      </c>
      <c r="F874" s="24">
        <v>18703</v>
      </c>
      <c r="G874" s="25">
        <v>45089</v>
      </c>
      <c r="H874" s="25">
        <v>45820</v>
      </c>
      <c r="I874" s="24" t="s">
        <v>82</v>
      </c>
      <c r="J874" s="24" t="s">
        <v>30</v>
      </c>
      <c r="K874" s="24" t="str">
        <f>IF(certifications[[#This Row],[ISSUE DATE]]="", "", TEXT(certifications[[#This Row],[ISSUE DATE]], "MMM"))</f>
        <v>Jun</v>
      </c>
      <c r="L874" s="35" t="str">
        <f>IF(certifications[[#This Row],[ISSUE DATE]]="", "", TEXT(certifications[[#This Row],[ISSUE DATE]], "YYYY"))</f>
        <v>2023</v>
      </c>
    </row>
    <row r="875" spans="1:12" s="29" customFormat="1" ht="23.95" customHeight="1" x14ac:dyDescent="0.3">
      <c r="A875" s="31"/>
      <c r="B875" s="24">
        <v>862</v>
      </c>
      <c r="C875" s="24" t="s">
        <v>958</v>
      </c>
      <c r="D875" s="24" t="s">
        <v>13</v>
      </c>
      <c r="E875" s="24" t="s">
        <v>9</v>
      </c>
      <c r="F875" s="24">
        <v>13578</v>
      </c>
      <c r="G875" s="25">
        <v>43630</v>
      </c>
      <c r="H875" s="25">
        <v>44361</v>
      </c>
      <c r="I875" s="24" t="s">
        <v>16</v>
      </c>
      <c r="J875" s="24" t="s">
        <v>14</v>
      </c>
      <c r="K875" s="24" t="str">
        <f>IF(certifications[[#This Row],[ISSUE DATE]]="", "", TEXT(certifications[[#This Row],[ISSUE DATE]], "MMM"))</f>
        <v>Jun</v>
      </c>
      <c r="L875" s="35" t="str">
        <f>IF(certifications[[#This Row],[ISSUE DATE]]="", "", TEXT(certifications[[#This Row],[ISSUE DATE]], "YYYY"))</f>
        <v>2019</v>
      </c>
    </row>
    <row r="876" spans="1:12" s="29" customFormat="1" ht="23.95" customHeight="1" x14ac:dyDescent="0.3">
      <c r="A876" s="31"/>
      <c r="B876" s="24">
        <v>863</v>
      </c>
      <c r="C876" s="24" t="s">
        <v>959</v>
      </c>
      <c r="D876" s="24" t="s">
        <v>32</v>
      </c>
      <c r="E876" s="24" t="s">
        <v>9</v>
      </c>
      <c r="F876" s="24">
        <v>14002</v>
      </c>
      <c r="G876" s="25">
        <v>43670</v>
      </c>
      <c r="H876" s="25">
        <v>44401</v>
      </c>
      <c r="I876" s="24" t="s">
        <v>16</v>
      </c>
      <c r="J876" s="24" t="s">
        <v>33</v>
      </c>
      <c r="K876" s="24" t="str">
        <f>IF(certifications[[#This Row],[ISSUE DATE]]="", "", TEXT(certifications[[#This Row],[ISSUE DATE]], "MMM"))</f>
        <v>Jul</v>
      </c>
      <c r="L876" s="35" t="str">
        <f>IF(certifications[[#This Row],[ISSUE DATE]]="", "", TEXT(certifications[[#This Row],[ISSUE DATE]], "YYYY"))</f>
        <v>2019</v>
      </c>
    </row>
    <row r="877" spans="1:12" s="29" customFormat="1" ht="23.95" customHeight="1" x14ac:dyDescent="0.3">
      <c r="A877" s="31"/>
      <c r="B877" s="24">
        <v>864</v>
      </c>
      <c r="C877" s="24" t="s">
        <v>960</v>
      </c>
      <c r="D877" s="24" t="s">
        <v>32</v>
      </c>
      <c r="E877" s="24" t="s">
        <v>9</v>
      </c>
      <c r="F877" s="24">
        <v>9248</v>
      </c>
      <c r="G877" s="25">
        <v>42180</v>
      </c>
      <c r="H877" s="25">
        <v>46563</v>
      </c>
      <c r="I877" s="24" t="s">
        <v>10</v>
      </c>
      <c r="J877" s="24" t="s">
        <v>33</v>
      </c>
      <c r="K877" s="24" t="str">
        <f>IF(certifications[[#This Row],[ISSUE DATE]]="", "", TEXT(certifications[[#This Row],[ISSUE DATE]], "MMM"))</f>
        <v>Jun</v>
      </c>
      <c r="L877" s="35" t="str">
        <f>IF(certifications[[#This Row],[ISSUE DATE]]="", "", TEXT(certifications[[#This Row],[ISSUE DATE]], "YYYY"))</f>
        <v>2015</v>
      </c>
    </row>
    <row r="878" spans="1:12" s="29" customFormat="1" ht="23.95" customHeight="1" x14ac:dyDescent="0.3">
      <c r="A878" s="31"/>
      <c r="B878" s="24">
        <v>865</v>
      </c>
      <c r="C878" s="24" t="s">
        <v>961</v>
      </c>
      <c r="D878" s="24" t="s">
        <v>884</v>
      </c>
      <c r="E878" s="24" t="s">
        <v>9</v>
      </c>
      <c r="F878" s="24">
        <v>16938</v>
      </c>
      <c r="G878" s="25">
        <v>44492</v>
      </c>
      <c r="H878" s="25">
        <v>45953</v>
      </c>
      <c r="I878" s="24" t="s">
        <v>10</v>
      </c>
      <c r="J878" s="24" t="s">
        <v>22</v>
      </c>
      <c r="K878" s="24" t="str">
        <f>IF(certifications[[#This Row],[ISSUE DATE]]="", "", TEXT(certifications[[#This Row],[ISSUE DATE]], "MMM"))</f>
        <v>Oct</v>
      </c>
      <c r="L878" s="35" t="str">
        <f>IF(certifications[[#This Row],[ISSUE DATE]]="", "", TEXT(certifications[[#This Row],[ISSUE DATE]], "YYYY"))</f>
        <v>2021</v>
      </c>
    </row>
    <row r="879" spans="1:12" s="29" customFormat="1" ht="23.95" customHeight="1" x14ac:dyDescent="0.3">
      <c r="A879" s="31"/>
      <c r="B879" s="24">
        <v>866</v>
      </c>
      <c r="C879" s="24" t="s">
        <v>962</v>
      </c>
      <c r="D879" s="24" t="s">
        <v>32</v>
      </c>
      <c r="E879" s="24" t="s">
        <v>9</v>
      </c>
      <c r="F879" s="24">
        <v>9596</v>
      </c>
      <c r="G879" s="25">
        <v>42514</v>
      </c>
      <c r="H879" s="25">
        <v>43244</v>
      </c>
      <c r="I879" s="24" t="s">
        <v>16</v>
      </c>
      <c r="J879" s="24" t="s">
        <v>33</v>
      </c>
      <c r="K879" s="24" t="str">
        <f>IF(certifications[[#This Row],[ISSUE DATE]]="", "", TEXT(certifications[[#This Row],[ISSUE DATE]], "MMM"))</f>
        <v>May</v>
      </c>
      <c r="L879" s="35" t="str">
        <f>IF(certifications[[#This Row],[ISSUE DATE]]="", "", TEXT(certifications[[#This Row],[ISSUE DATE]], "YYYY"))</f>
        <v>2016</v>
      </c>
    </row>
    <row r="880" spans="1:12" s="29" customFormat="1" ht="23.95" customHeight="1" x14ac:dyDescent="0.3">
      <c r="A880" s="31"/>
      <c r="B880" s="24">
        <v>867</v>
      </c>
      <c r="C880" s="24" t="s">
        <v>963</v>
      </c>
      <c r="D880" s="24" t="s">
        <v>78</v>
      </c>
      <c r="E880" s="24" t="s">
        <v>9</v>
      </c>
      <c r="F880" s="24">
        <v>19408</v>
      </c>
      <c r="G880" s="25">
        <v>45244</v>
      </c>
      <c r="H880" s="25">
        <v>45975</v>
      </c>
      <c r="I880" s="24" t="s">
        <v>10</v>
      </c>
      <c r="J880" s="24" t="s">
        <v>25</v>
      </c>
      <c r="K880" s="24" t="str">
        <f>IF(certifications[[#This Row],[ISSUE DATE]]="", "", TEXT(certifications[[#This Row],[ISSUE DATE]], "MMM"))</f>
        <v>Nov</v>
      </c>
      <c r="L880" s="35" t="str">
        <f>IF(certifications[[#This Row],[ISSUE DATE]]="", "", TEXT(certifications[[#This Row],[ISSUE DATE]], "YYYY"))</f>
        <v>2023</v>
      </c>
    </row>
    <row r="881" spans="1:12" s="29" customFormat="1" ht="23.95" customHeight="1" x14ac:dyDescent="0.3">
      <c r="A881" s="31"/>
      <c r="B881" s="24">
        <v>868</v>
      </c>
      <c r="C881" s="24" t="s">
        <v>964</v>
      </c>
      <c r="D881" s="24" t="s">
        <v>37</v>
      </c>
      <c r="E881" s="24" t="s">
        <v>9</v>
      </c>
      <c r="F881" s="24">
        <v>9023</v>
      </c>
      <c r="G881" s="25">
        <v>41905</v>
      </c>
      <c r="H881" s="25">
        <v>44097</v>
      </c>
      <c r="I881" s="24" t="s">
        <v>16</v>
      </c>
      <c r="J881" s="24" t="s">
        <v>38</v>
      </c>
      <c r="K881" s="24" t="str">
        <f>IF(certifications[[#This Row],[ISSUE DATE]]="", "", TEXT(certifications[[#This Row],[ISSUE DATE]], "MMM"))</f>
        <v>Sep</v>
      </c>
      <c r="L881" s="35" t="str">
        <f>IF(certifications[[#This Row],[ISSUE DATE]]="", "", TEXT(certifications[[#This Row],[ISSUE DATE]], "YYYY"))</f>
        <v>2014</v>
      </c>
    </row>
    <row r="882" spans="1:12" s="29" customFormat="1" ht="23.95" customHeight="1" x14ac:dyDescent="0.3">
      <c r="A882" s="31"/>
      <c r="B882" s="24">
        <v>869</v>
      </c>
      <c r="C882" s="24" t="s">
        <v>965</v>
      </c>
      <c r="D882" s="24" t="s">
        <v>848</v>
      </c>
      <c r="E882" s="24" t="s">
        <v>9</v>
      </c>
      <c r="F882" s="24">
        <v>9989</v>
      </c>
      <c r="G882" s="25">
        <v>42746</v>
      </c>
      <c r="H882" s="25">
        <v>43476</v>
      </c>
      <c r="I882" s="24" t="s">
        <v>16</v>
      </c>
      <c r="J882" s="24" t="s">
        <v>38</v>
      </c>
      <c r="K882" s="24" t="str">
        <f>IF(certifications[[#This Row],[ISSUE DATE]]="", "", TEXT(certifications[[#This Row],[ISSUE DATE]], "MMM"))</f>
        <v>Jan</v>
      </c>
      <c r="L882" s="35" t="str">
        <f>IF(certifications[[#This Row],[ISSUE DATE]]="", "", TEXT(certifications[[#This Row],[ISSUE DATE]], "YYYY"))</f>
        <v>2017</v>
      </c>
    </row>
    <row r="883" spans="1:12" s="29" customFormat="1" ht="23.95" customHeight="1" x14ac:dyDescent="0.3">
      <c r="A883" s="31"/>
      <c r="B883" s="24">
        <v>870</v>
      </c>
      <c r="C883" s="24" t="s">
        <v>966</v>
      </c>
      <c r="D883" s="24" t="s">
        <v>190</v>
      </c>
      <c r="E883" s="24" t="s">
        <v>9</v>
      </c>
      <c r="F883" s="24">
        <v>16834</v>
      </c>
      <c r="G883" s="25">
        <v>44453</v>
      </c>
      <c r="H883" s="25">
        <v>45914</v>
      </c>
      <c r="I883" s="24" t="s">
        <v>10</v>
      </c>
      <c r="J883" s="24" t="s">
        <v>14</v>
      </c>
      <c r="K883" s="24" t="str">
        <f>IF(certifications[[#This Row],[ISSUE DATE]]="", "", TEXT(certifications[[#This Row],[ISSUE DATE]], "MMM"))</f>
        <v>Sep</v>
      </c>
      <c r="L883" s="35" t="str">
        <f>IF(certifications[[#This Row],[ISSUE DATE]]="", "", TEXT(certifications[[#This Row],[ISSUE DATE]], "YYYY"))</f>
        <v>2021</v>
      </c>
    </row>
    <row r="884" spans="1:12" s="29" customFormat="1" ht="23.95" customHeight="1" x14ac:dyDescent="0.3">
      <c r="A884" s="31"/>
      <c r="B884" s="24">
        <v>871</v>
      </c>
      <c r="C884" s="24" t="s">
        <v>967</v>
      </c>
      <c r="D884" s="24" t="s">
        <v>131</v>
      </c>
      <c r="E884" s="24" t="s">
        <v>9</v>
      </c>
      <c r="F884" s="24">
        <v>8914</v>
      </c>
      <c r="G884" s="25">
        <v>41816</v>
      </c>
      <c r="H884" s="25">
        <v>42547</v>
      </c>
      <c r="I884" s="24" t="s">
        <v>16</v>
      </c>
      <c r="J884" s="24" t="s">
        <v>38</v>
      </c>
      <c r="K884" s="24" t="str">
        <f>IF(certifications[[#This Row],[ISSUE DATE]]="", "", TEXT(certifications[[#This Row],[ISSUE DATE]], "MMM"))</f>
        <v>Jun</v>
      </c>
      <c r="L884" s="35" t="str">
        <f>IF(certifications[[#This Row],[ISSUE DATE]]="", "", TEXT(certifications[[#This Row],[ISSUE DATE]], "YYYY"))</f>
        <v>2014</v>
      </c>
    </row>
    <row r="885" spans="1:12" s="29" customFormat="1" ht="23.95" customHeight="1" x14ac:dyDescent="0.3">
      <c r="A885" s="31"/>
      <c r="B885" s="24">
        <v>872</v>
      </c>
      <c r="C885" s="24" t="s">
        <v>968</v>
      </c>
      <c r="D885" s="24" t="s">
        <v>55</v>
      </c>
      <c r="E885" s="24" t="s">
        <v>9</v>
      </c>
      <c r="F885" s="24">
        <v>17733</v>
      </c>
      <c r="G885" s="25">
        <v>44784</v>
      </c>
      <c r="H885" s="25">
        <v>46245</v>
      </c>
      <c r="I885" s="24" t="s">
        <v>10</v>
      </c>
      <c r="J885" s="24" t="s">
        <v>11</v>
      </c>
      <c r="K885" s="24" t="str">
        <f>IF(certifications[[#This Row],[ISSUE DATE]]="", "", TEXT(certifications[[#This Row],[ISSUE DATE]], "MMM"))</f>
        <v>Aug</v>
      </c>
      <c r="L885" s="35" t="str">
        <f>IF(certifications[[#This Row],[ISSUE DATE]]="", "", TEXT(certifications[[#This Row],[ISSUE DATE]], "YYYY"))</f>
        <v>2022</v>
      </c>
    </row>
    <row r="886" spans="1:12" s="29" customFormat="1" ht="23.95" customHeight="1" x14ac:dyDescent="0.3">
      <c r="A886" s="31"/>
      <c r="B886" s="24">
        <v>873</v>
      </c>
      <c r="C886" s="24" t="s">
        <v>969</v>
      </c>
      <c r="D886" s="24" t="s">
        <v>375</v>
      </c>
      <c r="E886" s="24" t="s">
        <v>9</v>
      </c>
      <c r="F886" s="24">
        <v>8553</v>
      </c>
      <c r="G886" s="25">
        <v>41485</v>
      </c>
      <c r="H886" s="25">
        <v>42946</v>
      </c>
      <c r="I886" s="24" t="s">
        <v>16</v>
      </c>
      <c r="J886" s="24" t="s">
        <v>38</v>
      </c>
      <c r="K886" s="24" t="str">
        <f>IF(certifications[[#This Row],[ISSUE DATE]]="", "", TEXT(certifications[[#This Row],[ISSUE DATE]], "MMM"))</f>
        <v>Jul</v>
      </c>
      <c r="L886" s="35" t="str">
        <f>IF(certifications[[#This Row],[ISSUE DATE]]="", "", TEXT(certifications[[#This Row],[ISSUE DATE]], "YYYY"))</f>
        <v>2013</v>
      </c>
    </row>
    <row r="887" spans="1:12" s="29" customFormat="1" ht="23.95" customHeight="1" x14ac:dyDescent="0.3">
      <c r="A887" s="31"/>
      <c r="B887" s="24">
        <v>874</v>
      </c>
      <c r="C887" s="24" t="s">
        <v>970</v>
      </c>
      <c r="D887" s="24" t="s">
        <v>369</v>
      </c>
      <c r="E887" s="24" t="s">
        <v>9</v>
      </c>
      <c r="F887" s="24">
        <v>16157</v>
      </c>
      <c r="G887" s="25">
        <v>44292</v>
      </c>
      <c r="H887" s="25">
        <v>45022</v>
      </c>
      <c r="I887" s="24" t="s">
        <v>16</v>
      </c>
      <c r="J887" s="24" t="s">
        <v>25</v>
      </c>
      <c r="K887" s="24" t="str">
        <f>IF(certifications[[#This Row],[ISSUE DATE]]="", "", TEXT(certifications[[#This Row],[ISSUE DATE]], "MMM"))</f>
        <v>Apr</v>
      </c>
      <c r="L887" s="35" t="str">
        <f>IF(certifications[[#This Row],[ISSUE DATE]]="", "", TEXT(certifications[[#This Row],[ISSUE DATE]], "YYYY"))</f>
        <v>2021</v>
      </c>
    </row>
    <row r="888" spans="1:12" s="29" customFormat="1" ht="23.95" customHeight="1" x14ac:dyDescent="0.3">
      <c r="A888" s="31"/>
      <c r="B888" s="24">
        <v>875</v>
      </c>
      <c r="C888" s="24" t="s">
        <v>971</v>
      </c>
      <c r="D888" s="24" t="s">
        <v>78</v>
      </c>
      <c r="E888" s="24" t="s">
        <v>9</v>
      </c>
      <c r="F888" s="24">
        <v>18373</v>
      </c>
      <c r="G888" s="25">
        <v>44982</v>
      </c>
      <c r="H888" s="25">
        <v>46443</v>
      </c>
      <c r="I888" s="24" t="s">
        <v>10</v>
      </c>
      <c r="J888" s="24" t="s">
        <v>25</v>
      </c>
      <c r="K888" s="24" t="str">
        <f>IF(certifications[[#This Row],[ISSUE DATE]]="", "", TEXT(certifications[[#This Row],[ISSUE DATE]], "MMM"))</f>
        <v>Feb</v>
      </c>
      <c r="L888" s="35" t="str">
        <f>IF(certifications[[#This Row],[ISSUE DATE]]="", "", TEXT(certifications[[#This Row],[ISSUE DATE]], "YYYY"))</f>
        <v>2023</v>
      </c>
    </row>
    <row r="889" spans="1:12" s="29" customFormat="1" ht="23.95" customHeight="1" x14ac:dyDescent="0.3">
      <c r="A889" s="31"/>
      <c r="B889" s="24">
        <v>876</v>
      </c>
      <c r="C889" s="24" t="s">
        <v>971</v>
      </c>
      <c r="D889" s="24" t="s">
        <v>78</v>
      </c>
      <c r="E889" s="24" t="s">
        <v>26</v>
      </c>
      <c r="F889" s="24">
        <v>18373</v>
      </c>
      <c r="G889" s="25">
        <v>45062</v>
      </c>
      <c r="H889" s="25">
        <v>46523</v>
      </c>
      <c r="I889" s="24" t="s">
        <v>10</v>
      </c>
      <c r="J889" s="24" t="s">
        <v>25</v>
      </c>
      <c r="K889" s="24" t="str">
        <f>IF(certifications[[#This Row],[ISSUE DATE]]="", "", TEXT(certifications[[#This Row],[ISSUE DATE]], "MMM"))</f>
        <v>May</v>
      </c>
      <c r="L889" s="35" t="str">
        <f>IF(certifications[[#This Row],[ISSUE DATE]]="", "", TEXT(certifications[[#This Row],[ISSUE DATE]], "YYYY"))</f>
        <v>2023</v>
      </c>
    </row>
    <row r="890" spans="1:12" s="29" customFormat="1" ht="23.95" customHeight="1" x14ac:dyDescent="0.3">
      <c r="A890" s="31"/>
      <c r="B890" s="24">
        <v>877</v>
      </c>
      <c r="C890" s="24" t="s">
        <v>972</v>
      </c>
      <c r="D890" s="24" t="s">
        <v>32</v>
      </c>
      <c r="E890" s="24" t="s">
        <v>9</v>
      </c>
      <c r="F890" s="24">
        <v>16227</v>
      </c>
      <c r="G890" s="25">
        <v>44510</v>
      </c>
      <c r="H890" s="25">
        <v>45971</v>
      </c>
      <c r="I890" s="24" t="s">
        <v>10</v>
      </c>
      <c r="J890" s="24" t="s">
        <v>33</v>
      </c>
      <c r="K890" s="24" t="str">
        <f>IF(certifications[[#This Row],[ISSUE DATE]]="", "", TEXT(certifications[[#This Row],[ISSUE DATE]], "MMM"))</f>
        <v>Nov</v>
      </c>
      <c r="L890" s="35" t="str">
        <f>IF(certifications[[#This Row],[ISSUE DATE]]="", "", TEXT(certifications[[#This Row],[ISSUE DATE]], "YYYY"))</f>
        <v>2021</v>
      </c>
    </row>
    <row r="891" spans="1:12" s="29" customFormat="1" ht="23.95" customHeight="1" x14ac:dyDescent="0.3">
      <c r="A891" s="31"/>
      <c r="B891" s="24">
        <v>878</v>
      </c>
      <c r="C891" s="24" t="s">
        <v>972</v>
      </c>
      <c r="D891" s="24" t="s">
        <v>32</v>
      </c>
      <c r="E891" s="24" t="s">
        <v>26</v>
      </c>
      <c r="F891" s="24">
        <v>16227</v>
      </c>
      <c r="G891" s="25">
        <v>44326</v>
      </c>
      <c r="H891" s="25">
        <v>45056</v>
      </c>
      <c r="I891" s="24" t="s">
        <v>16</v>
      </c>
      <c r="J891" s="24" t="s">
        <v>33</v>
      </c>
      <c r="K891" s="24" t="str">
        <f>IF(certifications[[#This Row],[ISSUE DATE]]="", "", TEXT(certifications[[#This Row],[ISSUE DATE]], "MMM"))</f>
        <v>May</v>
      </c>
      <c r="L891" s="35" t="str">
        <f>IF(certifications[[#This Row],[ISSUE DATE]]="", "", TEXT(certifications[[#This Row],[ISSUE DATE]], "YYYY"))</f>
        <v>2021</v>
      </c>
    </row>
    <row r="892" spans="1:12" s="29" customFormat="1" ht="23.95" customHeight="1" x14ac:dyDescent="0.3">
      <c r="A892" s="31"/>
      <c r="B892" s="24">
        <v>879</v>
      </c>
      <c r="C892" s="24" t="s">
        <v>973</v>
      </c>
      <c r="D892" s="24" t="s">
        <v>32</v>
      </c>
      <c r="E892" s="24" t="s">
        <v>9</v>
      </c>
      <c r="F892" s="24">
        <v>21467</v>
      </c>
      <c r="G892" s="25">
        <v>45691</v>
      </c>
      <c r="H892" s="25">
        <v>46421</v>
      </c>
      <c r="I892" s="24" t="s">
        <v>10</v>
      </c>
      <c r="J892" s="24" t="s">
        <v>33</v>
      </c>
      <c r="K892" s="24" t="str">
        <f>IF(certifications[[#This Row],[ISSUE DATE]]="", "", TEXT(certifications[[#This Row],[ISSUE DATE]], "MMM"))</f>
        <v>Feb</v>
      </c>
      <c r="L892" s="35" t="str">
        <f>IF(certifications[[#This Row],[ISSUE DATE]]="", "", TEXT(certifications[[#This Row],[ISSUE DATE]], "YYYY"))</f>
        <v>2025</v>
      </c>
    </row>
    <row r="893" spans="1:12" s="29" customFormat="1" ht="23.95" customHeight="1" x14ac:dyDescent="0.3">
      <c r="A893" s="31"/>
      <c r="B893" s="24">
        <v>880</v>
      </c>
      <c r="C893" s="24" t="s">
        <v>974</v>
      </c>
      <c r="D893" s="24" t="s">
        <v>164</v>
      </c>
      <c r="E893" s="24" t="s">
        <v>9</v>
      </c>
      <c r="F893" s="24">
        <v>8706</v>
      </c>
      <c r="G893" s="25">
        <v>41620</v>
      </c>
      <c r="H893" s="25">
        <v>43811</v>
      </c>
      <c r="I893" s="24" t="s">
        <v>16</v>
      </c>
      <c r="J893" s="24" t="s">
        <v>22</v>
      </c>
      <c r="K893" s="24" t="str">
        <f>IF(certifications[[#This Row],[ISSUE DATE]]="", "", TEXT(certifications[[#This Row],[ISSUE DATE]], "MMM"))</f>
        <v>Dec</v>
      </c>
      <c r="L893" s="35" t="str">
        <f>IF(certifications[[#This Row],[ISSUE DATE]]="", "", TEXT(certifications[[#This Row],[ISSUE DATE]], "YYYY"))</f>
        <v>2013</v>
      </c>
    </row>
    <row r="894" spans="1:12" s="29" customFormat="1" ht="23.95" customHeight="1" x14ac:dyDescent="0.3">
      <c r="A894" s="31"/>
      <c r="B894" s="24">
        <v>881</v>
      </c>
      <c r="C894" s="24" t="s">
        <v>975</v>
      </c>
      <c r="D894" s="24" t="s">
        <v>32</v>
      </c>
      <c r="E894" s="24" t="s">
        <v>26</v>
      </c>
      <c r="F894" s="24">
        <v>19533</v>
      </c>
      <c r="G894" s="25">
        <v>45271</v>
      </c>
      <c r="H894" s="25">
        <v>46002</v>
      </c>
      <c r="I894" s="24" t="s">
        <v>10</v>
      </c>
      <c r="J894" s="24" t="s">
        <v>33</v>
      </c>
      <c r="K894" s="24" t="str">
        <f>IF(certifications[[#This Row],[ISSUE DATE]]="", "", TEXT(certifications[[#This Row],[ISSUE DATE]], "MMM"))</f>
        <v>Dec</v>
      </c>
      <c r="L894" s="35" t="str">
        <f>IF(certifications[[#This Row],[ISSUE DATE]]="", "", TEXT(certifications[[#This Row],[ISSUE DATE]], "YYYY"))</f>
        <v>2023</v>
      </c>
    </row>
    <row r="895" spans="1:12" s="29" customFormat="1" ht="23.95" customHeight="1" x14ac:dyDescent="0.3">
      <c r="A895" s="31"/>
      <c r="B895" s="24">
        <v>882</v>
      </c>
      <c r="C895" s="24" t="s">
        <v>976</v>
      </c>
      <c r="D895" s="24" t="s">
        <v>109</v>
      </c>
      <c r="E895" s="24" t="s">
        <v>9</v>
      </c>
      <c r="F895" s="24">
        <v>16600</v>
      </c>
      <c r="G895" s="25">
        <v>44377</v>
      </c>
      <c r="H895" s="25">
        <v>45107</v>
      </c>
      <c r="I895" s="24" t="s">
        <v>16</v>
      </c>
      <c r="J895" s="24" t="s">
        <v>38</v>
      </c>
      <c r="K895" s="24" t="str">
        <f>IF(certifications[[#This Row],[ISSUE DATE]]="", "", TEXT(certifications[[#This Row],[ISSUE DATE]], "MMM"))</f>
        <v>Jun</v>
      </c>
      <c r="L895" s="35" t="str">
        <f>IF(certifications[[#This Row],[ISSUE DATE]]="", "", TEXT(certifications[[#This Row],[ISSUE DATE]], "YYYY"))</f>
        <v>2021</v>
      </c>
    </row>
    <row r="896" spans="1:12" s="29" customFormat="1" ht="23.95" customHeight="1" x14ac:dyDescent="0.3">
      <c r="A896" s="31"/>
      <c r="B896" s="24">
        <v>883</v>
      </c>
      <c r="C896" s="24" t="s">
        <v>977</v>
      </c>
      <c r="D896" s="24" t="s">
        <v>169</v>
      </c>
      <c r="E896" s="24" t="s">
        <v>9</v>
      </c>
      <c r="F896" s="24">
        <v>10643</v>
      </c>
      <c r="G896" s="25">
        <v>43116</v>
      </c>
      <c r="H896" s="25">
        <v>43846</v>
      </c>
      <c r="I896" s="24" t="s">
        <v>16</v>
      </c>
      <c r="J896" s="24" t="s">
        <v>14</v>
      </c>
      <c r="K896" s="24" t="str">
        <f>IF(certifications[[#This Row],[ISSUE DATE]]="", "", TEXT(certifications[[#This Row],[ISSUE DATE]], "MMM"))</f>
        <v>Jan</v>
      </c>
      <c r="L896" s="35" t="str">
        <f>IF(certifications[[#This Row],[ISSUE DATE]]="", "", TEXT(certifications[[#This Row],[ISSUE DATE]], "YYYY"))</f>
        <v>2018</v>
      </c>
    </row>
    <row r="897" spans="1:12" s="29" customFormat="1" ht="23.95" customHeight="1" x14ac:dyDescent="0.3">
      <c r="A897" s="31"/>
      <c r="B897" s="24">
        <v>884</v>
      </c>
      <c r="C897" s="24" t="s">
        <v>978</v>
      </c>
      <c r="D897" s="24" t="s">
        <v>32</v>
      </c>
      <c r="E897" s="24" t="s">
        <v>9</v>
      </c>
      <c r="F897" s="24">
        <v>8656</v>
      </c>
      <c r="G897" s="25">
        <v>41577</v>
      </c>
      <c r="H897" s="25">
        <v>42307</v>
      </c>
      <c r="I897" s="24" t="s">
        <v>16</v>
      </c>
      <c r="J897" s="24" t="s">
        <v>33</v>
      </c>
      <c r="K897" s="24" t="str">
        <f>IF(certifications[[#This Row],[ISSUE DATE]]="", "", TEXT(certifications[[#This Row],[ISSUE DATE]], "MMM"))</f>
        <v>Oct</v>
      </c>
      <c r="L897" s="35" t="str">
        <f>IF(certifications[[#This Row],[ISSUE DATE]]="", "", TEXT(certifications[[#This Row],[ISSUE DATE]], "YYYY"))</f>
        <v>2013</v>
      </c>
    </row>
    <row r="898" spans="1:12" s="29" customFormat="1" ht="23.95" customHeight="1" x14ac:dyDescent="0.3">
      <c r="A898" s="31"/>
      <c r="B898" s="24">
        <v>885</v>
      </c>
      <c r="C898" s="24" t="s">
        <v>979</v>
      </c>
      <c r="D898" s="24" t="s">
        <v>309</v>
      </c>
      <c r="E898" s="24" t="s">
        <v>9</v>
      </c>
      <c r="F898" s="24">
        <v>8441</v>
      </c>
      <c r="G898" s="25">
        <v>41404</v>
      </c>
      <c r="H898" s="25">
        <v>42134</v>
      </c>
      <c r="I898" s="24" t="s">
        <v>16</v>
      </c>
      <c r="J898" s="24" t="s">
        <v>11</v>
      </c>
      <c r="K898" s="24" t="str">
        <f>IF(certifications[[#This Row],[ISSUE DATE]]="", "", TEXT(certifications[[#This Row],[ISSUE DATE]], "MMM"))</f>
        <v>May</v>
      </c>
      <c r="L898" s="35" t="str">
        <f>IF(certifications[[#This Row],[ISSUE DATE]]="", "", TEXT(certifications[[#This Row],[ISSUE DATE]], "YYYY"))</f>
        <v>2013</v>
      </c>
    </row>
    <row r="899" spans="1:12" s="29" customFormat="1" ht="23.95" customHeight="1" x14ac:dyDescent="0.3">
      <c r="A899" s="31"/>
      <c r="B899" s="24">
        <v>886</v>
      </c>
      <c r="C899" s="24" t="s">
        <v>980</v>
      </c>
      <c r="D899" s="24" t="s">
        <v>32</v>
      </c>
      <c r="E899" s="24" t="s">
        <v>9</v>
      </c>
      <c r="F899" s="24">
        <v>8323</v>
      </c>
      <c r="G899" s="25">
        <v>41325</v>
      </c>
      <c r="H899" s="25">
        <v>46438</v>
      </c>
      <c r="I899" s="24" t="s">
        <v>10</v>
      </c>
      <c r="J899" s="24" t="s">
        <v>33</v>
      </c>
      <c r="K899" s="24" t="str">
        <f>IF(certifications[[#This Row],[ISSUE DATE]]="", "", TEXT(certifications[[#This Row],[ISSUE DATE]], "MMM"))</f>
        <v>Feb</v>
      </c>
      <c r="L899" s="35" t="str">
        <f>IF(certifications[[#This Row],[ISSUE DATE]]="", "", TEXT(certifications[[#This Row],[ISSUE DATE]], "YYYY"))</f>
        <v>2013</v>
      </c>
    </row>
    <row r="900" spans="1:12" s="29" customFormat="1" ht="23.95" customHeight="1" x14ac:dyDescent="0.3">
      <c r="A900" s="31"/>
      <c r="B900" s="24">
        <v>887</v>
      </c>
      <c r="C900" s="24" t="s">
        <v>981</v>
      </c>
      <c r="D900" s="24" t="s">
        <v>982</v>
      </c>
      <c r="E900" s="24" t="s">
        <v>9</v>
      </c>
      <c r="F900" s="24">
        <v>8513</v>
      </c>
      <c r="G900" s="25">
        <v>41464</v>
      </c>
      <c r="H900" s="25">
        <v>42194</v>
      </c>
      <c r="I900" s="24" t="s">
        <v>16</v>
      </c>
      <c r="J900" s="24" t="s">
        <v>30</v>
      </c>
      <c r="K900" s="24" t="str">
        <f>IF(certifications[[#This Row],[ISSUE DATE]]="", "", TEXT(certifications[[#This Row],[ISSUE DATE]], "MMM"))</f>
        <v>Jul</v>
      </c>
      <c r="L900" s="35" t="str">
        <f>IF(certifications[[#This Row],[ISSUE DATE]]="", "", TEXT(certifications[[#This Row],[ISSUE DATE]], "YYYY"))</f>
        <v>2013</v>
      </c>
    </row>
    <row r="901" spans="1:12" s="29" customFormat="1" ht="23.95" customHeight="1" x14ac:dyDescent="0.3">
      <c r="A901" s="31"/>
      <c r="B901" s="24">
        <v>888</v>
      </c>
      <c r="C901" s="24" t="s">
        <v>983</v>
      </c>
      <c r="D901" s="24" t="s">
        <v>32</v>
      </c>
      <c r="E901" s="24" t="s">
        <v>9</v>
      </c>
      <c r="F901" s="24">
        <v>10893</v>
      </c>
      <c r="G901" s="25">
        <v>45559</v>
      </c>
      <c r="H901" s="25">
        <v>46289</v>
      </c>
      <c r="I901" s="24" t="s">
        <v>10</v>
      </c>
      <c r="J901" s="24" t="s">
        <v>33</v>
      </c>
      <c r="K901" s="24" t="str">
        <f>IF(certifications[[#This Row],[ISSUE DATE]]="", "", TEXT(certifications[[#This Row],[ISSUE DATE]], "MMM"))</f>
        <v>Sep</v>
      </c>
      <c r="L901" s="35" t="str">
        <f>IF(certifications[[#This Row],[ISSUE DATE]]="", "", TEXT(certifications[[#This Row],[ISSUE DATE]], "YYYY"))</f>
        <v>2024</v>
      </c>
    </row>
    <row r="902" spans="1:12" s="29" customFormat="1" ht="23.95" customHeight="1" x14ac:dyDescent="0.3">
      <c r="A902" s="31"/>
      <c r="B902" s="24">
        <v>889</v>
      </c>
      <c r="C902" s="24" t="s">
        <v>984</v>
      </c>
      <c r="D902" s="24" t="s">
        <v>722</v>
      </c>
      <c r="E902" s="24" t="s">
        <v>9</v>
      </c>
      <c r="F902" s="24">
        <v>10244</v>
      </c>
      <c r="G902" s="25">
        <v>42908</v>
      </c>
      <c r="H902" s="25">
        <v>43638</v>
      </c>
      <c r="I902" s="24" t="s">
        <v>16</v>
      </c>
      <c r="J902" s="24" t="s">
        <v>30</v>
      </c>
      <c r="K902" s="24" t="str">
        <f>IF(certifications[[#This Row],[ISSUE DATE]]="", "", TEXT(certifications[[#This Row],[ISSUE DATE]], "MMM"))</f>
        <v>Jun</v>
      </c>
      <c r="L902" s="35" t="str">
        <f>IF(certifications[[#This Row],[ISSUE DATE]]="", "", TEXT(certifications[[#This Row],[ISSUE DATE]], "YYYY"))</f>
        <v>2017</v>
      </c>
    </row>
    <row r="903" spans="1:12" s="29" customFormat="1" ht="23.95" customHeight="1" x14ac:dyDescent="0.3">
      <c r="A903" s="31"/>
      <c r="B903" s="24">
        <v>890</v>
      </c>
      <c r="C903" s="24" t="s">
        <v>985</v>
      </c>
      <c r="D903" s="24" t="s">
        <v>986</v>
      </c>
      <c r="E903" s="24" t="s">
        <v>9</v>
      </c>
      <c r="F903" s="24">
        <v>11680</v>
      </c>
      <c r="G903" s="25">
        <v>43269</v>
      </c>
      <c r="H903" s="25">
        <v>44730</v>
      </c>
      <c r="I903" s="24" t="s">
        <v>16</v>
      </c>
      <c r="J903" s="24" t="s">
        <v>25</v>
      </c>
      <c r="K903" s="24" t="str">
        <f>IF(certifications[[#This Row],[ISSUE DATE]]="", "", TEXT(certifications[[#This Row],[ISSUE DATE]], "MMM"))</f>
        <v>Jun</v>
      </c>
      <c r="L903" s="35" t="str">
        <f>IF(certifications[[#This Row],[ISSUE DATE]]="", "", TEXT(certifications[[#This Row],[ISSUE DATE]], "YYYY"))</f>
        <v>2018</v>
      </c>
    </row>
    <row r="904" spans="1:12" s="29" customFormat="1" ht="23.95" customHeight="1" x14ac:dyDescent="0.3">
      <c r="A904" s="31"/>
      <c r="B904" s="24">
        <v>891</v>
      </c>
      <c r="C904" s="24" t="s">
        <v>987</v>
      </c>
      <c r="D904" s="24" t="s">
        <v>500</v>
      </c>
      <c r="E904" s="24" t="s">
        <v>9</v>
      </c>
      <c r="F904" s="24">
        <v>18857</v>
      </c>
      <c r="G904" s="25">
        <v>45117</v>
      </c>
      <c r="H904" s="25">
        <v>45848</v>
      </c>
      <c r="I904" s="24" t="s">
        <v>10</v>
      </c>
      <c r="J904" s="24" t="s">
        <v>30</v>
      </c>
      <c r="K904" s="24" t="str">
        <f>IF(certifications[[#This Row],[ISSUE DATE]]="", "", TEXT(certifications[[#This Row],[ISSUE DATE]], "MMM"))</f>
        <v>Jul</v>
      </c>
      <c r="L904" s="35" t="str">
        <f>IF(certifications[[#This Row],[ISSUE DATE]]="", "", TEXT(certifications[[#This Row],[ISSUE DATE]], "YYYY"))</f>
        <v>2023</v>
      </c>
    </row>
    <row r="905" spans="1:12" s="29" customFormat="1" ht="23.95" customHeight="1" x14ac:dyDescent="0.3">
      <c r="A905" s="31"/>
      <c r="B905" s="24">
        <v>892</v>
      </c>
      <c r="C905" s="24" t="s">
        <v>988</v>
      </c>
      <c r="D905" s="24" t="s">
        <v>155</v>
      </c>
      <c r="E905" s="24" t="s">
        <v>9</v>
      </c>
      <c r="F905" s="24">
        <v>10088</v>
      </c>
      <c r="G905" s="25">
        <v>42815</v>
      </c>
      <c r="H905" s="25">
        <v>46467</v>
      </c>
      <c r="I905" s="24" t="s">
        <v>10</v>
      </c>
      <c r="J905" s="24" t="s">
        <v>11</v>
      </c>
      <c r="K905" s="24" t="str">
        <f>IF(certifications[[#This Row],[ISSUE DATE]]="", "", TEXT(certifications[[#This Row],[ISSUE DATE]], "MMM"))</f>
        <v>Mar</v>
      </c>
      <c r="L905" s="35" t="str">
        <f>IF(certifications[[#This Row],[ISSUE DATE]]="", "", TEXT(certifications[[#This Row],[ISSUE DATE]], "YYYY"))</f>
        <v>2017</v>
      </c>
    </row>
    <row r="906" spans="1:12" s="29" customFormat="1" ht="23.95" customHeight="1" x14ac:dyDescent="0.3">
      <c r="A906" s="31"/>
      <c r="B906" s="24">
        <v>893</v>
      </c>
      <c r="C906" s="24" t="s">
        <v>989</v>
      </c>
      <c r="D906" s="24" t="s">
        <v>13</v>
      </c>
      <c r="E906" s="24" t="s">
        <v>9</v>
      </c>
      <c r="F906" s="24">
        <v>15085</v>
      </c>
      <c r="G906" s="25">
        <v>43857</v>
      </c>
      <c r="H906" s="25">
        <v>44588</v>
      </c>
      <c r="I906" s="24" t="s">
        <v>16</v>
      </c>
      <c r="J906" s="24" t="s">
        <v>14</v>
      </c>
      <c r="K906" s="24" t="str">
        <f>IF(certifications[[#This Row],[ISSUE DATE]]="", "", TEXT(certifications[[#This Row],[ISSUE DATE]], "MMM"))</f>
        <v>Jan</v>
      </c>
      <c r="L906" s="35" t="str">
        <f>IF(certifications[[#This Row],[ISSUE DATE]]="", "", TEXT(certifications[[#This Row],[ISSUE DATE]], "YYYY"))</f>
        <v>2020</v>
      </c>
    </row>
    <row r="907" spans="1:12" s="29" customFormat="1" ht="23.95" customHeight="1" x14ac:dyDescent="0.3">
      <c r="A907" s="31"/>
      <c r="B907" s="24">
        <v>894</v>
      </c>
      <c r="C907" s="24" t="s">
        <v>990</v>
      </c>
      <c r="D907" s="24" t="s">
        <v>46</v>
      </c>
      <c r="E907" s="24" t="s">
        <v>9</v>
      </c>
      <c r="F907" s="24">
        <v>9729</v>
      </c>
      <c r="G907" s="25">
        <v>42571</v>
      </c>
      <c r="H907" s="25">
        <v>43301</v>
      </c>
      <c r="I907" s="24" t="s">
        <v>16</v>
      </c>
      <c r="J907" s="24" t="s">
        <v>38</v>
      </c>
      <c r="K907" s="24" t="str">
        <f>IF(certifications[[#This Row],[ISSUE DATE]]="", "", TEXT(certifications[[#This Row],[ISSUE DATE]], "MMM"))</f>
        <v>Jul</v>
      </c>
      <c r="L907" s="35" t="str">
        <f>IF(certifications[[#This Row],[ISSUE DATE]]="", "", TEXT(certifications[[#This Row],[ISSUE DATE]], "YYYY"))</f>
        <v>2016</v>
      </c>
    </row>
    <row r="908" spans="1:12" s="29" customFormat="1" ht="23.95" customHeight="1" x14ac:dyDescent="0.3">
      <c r="A908" s="31"/>
      <c r="B908" s="24">
        <v>895</v>
      </c>
      <c r="C908" s="24" t="s">
        <v>991</v>
      </c>
      <c r="D908" s="24" t="s">
        <v>735</v>
      </c>
      <c r="E908" s="24" t="s">
        <v>9</v>
      </c>
      <c r="F908" s="24">
        <v>9430</v>
      </c>
      <c r="G908" s="25">
        <v>42341</v>
      </c>
      <c r="H908" s="25">
        <v>44533</v>
      </c>
      <c r="I908" s="24" t="s">
        <v>16</v>
      </c>
      <c r="J908" s="24" t="s">
        <v>19</v>
      </c>
      <c r="K908" s="24" t="str">
        <f>IF(certifications[[#This Row],[ISSUE DATE]]="", "", TEXT(certifications[[#This Row],[ISSUE DATE]], "MMM"))</f>
        <v>Dec</v>
      </c>
      <c r="L908" s="35" t="str">
        <f>IF(certifications[[#This Row],[ISSUE DATE]]="", "", TEXT(certifications[[#This Row],[ISSUE DATE]], "YYYY"))</f>
        <v>2015</v>
      </c>
    </row>
    <row r="909" spans="1:12" s="29" customFormat="1" ht="23.95" customHeight="1" x14ac:dyDescent="0.3">
      <c r="A909" s="31"/>
      <c r="B909" s="24">
        <v>896</v>
      </c>
      <c r="C909" s="24" t="s">
        <v>992</v>
      </c>
      <c r="D909" s="24" t="s">
        <v>13</v>
      </c>
      <c r="E909" s="24" t="s">
        <v>9</v>
      </c>
      <c r="F909" s="24">
        <v>8920</v>
      </c>
      <c r="G909" s="25">
        <v>41816</v>
      </c>
      <c r="H909" s="25">
        <v>42547</v>
      </c>
      <c r="I909" s="24" t="s">
        <v>16</v>
      </c>
      <c r="J909" s="24" t="s">
        <v>14</v>
      </c>
      <c r="K909" s="24" t="str">
        <f>IF(certifications[[#This Row],[ISSUE DATE]]="", "", TEXT(certifications[[#This Row],[ISSUE DATE]], "MMM"))</f>
        <v>Jun</v>
      </c>
      <c r="L909" s="35" t="str">
        <f>IF(certifications[[#This Row],[ISSUE DATE]]="", "", TEXT(certifications[[#This Row],[ISSUE DATE]], "YYYY"))</f>
        <v>2014</v>
      </c>
    </row>
    <row r="910" spans="1:12" s="29" customFormat="1" ht="23.95" customHeight="1" x14ac:dyDescent="0.3">
      <c r="A910" s="31"/>
      <c r="B910" s="24">
        <v>897</v>
      </c>
      <c r="C910" s="24" t="s">
        <v>993</v>
      </c>
      <c r="D910" s="24" t="s">
        <v>13</v>
      </c>
      <c r="E910" s="24" t="s">
        <v>9</v>
      </c>
      <c r="F910" s="24">
        <v>17327</v>
      </c>
      <c r="G910" s="25">
        <v>44659</v>
      </c>
      <c r="H910" s="25">
        <v>46120</v>
      </c>
      <c r="I910" s="24" t="s">
        <v>10</v>
      </c>
      <c r="J910" s="24" t="s">
        <v>14</v>
      </c>
      <c r="K910" s="24" t="str">
        <f>IF(certifications[[#This Row],[ISSUE DATE]]="", "", TEXT(certifications[[#This Row],[ISSUE DATE]], "MMM"))</f>
        <v>Apr</v>
      </c>
      <c r="L910" s="35" t="str">
        <f>IF(certifications[[#This Row],[ISSUE DATE]]="", "", TEXT(certifications[[#This Row],[ISSUE DATE]], "YYYY"))</f>
        <v>2022</v>
      </c>
    </row>
    <row r="911" spans="1:12" s="29" customFormat="1" ht="23.95" customHeight="1" x14ac:dyDescent="0.3">
      <c r="A911" s="31"/>
      <c r="B911" s="24">
        <v>898</v>
      </c>
      <c r="C911" s="24" t="s">
        <v>994</v>
      </c>
      <c r="D911" s="24" t="s">
        <v>153</v>
      </c>
      <c r="E911" s="24" t="s">
        <v>9</v>
      </c>
      <c r="F911" s="24">
        <v>9613</v>
      </c>
      <c r="G911" s="25">
        <v>42513</v>
      </c>
      <c r="H911" s="25">
        <v>43974</v>
      </c>
      <c r="I911" s="24" t="s">
        <v>16</v>
      </c>
      <c r="J911" s="24" t="s">
        <v>22</v>
      </c>
      <c r="K911" s="24" t="str">
        <f>IF(certifications[[#This Row],[ISSUE DATE]]="", "", TEXT(certifications[[#This Row],[ISSUE DATE]], "MMM"))</f>
        <v>May</v>
      </c>
      <c r="L911" s="35" t="str">
        <f>IF(certifications[[#This Row],[ISSUE DATE]]="", "", TEXT(certifications[[#This Row],[ISSUE DATE]], "YYYY"))</f>
        <v>2016</v>
      </c>
    </row>
    <row r="912" spans="1:12" s="29" customFormat="1" ht="23.95" customHeight="1" x14ac:dyDescent="0.3">
      <c r="A912" s="31"/>
      <c r="B912" s="24">
        <v>899</v>
      </c>
      <c r="C912" s="24" t="s">
        <v>995</v>
      </c>
      <c r="D912" s="24" t="s">
        <v>114</v>
      </c>
      <c r="E912" s="24" t="s">
        <v>9</v>
      </c>
      <c r="F912" s="24">
        <v>21059</v>
      </c>
      <c r="G912" s="25">
        <v>45656</v>
      </c>
      <c r="H912" s="25">
        <v>46386</v>
      </c>
      <c r="I912" s="24" t="s">
        <v>10</v>
      </c>
      <c r="J912" s="24" t="s">
        <v>22</v>
      </c>
      <c r="K912" s="24" t="str">
        <f>IF(certifications[[#This Row],[ISSUE DATE]]="", "", TEXT(certifications[[#This Row],[ISSUE DATE]], "MMM"))</f>
        <v>Dec</v>
      </c>
      <c r="L912" s="35" t="str">
        <f>IF(certifications[[#This Row],[ISSUE DATE]]="", "", TEXT(certifications[[#This Row],[ISSUE DATE]], "YYYY"))</f>
        <v>2024</v>
      </c>
    </row>
    <row r="913" spans="1:12" s="29" customFormat="1" ht="23.95" customHeight="1" x14ac:dyDescent="0.3">
      <c r="A913" s="31"/>
      <c r="B913" s="24">
        <v>900</v>
      </c>
      <c r="C913" s="24" t="s">
        <v>995</v>
      </c>
      <c r="D913" s="24" t="s">
        <v>114</v>
      </c>
      <c r="E913" s="24" t="s">
        <v>26</v>
      </c>
      <c r="F913" s="24">
        <v>21059</v>
      </c>
      <c r="G913" s="25">
        <v>45595</v>
      </c>
      <c r="H913" s="25">
        <v>46325</v>
      </c>
      <c r="I913" s="24" t="s">
        <v>10</v>
      </c>
      <c r="J913" s="24" t="s">
        <v>22</v>
      </c>
      <c r="K913" s="24" t="str">
        <f>IF(certifications[[#This Row],[ISSUE DATE]]="", "", TEXT(certifications[[#This Row],[ISSUE DATE]], "MMM"))</f>
        <v>Oct</v>
      </c>
      <c r="L913" s="35" t="str">
        <f>IF(certifications[[#This Row],[ISSUE DATE]]="", "", TEXT(certifications[[#This Row],[ISSUE DATE]], "YYYY"))</f>
        <v>2024</v>
      </c>
    </row>
    <row r="914" spans="1:12" s="29" customFormat="1" ht="23.95" customHeight="1" x14ac:dyDescent="0.3">
      <c r="A914" s="31"/>
      <c r="B914" s="24">
        <v>901</v>
      </c>
      <c r="C914" s="24" t="s">
        <v>996</v>
      </c>
      <c r="D914" s="24" t="s">
        <v>32</v>
      </c>
      <c r="E914" s="24" t="s">
        <v>9</v>
      </c>
      <c r="F914" s="24">
        <v>17936</v>
      </c>
      <c r="G914" s="25">
        <v>44840</v>
      </c>
      <c r="H914" s="25">
        <v>45571</v>
      </c>
      <c r="I914" s="24" t="s">
        <v>82</v>
      </c>
      <c r="J914" s="24" t="s">
        <v>33</v>
      </c>
      <c r="K914" s="24" t="str">
        <f>IF(certifications[[#This Row],[ISSUE DATE]]="", "", TEXT(certifications[[#This Row],[ISSUE DATE]], "MMM"))</f>
        <v>Oct</v>
      </c>
      <c r="L914" s="35" t="str">
        <f>IF(certifications[[#This Row],[ISSUE DATE]]="", "", TEXT(certifications[[#This Row],[ISSUE DATE]], "YYYY"))</f>
        <v>2022</v>
      </c>
    </row>
    <row r="915" spans="1:12" s="29" customFormat="1" ht="23.95" customHeight="1" x14ac:dyDescent="0.3">
      <c r="A915" s="31"/>
      <c r="B915" s="24">
        <v>902</v>
      </c>
      <c r="C915" s="24" t="s">
        <v>997</v>
      </c>
      <c r="D915" s="24" t="s">
        <v>40</v>
      </c>
      <c r="E915" s="24" t="s">
        <v>9</v>
      </c>
      <c r="F915" s="24">
        <v>15344</v>
      </c>
      <c r="G915" s="25">
        <v>44041</v>
      </c>
      <c r="H915" s="25">
        <v>46232</v>
      </c>
      <c r="I915" s="24" t="s">
        <v>10</v>
      </c>
      <c r="J915" s="24" t="s">
        <v>25</v>
      </c>
      <c r="K915" s="24" t="str">
        <f>IF(certifications[[#This Row],[ISSUE DATE]]="", "", TEXT(certifications[[#This Row],[ISSUE DATE]], "MMM"))</f>
        <v>Jul</v>
      </c>
      <c r="L915" s="35" t="str">
        <f>IF(certifications[[#This Row],[ISSUE DATE]]="", "", TEXT(certifications[[#This Row],[ISSUE DATE]], "YYYY"))</f>
        <v>2020</v>
      </c>
    </row>
    <row r="916" spans="1:12" s="29" customFormat="1" ht="23.95" customHeight="1" x14ac:dyDescent="0.3">
      <c r="A916" s="31"/>
      <c r="B916" s="24">
        <v>903</v>
      </c>
      <c r="C916" s="24" t="s">
        <v>998</v>
      </c>
      <c r="D916" s="24" t="s">
        <v>32</v>
      </c>
      <c r="E916" s="24" t="s">
        <v>9</v>
      </c>
      <c r="F916" s="24">
        <v>8966</v>
      </c>
      <c r="G916" s="25">
        <v>41849</v>
      </c>
      <c r="H916" s="25">
        <v>45502</v>
      </c>
      <c r="I916" s="24" t="s">
        <v>82</v>
      </c>
      <c r="J916" s="24" t="s">
        <v>33</v>
      </c>
      <c r="K916" s="24" t="str">
        <f>IF(certifications[[#This Row],[ISSUE DATE]]="", "", TEXT(certifications[[#This Row],[ISSUE DATE]], "MMM"))</f>
        <v>Jul</v>
      </c>
      <c r="L916" s="35" t="str">
        <f>IF(certifications[[#This Row],[ISSUE DATE]]="", "", TEXT(certifications[[#This Row],[ISSUE DATE]], "YYYY"))</f>
        <v>2014</v>
      </c>
    </row>
    <row r="917" spans="1:12" s="29" customFormat="1" ht="23.95" customHeight="1" x14ac:dyDescent="0.3">
      <c r="A917" s="31"/>
      <c r="B917" s="24">
        <v>904</v>
      </c>
      <c r="C917" s="24" t="s">
        <v>999</v>
      </c>
      <c r="D917" s="24" t="s">
        <v>32</v>
      </c>
      <c r="E917" s="24" t="s">
        <v>9</v>
      </c>
      <c r="F917" s="24">
        <v>14650</v>
      </c>
      <c r="G917" s="25">
        <v>43714</v>
      </c>
      <c r="H917" s="25">
        <v>44445</v>
      </c>
      <c r="I917" s="24" t="s">
        <v>16</v>
      </c>
      <c r="J917" s="24" t="s">
        <v>33</v>
      </c>
      <c r="K917" s="24" t="str">
        <f>IF(certifications[[#This Row],[ISSUE DATE]]="", "", TEXT(certifications[[#This Row],[ISSUE DATE]], "MMM"))</f>
        <v>Sep</v>
      </c>
      <c r="L917" s="35" t="str">
        <f>IF(certifications[[#This Row],[ISSUE DATE]]="", "", TEXT(certifications[[#This Row],[ISSUE DATE]], "YYYY"))</f>
        <v>2019</v>
      </c>
    </row>
    <row r="918" spans="1:12" s="29" customFormat="1" ht="23.95" customHeight="1" x14ac:dyDescent="0.3">
      <c r="A918" s="31"/>
      <c r="B918" s="24">
        <v>905</v>
      </c>
      <c r="C918" s="24" t="s">
        <v>1000</v>
      </c>
      <c r="D918" s="24" t="s">
        <v>48</v>
      </c>
      <c r="E918" s="24" t="s">
        <v>9</v>
      </c>
      <c r="F918" s="24">
        <v>9538</v>
      </c>
      <c r="G918" s="25">
        <v>42440</v>
      </c>
      <c r="H918" s="25">
        <v>46092</v>
      </c>
      <c r="I918" s="24" t="s">
        <v>10</v>
      </c>
      <c r="J918" s="24" t="s">
        <v>38</v>
      </c>
      <c r="K918" s="24" t="str">
        <f>IF(certifications[[#This Row],[ISSUE DATE]]="", "", TEXT(certifications[[#This Row],[ISSUE DATE]], "MMM"))</f>
        <v>Mar</v>
      </c>
      <c r="L918" s="35" t="str">
        <f>IF(certifications[[#This Row],[ISSUE DATE]]="", "", TEXT(certifications[[#This Row],[ISSUE DATE]], "YYYY"))</f>
        <v>2016</v>
      </c>
    </row>
    <row r="919" spans="1:12" s="29" customFormat="1" ht="23.95" customHeight="1" x14ac:dyDescent="0.3">
      <c r="A919" s="31"/>
      <c r="B919" s="24">
        <v>906</v>
      </c>
      <c r="C919" s="24" t="s">
        <v>1001</v>
      </c>
      <c r="D919" s="24" t="s">
        <v>32</v>
      </c>
      <c r="E919" s="24" t="s">
        <v>9</v>
      </c>
      <c r="F919" s="24">
        <v>13113</v>
      </c>
      <c r="G919" s="25">
        <v>44545</v>
      </c>
      <c r="H919" s="25">
        <v>46479</v>
      </c>
      <c r="I919" s="24" t="s">
        <v>10</v>
      </c>
      <c r="J919" s="24" t="s">
        <v>33</v>
      </c>
      <c r="K919" s="24" t="str">
        <f>IF(certifications[[#This Row],[ISSUE DATE]]="", "", TEXT(certifications[[#This Row],[ISSUE DATE]], "MMM"))</f>
        <v>Dec</v>
      </c>
      <c r="L919" s="35" t="str">
        <f>IF(certifications[[#This Row],[ISSUE DATE]]="", "", TEXT(certifications[[#This Row],[ISSUE DATE]], "YYYY"))</f>
        <v>2021</v>
      </c>
    </row>
    <row r="920" spans="1:12" s="29" customFormat="1" ht="23.95" customHeight="1" x14ac:dyDescent="0.3">
      <c r="A920" s="31"/>
      <c r="B920" s="24">
        <v>907</v>
      </c>
      <c r="C920" s="3" t="s">
        <v>1001</v>
      </c>
      <c r="D920" s="3" t="s">
        <v>32</v>
      </c>
      <c r="E920" s="3" t="s">
        <v>27</v>
      </c>
      <c r="F920" s="3">
        <v>13113</v>
      </c>
      <c r="G920" s="4">
        <v>45541</v>
      </c>
      <c r="H920" s="4">
        <v>46271</v>
      </c>
      <c r="I920" s="3" t="s">
        <v>10</v>
      </c>
      <c r="J920" s="3" t="s">
        <v>33</v>
      </c>
      <c r="K920" s="3" t="str">
        <f>IF(certifications[[#This Row],[ISSUE DATE]]="", "", TEXT(certifications[[#This Row],[ISSUE DATE]], "MMM"))</f>
        <v>Sep</v>
      </c>
      <c r="L920" s="36" t="str">
        <f>IF(certifications[[#This Row],[ISSUE DATE]]="", "", TEXT(certifications[[#This Row],[ISSUE DATE]], "YYYY"))</f>
        <v>2024</v>
      </c>
    </row>
    <row r="921" spans="1:12" s="29" customFormat="1" ht="23.95" customHeight="1" x14ac:dyDescent="0.3">
      <c r="A921" s="31"/>
      <c r="B921" s="24">
        <v>908</v>
      </c>
      <c r="C921" s="24" t="s">
        <v>1002</v>
      </c>
      <c r="D921" s="24" t="s">
        <v>88</v>
      </c>
      <c r="E921" s="24" t="s">
        <v>9</v>
      </c>
      <c r="F921" s="24">
        <v>10800</v>
      </c>
      <c r="G921" s="25">
        <v>43224</v>
      </c>
      <c r="H921" s="25">
        <v>43955</v>
      </c>
      <c r="I921" s="24" t="s">
        <v>16</v>
      </c>
      <c r="J921" s="24" t="s">
        <v>19</v>
      </c>
      <c r="K921" s="24" t="str">
        <f>IF(certifications[[#This Row],[ISSUE DATE]]="", "", TEXT(certifications[[#This Row],[ISSUE DATE]], "MMM"))</f>
        <v>May</v>
      </c>
      <c r="L921" s="35" t="str">
        <f>IF(certifications[[#This Row],[ISSUE DATE]]="", "", TEXT(certifications[[#This Row],[ISSUE DATE]], "YYYY"))</f>
        <v>2018</v>
      </c>
    </row>
    <row r="922" spans="1:12" s="29" customFormat="1" ht="23.95" customHeight="1" x14ac:dyDescent="0.3">
      <c r="A922" s="31"/>
      <c r="B922" s="24">
        <v>909</v>
      </c>
      <c r="C922" s="24" t="s">
        <v>1003</v>
      </c>
      <c r="D922" s="24" t="s">
        <v>264</v>
      </c>
      <c r="E922" s="24" t="s">
        <v>9</v>
      </c>
      <c r="F922" s="24">
        <v>9022</v>
      </c>
      <c r="G922" s="25">
        <v>41905</v>
      </c>
      <c r="H922" s="25">
        <v>44097</v>
      </c>
      <c r="I922" s="24" t="s">
        <v>16</v>
      </c>
      <c r="J922" s="24" t="s">
        <v>22</v>
      </c>
      <c r="K922" s="24" t="str">
        <f>IF(certifications[[#This Row],[ISSUE DATE]]="", "", TEXT(certifications[[#This Row],[ISSUE DATE]], "MMM"))</f>
        <v>Sep</v>
      </c>
      <c r="L922" s="35" t="str">
        <f>IF(certifications[[#This Row],[ISSUE DATE]]="", "", TEXT(certifications[[#This Row],[ISSUE DATE]], "YYYY"))</f>
        <v>2014</v>
      </c>
    </row>
    <row r="923" spans="1:12" s="29" customFormat="1" ht="23.95" customHeight="1" x14ac:dyDescent="0.3">
      <c r="A923" s="31"/>
      <c r="B923" s="24">
        <v>910</v>
      </c>
      <c r="C923" s="24" t="s">
        <v>1004</v>
      </c>
      <c r="D923" s="24" t="s">
        <v>884</v>
      </c>
      <c r="E923" s="24" t="s">
        <v>26</v>
      </c>
      <c r="F923" s="24">
        <v>21320</v>
      </c>
      <c r="G923" s="25">
        <v>45702</v>
      </c>
      <c r="H923" s="25">
        <v>46432</v>
      </c>
      <c r="I923" s="24" t="s">
        <v>10</v>
      </c>
      <c r="J923" s="24" t="s">
        <v>22</v>
      </c>
      <c r="K923" s="24" t="str">
        <f>IF(certifications[[#This Row],[ISSUE DATE]]="", "", TEXT(certifications[[#This Row],[ISSUE DATE]], "MMM"))</f>
        <v>Feb</v>
      </c>
      <c r="L923" s="35" t="str">
        <f>IF(certifications[[#This Row],[ISSUE DATE]]="", "", TEXT(certifications[[#This Row],[ISSUE DATE]], "YYYY"))</f>
        <v>2025</v>
      </c>
    </row>
    <row r="924" spans="1:12" s="29" customFormat="1" ht="23.95" customHeight="1" x14ac:dyDescent="0.3">
      <c r="A924" s="31"/>
      <c r="B924" s="24">
        <v>911</v>
      </c>
      <c r="C924" s="24" t="s">
        <v>1005</v>
      </c>
      <c r="D924" s="24" t="s">
        <v>164</v>
      </c>
      <c r="E924" s="24" t="s">
        <v>9</v>
      </c>
      <c r="F924" s="24">
        <v>20850</v>
      </c>
      <c r="G924" s="25">
        <v>45553</v>
      </c>
      <c r="H924" s="25">
        <v>46283</v>
      </c>
      <c r="I924" s="24" t="s">
        <v>10</v>
      </c>
      <c r="J924" s="24" t="s">
        <v>22</v>
      </c>
      <c r="K924" s="24" t="str">
        <f>IF(certifications[[#This Row],[ISSUE DATE]]="", "", TEXT(certifications[[#This Row],[ISSUE DATE]], "MMM"))</f>
        <v>Sep</v>
      </c>
      <c r="L924" s="35" t="str">
        <f>IF(certifications[[#This Row],[ISSUE DATE]]="", "", TEXT(certifications[[#This Row],[ISSUE DATE]], "YYYY"))</f>
        <v>2024</v>
      </c>
    </row>
    <row r="925" spans="1:12" s="29" customFormat="1" ht="23.95" customHeight="1" x14ac:dyDescent="0.3">
      <c r="A925" s="31"/>
      <c r="B925" s="24">
        <v>912</v>
      </c>
      <c r="C925" s="24" t="s">
        <v>1006</v>
      </c>
      <c r="D925" s="24" t="s">
        <v>133</v>
      </c>
      <c r="E925" s="24" t="s">
        <v>9</v>
      </c>
      <c r="F925" s="24">
        <v>13572</v>
      </c>
      <c r="G925" s="25">
        <v>43630</v>
      </c>
      <c r="H925" s="25">
        <v>44361</v>
      </c>
      <c r="I925" s="24" t="s">
        <v>16</v>
      </c>
      <c r="J925" s="24" t="s">
        <v>14</v>
      </c>
      <c r="K925" s="24" t="str">
        <f>IF(certifications[[#This Row],[ISSUE DATE]]="", "", TEXT(certifications[[#This Row],[ISSUE DATE]], "MMM"))</f>
        <v>Jun</v>
      </c>
      <c r="L925" s="35" t="str">
        <f>IF(certifications[[#This Row],[ISSUE DATE]]="", "", TEXT(certifications[[#This Row],[ISSUE DATE]], "YYYY"))</f>
        <v>2019</v>
      </c>
    </row>
    <row r="926" spans="1:12" s="29" customFormat="1" ht="23.95" customHeight="1" x14ac:dyDescent="0.3">
      <c r="A926" s="31"/>
      <c r="B926" s="24">
        <v>913</v>
      </c>
      <c r="C926" s="24" t="s">
        <v>1007</v>
      </c>
      <c r="D926" s="24" t="s">
        <v>84</v>
      </c>
      <c r="E926" s="24" t="s">
        <v>9</v>
      </c>
      <c r="F926" s="24">
        <v>8869</v>
      </c>
      <c r="G926" s="25">
        <v>41774</v>
      </c>
      <c r="H926" s="25">
        <v>46157</v>
      </c>
      <c r="I926" s="24" t="s">
        <v>10</v>
      </c>
      <c r="J926" s="24" t="s">
        <v>14</v>
      </c>
      <c r="K926" s="24" t="str">
        <f>IF(certifications[[#This Row],[ISSUE DATE]]="", "", TEXT(certifications[[#This Row],[ISSUE DATE]], "MMM"))</f>
        <v>May</v>
      </c>
      <c r="L926" s="35" t="str">
        <f>IF(certifications[[#This Row],[ISSUE DATE]]="", "", TEXT(certifications[[#This Row],[ISSUE DATE]], "YYYY"))</f>
        <v>2014</v>
      </c>
    </row>
    <row r="927" spans="1:12" s="29" customFormat="1" ht="23.95" customHeight="1" x14ac:dyDescent="0.3">
      <c r="A927" s="31"/>
      <c r="B927" s="24">
        <v>914</v>
      </c>
      <c r="C927" s="24" t="s">
        <v>1008</v>
      </c>
      <c r="D927" s="24" t="s">
        <v>32</v>
      </c>
      <c r="E927" s="24" t="s">
        <v>9</v>
      </c>
      <c r="F927" s="24">
        <v>14756</v>
      </c>
      <c r="G927" s="25">
        <v>43770</v>
      </c>
      <c r="H927" s="25">
        <v>45962</v>
      </c>
      <c r="I927" s="24" t="s">
        <v>10</v>
      </c>
      <c r="J927" s="24" t="s">
        <v>33</v>
      </c>
      <c r="K927" s="24" t="str">
        <f>IF(certifications[[#This Row],[ISSUE DATE]]="", "", TEXT(certifications[[#This Row],[ISSUE DATE]], "MMM"))</f>
        <v>Nov</v>
      </c>
      <c r="L927" s="35" t="str">
        <f>IF(certifications[[#This Row],[ISSUE DATE]]="", "", TEXT(certifications[[#This Row],[ISSUE DATE]], "YYYY"))</f>
        <v>2019</v>
      </c>
    </row>
    <row r="928" spans="1:12" s="29" customFormat="1" ht="23.95" customHeight="1" x14ac:dyDescent="0.3">
      <c r="A928" s="31"/>
      <c r="B928" s="24">
        <v>915</v>
      </c>
      <c r="C928" s="24" t="s">
        <v>1008</v>
      </c>
      <c r="D928" s="24" t="s">
        <v>32</v>
      </c>
      <c r="E928" s="24" t="s">
        <v>26</v>
      </c>
      <c r="F928" s="24">
        <v>14756</v>
      </c>
      <c r="G928" s="25">
        <v>44041</v>
      </c>
      <c r="H928" s="25">
        <v>45962</v>
      </c>
      <c r="I928" s="24" t="s">
        <v>10</v>
      </c>
      <c r="J928" s="24" t="s">
        <v>33</v>
      </c>
      <c r="K928" s="24" t="str">
        <f>IF(certifications[[#This Row],[ISSUE DATE]]="", "", TEXT(certifications[[#This Row],[ISSUE DATE]], "MMM"))</f>
        <v>Jul</v>
      </c>
      <c r="L928" s="35" t="str">
        <f>IF(certifications[[#This Row],[ISSUE DATE]]="", "", TEXT(certifications[[#This Row],[ISSUE DATE]], "YYYY"))</f>
        <v>2020</v>
      </c>
    </row>
    <row r="929" spans="1:12" s="29" customFormat="1" ht="23.95" customHeight="1" x14ac:dyDescent="0.3">
      <c r="A929" s="31"/>
      <c r="B929" s="24">
        <v>916</v>
      </c>
      <c r="C929" s="24" t="s">
        <v>1009</v>
      </c>
      <c r="D929" s="24" t="s">
        <v>342</v>
      </c>
      <c r="E929" s="24" t="s">
        <v>9</v>
      </c>
      <c r="F929" s="24">
        <v>9723</v>
      </c>
      <c r="G929" s="25">
        <v>42571</v>
      </c>
      <c r="H929" s="25">
        <v>43301</v>
      </c>
      <c r="I929" s="24" t="s">
        <v>16</v>
      </c>
      <c r="J929" s="24" t="s">
        <v>30</v>
      </c>
      <c r="K929" s="24" t="str">
        <f>IF(certifications[[#This Row],[ISSUE DATE]]="", "", TEXT(certifications[[#This Row],[ISSUE DATE]], "MMM"))</f>
        <v>Jul</v>
      </c>
      <c r="L929" s="35" t="str">
        <f>IF(certifications[[#This Row],[ISSUE DATE]]="", "", TEXT(certifications[[#This Row],[ISSUE DATE]], "YYYY"))</f>
        <v>2016</v>
      </c>
    </row>
    <row r="930" spans="1:12" s="29" customFormat="1" ht="23.95" customHeight="1" x14ac:dyDescent="0.3">
      <c r="A930" s="31"/>
      <c r="B930" s="24">
        <v>917</v>
      </c>
      <c r="C930" s="24" t="s">
        <v>1010</v>
      </c>
      <c r="D930" s="24" t="s">
        <v>32</v>
      </c>
      <c r="E930" s="24" t="s">
        <v>26</v>
      </c>
      <c r="F930" s="24">
        <v>20957</v>
      </c>
      <c r="G930" s="25">
        <v>45578</v>
      </c>
      <c r="H930" s="25">
        <v>46308</v>
      </c>
      <c r="I930" s="24" t="s">
        <v>10</v>
      </c>
      <c r="J930" s="24" t="s">
        <v>33</v>
      </c>
      <c r="K930" s="24" t="str">
        <f>IF(certifications[[#This Row],[ISSUE DATE]]="", "", TEXT(certifications[[#This Row],[ISSUE DATE]], "MMM"))</f>
        <v>Oct</v>
      </c>
      <c r="L930" s="35" t="str">
        <f>IF(certifications[[#This Row],[ISSUE DATE]]="", "", TEXT(certifications[[#This Row],[ISSUE DATE]], "YYYY"))</f>
        <v>2024</v>
      </c>
    </row>
    <row r="931" spans="1:12" s="29" customFormat="1" ht="23.95" customHeight="1" x14ac:dyDescent="0.3">
      <c r="A931" s="31"/>
      <c r="B931" s="24">
        <v>918</v>
      </c>
      <c r="C931" s="24" t="s">
        <v>1011</v>
      </c>
      <c r="D931" s="24" t="s">
        <v>32</v>
      </c>
      <c r="E931" s="24" t="s">
        <v>9</v>
      </c>
      <c r="F931" s="24">
        <v>10006</v>
      </c>
      <c r="G931" s="25">
        <v>42753</v>
      </c>
      <c r="H931" s="25">
        <v>43483</v>
      </c>
      <c r="I931" s="24" t="s">
        <v>16</v>
      </c>
      <c r="J931" s="24" t="s">
        <v>33</v>
      </c>
      <c r="K931" s="24" t="str">
        <f>IF(certifications[[#This Row],[ISSUE DATE]]="", "", TEXT(certifications[[#This Row],[ISSUE DATE]], "MMM"))</f>
        <v>Jan</v>
      </c>
      <c r="L931" s="35" t="str">
        <f>IF(certifications[[#This Row],[ISSUE DATE]]="", "", TEXT(certifications[[#This Row],[ISSUE DATE]], "YYYY"))</f>
        <v>2017</v>
      </c>
    </row>
    <row r="932" spans="1:12" s="29" customFormat="1" ht="23.95" customHeight="1" x14ac:dyDescent="0.3">
      <c r="A932" s="31"/>
      <c r="B932" s="24">
        <v>919</v>
      </c>
      <c r="C932" s="24" t="s">
        <v>1012</v>
      </c>
      <c r="D932" s="24" t="s">
        <v>708</v>
      </c>
      <c r="E932" s="24" t="s">
        <v>9</v>
      </c>
      <c r="F932" s="24">
        <v>15710</v>
      </c>
      <c r="G932" s="25">
        <v>44172</v>
      </c>
      <c r="H932" s="25">
        <v>46363</v>
      </c>
      <c r="I932" s="24" t="s">
        <v>10</v>
      </c>
      <c r="J932" s="24" t="s">
        <v>38</v>
      </c>
      <c r="K932" s="24" t="str">
        <f>IF(certifications[[#This Row],[ISSUE DATE]]="", "", TEXT(certifications[[#This Row],[ISSUE DATE]], "MMM"))</f>
        <v>Dec</v>
      </c>
      <c r="L932" s="35" t="str">
        <f>IF(certifications[[#This Row],[ISSUE DATE]]="", "", TEXT(certifications[[#This Row],[ISSUE DATE]], "YYYY"))</f>
        <v>2020</v>
      </c>
    </row>
    <row r="933" spans="1:12" s="29" customFormat="1" ht="23.95" customHeight="1" x14ac:dyDescent="0.3">
      <c r="A933" s="31"/>
      <c r="B933" s="24">
        <v>920</v>
      </c>
      <c r="C933" s="24" t="s">
        <v>1013</v>
      </c>
      <c r="D933" s="24" t="s">
        <v>32</v>
      </c>
      <c r="E933" s="24" t="s">
        <v>9</v>
      </c>
      <c r="F933" s="24">
        <v>14652</v>
      </c>
      <c r="G933" s="25">
        <v>43714</v>
      </c>
      <c r="H933" s="25">
        <v>44445</v>
      </c>
      <c r="I933" s="24" t="s">
        <v>16</v>
      </c>
      <c r="J933" s="24" t="s">
        <v>33</v>
      </c>
      <c r="K933" s="24" t="str">
        <f>IF(certifications[[#This Row],[ISSUE DATE]]="", "", TEXT(certifications[[#This Row],[ISSUE DATE]], "MMM"))</f>
        <v>Sep</v>
      </c>
      <c r="L933" s="35" t="str">
        <f>IF(certifications[[#This Row],[ISSUE DATE]]="", "", TEXT(certifications[[#This Row],[ISSUE DATE]], "YYYY"))</f>
        <v>2019</v>
      </c>
    </row>
    <row r="934" spans="1:12" s="29" customFormat="1" ht="23.95" customHeight="1" x14ac:dyDescent="0.3">
      <c r="A934" s="31"/>
      <c r="B934" s="24">
        <v>921</v>
      </c>
      <c r="C934" s="24" t="s">
        <v>1014</v>
      </c>
      <c r="D934" s="24" t="s">
        <v>1015</v>
      </c>
      <c r="E934" s="24" t="s">
        <v>9</v>
      </c>
      <c r="F934" s="24">
        <v>3055</v>
      </c>
      <c r="G934" s="25">
        <v>41570</v>
      </c>
      <c r="H934" s="25">
        <v>43350</v>
      </c>
      <c r="I934" s="24" t="s">
        <v>321</v>
      </c>
      <c r="J934" s="24" t="s">
        <v>19</v>
      </c>
      <c r="K934" s="24" t="str">
        <f>IF(certifications[[#This Row],[ISSUE DATE]]="", "", TEXT(certifications[[#This Row],[ISSUE DATE]], "MMM"))</f>
        <v>Oct</v>
      </c>
      <c r="L934" s="35" t="str">
        <f>IF(certifications[[#This Row],[ISSUE DATE]]="", "", TEXT(certifications[[#This Row],[ISSUE DATE]], "YYYY"))</f>
        <v>2013</v>
      </c>
    </row>
    <row r="935" spans="1:12" s="29" customFormat="1" ht="23.95" customHeight="1" x14ac:dyDescent="0.3">
      <c r="A935" s="31"/>
      <c r="B935" s="24">
        <v>922</v>
      </c>
      <c r="C935" s="24" t="s">
        <v>1016</v>
      </c>
      <c r="D935" s="24" t="s">
        <v>133</v>
      </c>
      <c r="E935" s="24" t="s">
        <v>9</v>
      </c>
      <c r="F935" s="24">
        <v>8110</v>
      </c>
      <c r="G935" s="25">
        <v>41501</v>
      </c>
      <c r="H935" s="25">
        <v>44423</v>
      </c>
      <c r="I935" s="24" t="s">
        <v>16</v>
      </c>
      <c r="J935" s="24" t="s">
        <v>14</v>
      </c>
      <c r="K935" s="24" t="str">
        <f>IF(certifications[[#This Row],[ISSUE DATE]]="", "", TEXT(certifications[[#This Row],[ISSUE DATE]], "MMM"))</f>
        <v>Aug</v>
      </c>
      <c r="L935" s="35" t="str">
        <f>IF(certifications[[#This Row],[ISSUE DATE]]="", "", TEXT(certifications[[#This Row],[ISSUE DATE]], "YYYY"))</f>
        <v>2013</v>
      </c>
    </row>
    <row r="936" spans="1:12" s="29" customFormat="1" ht="23.95" customHeight="1" x14ac:dyDescent="0.3">
      <c r="A936" s="31"/>
      <c r="B936" s="24">
        <v>923</v>
      </c>
      <c r="C936" s="24" t="s">
        <v>1017</v>
      </c>
      <c r="D936" s="24" t="s">
        <v>13</v>
      </c>
      <c r="E936" s="24" t="s">
        <v>9</v>
      </c>
      <c r="F936" s="24">
        <v>9385</v>
      </c>
      <c r="G936" s="25">
        <v>42285</v>
      </c>
      <c r="H936" s="25">
        <v>44477</v>
      </c>
      <c r="I936" s="24" t="s">
        <v>16</v>
      </c>
      <c r="J936" s="24" t="s">
        <v>14</v>
      </c>
      <c r="K936" s="24" t="str">
        <f>IF(certifications[[#This Row],[ISSUE DATE]]="", "", TEXT(certifications[[#This Row],[ISSUE DATE]], "MMM"))</f>
        <v>Oct</v>
      </c>
      <c r="L936" s="35" t="str">
        <f>IF(certifications[[#This Row],[ISSUE DATE]]="", "", TEXT(certifications[[#This Row],[ISSUE DATE]], "YYYY"))</f>
        <v>2015</v>
      </c>
    </row>
    <row r="937" spans="1:12" s="29" customFormat="1" ht="23.95" customHeight="1" x14ac:dyDescent="0.3">
      <c r="A937" s="31"/>
      <c r="B937" s="24">
        <v>924</v>
      </c>
      <c r="C937" s="24" t="s">
        <v>1018</v>
      </c>
      <c r="D937" s="24" t="s">
        <v>55</v>
      </c>
      <c r="E937" s="24" t="s">
        <v>9</v>
      </c>
      <c r="F937" s="24">
        <v>10157</v>
      </c>
      <c r="G937" s="25">
        <v>42896</v>
      </c>
      <c r="H937" s="25">
        <v>44357</v>
      </c>
      <c r="I937" s="24" t="s">
        <v>16</v>
      </c>
      <c r="J937" s="24" t="s">
        <v>11</v>
      </c>
      <c r="K937" s="24" t="str">
        <f>IF(certifications[[#This Row],[ISSUE DATE]]="", "", TEXT(certifications[[#This Row],[ISSUE DATE]], "MMM"))</f>
        <v>Jun</v>
      </c>
      <c r="L937" s="35" t="str">
        <f>IF(certifications[[#This Row],[ISSUE DATE]]="", "", TEXT(certifications[[#This Row],[ISSUE DATE]], "YYYY"))</f>
        <v>2017</v>
      </c>
    </row>
    <row r="938" spans="1:12" s="29" customFormat="1" ht="23.95" customHeight="1" x14ac:dyDescent="0.3">
      <c r="A938" s="31"/>
      <c r="B938" s="24">
        <v>925</v>
      </c>
      <c r="C938" s="24" t="s">
        <v>1019</v>
      </c>
      <c r="D938" s="24" t="s">
        <v>32</v>
      </c>
      <c r="E938" s="24" t="s">
        <v>9</v>
      </c>
      <c r="F938" s="24">
        <v>10014</v>
      </c>
      <c r="G938" s="25">
        <v>42753</v>
      </c>
      <c r="H938" s="25">
        <v>43483</v>
      </c>
      <c r="I938" s="24" t="s">
        <v>16</v>
      </c>
      <c r="J938" s="24" t="s">
        <v>33</v>
      </c>
      <c r="K938" s="24" t="str">
        <f>IF(certifications[[#This Row],[ISSUE DATE]]="", "", TEXT(certifications[[#This Row],[ISSUE DATE]], "MMM"))</f>
        <v>Jan</v>
      </c>
      <c r="L938" s="35" t="str">
        <f>IF(certifications[[#This Row],[ISSUE DATE]]="", "", TEXT(certifications[[#This Row],[ISSUE DATE]], "YYYY"))</f>
        <v>2017</v>
      </c>
    </row>
    <row r="939" spans="1:12" s="29" customFormat="1" ht="23.95" customHeight="1" x14ac:dyDescent="0.3">
      <c r="A939" s="31"/>
      <c r="B939" s="24">
        <v>926</v>
      </c>
      <c r="C939" s="24" t="s">
        <v>1020</v>
      </c>
      <c r="D939" s="24" t="s">
        <v>55</v>
      </c>
      <c r="E939" s="24" t="s">
        <v>9</v>
      </c>
      <c r="F939" s="24">
        <v>15714</v>
      </c>
      <c r="G939" s="25">
        <v>44172</v>
      </c>
      <c r="H939" s="25">
        <v>45633</v>
      </c>
      <c r="I939" s="24" t="s">
        <v>82</v>
      </c>
      <c r="J939" s="24" t="s">
        <v>11</v>
      </c>
      <c r="K939" s="24" t="str">
        <f>IF(certifications[[#This Row],[ISSUE DATE]]="", "", TEXT(certifications[[#This Row],[ISSUE DATE]], "MMM"))</f>
        <v>Dec</v>
      </c>
      <c r="L939" s="35" t="str">
        <f>IF(certifications[[#This Row],[ISSUE DATE]]="", "", TEXT(certifications[[#This Row],[ISSUE DATE]], "YYYY"))</f>
        <v>2020</v>
      </c>
    </row>
    <row r="940" spans="1:12" s="29" customFormat="1" ht="23.95" customHeight="1" x14ac:dyDescent="0.3">
      <c r="A940" s="31"/>
      <c r="B940" s="24">
        <v>927</v>
      </c>
      <c r="C940" s="24" t="s">
        <v>1021</v>
      </c>
      <c r="D940" s="24" t="s">
        <v>1022</v>
      </c>
      <c r="E940" s="24" t="s">
        <v>9</v>
      </c>
      <c r="F940" s="24">
        <v>11998</v>
      </c>
      <c r="G940" s="25">
        <v>43313</v>
      </c>
      <c r="H940" s="25">
        <v>44044</v>
      </c>
      <c r="I940" s="24" t="s">
        <v>16</v>
      </c>
      <c r="J940" s="24" t="s">
        <v>19</v>
      </c>
      <c r="K940" s="24" t="str">
        <f>IF(certifications[[#This Row],[ISSUE DATE]]="", "", TEXT(certifications[[#This Row],[ISSUE DATE]], "MMM"))</f>
        <v>Aug</v>
      </c>
      <c r="L940" s="35" t="str">
        <f>IF(certifications[[#This Row],[ISSUE DATE]]="", "", TEXT(certifications[[#This Row],[ISSUE DATE]], "YYYY"))</f>
        <v>2018</v>
      </c>
    </row>
    <row r="941" spans="1:12" s="29" customFormat="1" ht="23.95" customHeight="1" x14ac:dyDescent="0.3">
      <c r="A941" s="31"/>
      <c r="B941" s="24">
        <v>928</v>
      </c>
      <c r="C941" s="24" t="s">
        <v>1023</v>
      </c>
      <c r="D941" s="24" t="s">
        <v>256</v>
      </c>
      <c r="E941" s="24" t="s">
        <v>9</v>
      </c>
      <c r="F941" s="24">
        <v>20267</v>
      </c>
      <c r="G941" s="25">
        <v>45426</v>
      </c>
      <c r="H941" s="25">
        <v>46156</v>
      </c>
      <c r="I941" s="24" t="s">
        <v>10</v>
      </c>
      <c r="J941" s="24" t="s">
        <v>14</v>
      </c>
      <c r="K941" s="24" t="str">
        <f>IF(certifications[[#This Row],[ISSUE DATE]]="", "", TEXT(certifications[[#This Row],[ISSUE DATE]], "MMM"))</f>
        <v>May</v>
      </c>
      <c r="L941" s="35" t="str">
        <f>IF(certifications[[#This Row],[ISSUE DATE]]="", "", TEXT(certifications[[#This Row],[ISSUE DATE]], "YYYY"))</f>
        <v>2024</v>
      </c>
    </row>
    <row r="942" spans="1:12" s="29" customFormat="1" ht="23.95" customHeight="1" x14ac:dyDescent="0.3">
      <c r="A942" s="31"/>
      <c r="B942" s="24">
        <v>929</v>
      </c>
      <c r="C942" s="24" t="s">
        <v>1024</v>
      </c>
      <c r="D942" s="24" t="s">
        <v>877</v>
      </c>
      <c r="E942" s="24" t="s">
        <v>9</v>
      </c>
      <c r="F942" s="24">
        <v>18306</v>
      </c>
      <c r="G942" s="25">
        <v>44971</v>
      </c>
      <c r="H942" s="25">
        <v>45702</v>
      </c>
      <c r="I942" s="24" t="s">
        <v>82</v>
      </c>
      <c r="J942" s="24" t="s">
        <v>30</v>
      </c>
      <c r="K942" s="24" t="str">
        <f>IF(certifications[[#This Row],[ISSUE DATE]]="", "", TEXT(certifications[[#This Row],[ISSUE DATE]], "MMM"))</f>
        <v>Feb</v>
      </c>
      <c r="L942" s="35" t="str">
        <f>IF(certifications[[#This Row],[ISSUE DATE]]="", "", TEXT(certifications[[#This Row],[ISSUE DATE]], "YYYY"))</f>
        <v>2023</v>
      </c>
    </row>
    <row r="943" spans="1:12" s="29" customFormat="1" ht="23.95" customHeight="1" x14ac:dyDescent="0.3">
      <c r="A943" s="31"/>
      <c r="B943" s="24">
        <v>930</v>
      </c>
      <c r="C943" s="24" t="s">
        <v>1025</v>
      </c>
      <c r="D943" s="24" t="s">
        <v>982</v>
      </c>
      <c r="E943" s="24" t="s">
        <v>9</v>
      </c>
      <c r="F943" s="24">
        <v>12689</v>
      </c>
      <c r="G943" s="25">
        <v>43474</v>
      </c>
      <c r="H943" s="25">
        <v>44205</v>
      </c>
      <c r="I943" s="24" t="s">
        <v>16</v>
      </c>
      <c r="J943" s="24" t="s">
        <v>30</v>
      </c>
      <c r="K943" s="24" t="str">
        <f>IF(certifications[[#This Row],[ISSUE DATE]]="", "", TEXT(certifications[[#This Row],[ISSUE DATE]], "MMM"))</f>
        <v>Jan</v>
      </c>
      <c r="L943" s="35" t="str">
        <f>IF(certifications[[#This Row],[ISSUE DATE]]="", "", TEXT(certifications[[#This Row],[ISSUE DATE]], "YYYY"))</f>
        <v>2019</v>
      </c>
    </row>
    <row r="944" spans="1:12" s="29" customFormat="1" ht="23.95" customHeight="1" x14ac:dyDescent="0.3">
      <c r="A944" s="31"/>
      <c r="B944" s="24">
        <v>931</v>
      </c>
      <c r="C944" s="24" t="s">
        <v>1026</v>
      </c>
      <c r="D944" s="24" t="s">
        <v>32</v>
      </c>
      <c r="E944" s="24" t="s">
        <v>9</v>
      </c>
      <c r="F944" s="24">
        <v>13736</v>
      </c>
      <c r="G944" s="25">
        <v>43641</v>
      </c>
      <c r="H944" s="25">
        <v>45833</v>
      </c>
      <c r="I944" s="24" t="s">
        <v>10</v>
      </c>
      <c r="J944" s="24" t="s">
        <v>33</v>
      </c>
      <c r="K944" s="24" t="str">
        <f>IF(certifications[[#This Row],[ISSUE DATE]]="", "", TEXT(certifications[[#This Row],[ISSUE DATE]], "MMM"))</f>
        <v>Jun</v>
      </c>
      <c r="L944" s="35" t="str">
        <f>IF(certifications[[#This Row],[ISSUE DATE]]="", "", TEXT(certifications[[#This Row],[ISSUE DATE]], "YYYY"))</f>
        <v>2019</v>
      </c>
    </row>
    <row r="945" spans="1:12" s="29" customFormat="1" ht="23.95" customHeight="1" x14ac:dyDescent="0.3">
      <c r="A945" s="31"/>
      <c r="B945" s="24">
        <v>932</v>
      </c>
      <c r="C945" s="24" t="s">
        <v>1027</v>
      </c>
      <c r="D945" s="24" t="s">
        <v>18</v>
      </c>
      <c r="E945" s="24" t="s">
        <v>9</v>
      </c>
      <c r="F945" s="24">
        <v>9216</v>
      </c>
      <c r="G945" s="25">
        <v>42159</v>
      </c>
      <c r="H945" s="25">
        <v>42890</v>
      </c>
      <c r="I945" s="24" t="s">
        <v>16</v>
      </c>
      <c r="J945" s="24" t="s">
        <v>19</v>
      </c>
      <c r="K945" s="24" t="str">
        <f>IF(certifications[[#This Row],[ISSUE DATE]]="", "", TEXT(certifications[[#This Row],[ISSUE DATE]], "MMM"))</f>
        <v>Jun</v>
      </c>
      <c r="L945" s="35" t="str">
        <f>IF(certifications[[#This Row],[ISSUE DATE]]="", "", TEXT(certifications[[#This Row],[ISSUE DATE]], "YYYY"))</f>
        <v>2015</v>
      </c>
    </row>
    <row r="946" spans="1:12" s="29" customFormat="1" ht="23.95" customHeight="1" x14ac:dyDescent="0.3">
      <c r="A946" s="31"/>
      <c r="B946" s="24">
        <v>933</v>
      </c>
      <c r="C946" s="24" t="s">
        <v>1028</v>
      </c>
      <c r="D946" s="24" t="s">
        <v>32</v>
      </c>
      <c r="E946" s="24" t="s">
        <v>9</v>
      </c>
      <c r="F946" s="24">
        <v>9997</v>
      </c>
      <c r="G946" s="25">
        <v>42746</v>
      </c>
      <c r="H946" s="25">
        <v>43476</v>
      </c>
      <c r="I946" s="24" t="s">
        <v>16</v>
      </c>
      <c r="J946" s="24" t="s">
        <v>33</v>
      </c>
      <c r="K946" s="24" t="str">
        <f>IF(certifications[[#This Row],[ISSUE DATE]]="", "", TEXT(certifications[[#This Row],[ISSUE DATE]], "MMM"))</f>
        <v>Jan</v>
      </c>
      <c r="L946" s="35" t="str">
        <f>IF(certifications[[#This Row],[ISSUE DATE]]="", "", TEXT(certifications[[#This Row],[ISSUE DATE]], "YYYY"))</f>
        <v>2017</v>
      </c>
    </row>
    <row r="947" spans="1:12" s="29" customFormat="1" ht="23.95" customHeight="1" x14ac:dyDescent="0.3">
      <c r="A947" s="31"/>
      <c r="B947" s="24">
        <v>934</v>
      </c>
      <c r="C947" s="24" t="s">
        <v>1029</v>
      </c>
      <c r="D947" s="24" t="s">
        <v>13</v>
      </c>
      <c r="E947" s="24" t="s">
        <v>9</v>
      </c>
      <c r="F947" s="24">
        <v>11830</v>
      </c>
      <c r="G947" s="25">
        <v>43279</v>
      </c>
      <c r="H947" s="25">
        <v>44010</v>
      </c>
      <c r="I947" s="24" t="s">
        <v>16</v>
      </c>
      <c r="J947" s="24" t="s">
        <v>14</v>
      </c>
      <c r="K947" s="24" t="str">
        <f>IF(certifications[[#This Row],[ISSUE DATE]]="", "", TEXT(certifications[[#This Row],[ISSUE DATE]], "MMM"))</f>
        <v>Jun</v>
      </c>
      <c r="L947" s="35" t="str">
        <f>IF(certifications[[#This Row],[ISSUE DATE]]="", "", TEXT(certifications[[#This Row],[ISSUE DATE]], "YYYY"))</f>
        <v>2018</v>
      </c>
    </row>
    <row r="948" spans="1:12" s="29" customFormat="1" ht="23.95" customHeight="1" x14ac:dyDescent="0.3">
      <c r="A948" s="31"/>
      <c r="B948" s="24">
        <v>935</v>
      </c>
      <c r="C948" s="24" t="s">
        <v>1030</v>
      </c>
      <c r="D948" s="24" t="s">
        <v>67</v>
      </c>
      <c r="E948" s="24" t="s">
        <v>9</v>
      </c>
      <c r="F948" s="24">
        <v>14311</v>
      </c>
      <c r="G948" s="25">
        <v>43690</v>
      </c>
      <c r="H948" s="25">
        <v>44421</v>
      </c>
      <c r="I948" s="24" t="s">
        <v>16</v>
      </c>
      <c r="J948" s="24" t="s">
        <v>25</v>
      </c>
      <c r="K948" s="24" t="str">
        <f>IF(certifications[[#This Row],[ISSUE DATE]]="", "", TEXT(certifications[[#This Row],[ISSUE DATE]], "MMM"))</f>
        <v>Aug</v>
      </c>
      <c r="L948" s="35" t="str">
        <f>IF(certifications[[#This Row],[ISSUE DATE]]="", "", TEXT(certifications[[#This Row],[ISSUE DATE]], "YYYY"))</f>
        <v>2019</v>
      </c>
    </row>
    <row r="949" spans="1:12" s="29" customFormat="1" ht="23.95" customHeight="1" x14ac:dyDescent="0.3">
      <c r="A949" s="31"/>
      <c r="B949" s="24">
        <v>936</v>
      </c>
      <c r="C949" s="24" t="s">
        <v>1031</v>
      </c>
      <c r="D949" s="24" t="s">
        <v>32</v>
      </c>
      <c r="E949" s="24" t="s">
        <v>9</v>
      </c>
      <c r="F949" s="24">
        <v>15857</v>
      </c>
      <c r="G949" s="25">
        <v>44210</v>
      </c>
      <c r="H949" s="25">
        <v>46401</v>
      </c>
      <c r="I949" s="24" t="s">
        <v>10</v>
      </c>
      <c r="J949" s="24" t="s">
        <v>33</v>
      </c>
      <c r="K949" s="24" t="str">
        <f>IF(certifications[[#This Row],[ISSUE DATE]]="", "", TEXT(certifications[[#This Row],[ISSUE DATE]], "MMM"))</f>
        <v>Jan</v>
      </c>
      <c r="L949" s="35" t="str">
        <f>IF(certifications[[#This Row],[ISSUE DATE]]="", "", TEXT(certifications[[#This Row],[ISSUE DATE]], "YYYY"))</f>
        <v>2021</v>
      </c>
    </row>
    <row r="950" spans="1:12" s="29" customFormat="1" ht="23.95" customHeight="1" x14ac:dyDescent="0.3">
      <c r="A950" s="31"/>
      <c r="B950" s="24">
        <v>937</v>
      </c>
      <c r="C950" s="24" t="s">
        <v>1032</v>
      </c>
      <c r="D950" s="24" t="s">
        <v>884</v>
      </c>
      <c r="E950" s="24" t="s">
        <v>9</v>
      </c>
      <c r="F950" s="24">
        <v>17473</v>
      </c>
      <c r="G950" s="25">
        <v>44702</v>
      </c>
      <c r="H950" s="25">
        <v>46163</v>
      </c>
      <c r="I950" s="24" t="s">
        <v>10</v>
      </c>
      <c r="J950" s="24" t="s">
        <v>22</v>
      </c>
      <c r="K950" s="24" t="str">
        <f>IF(certifications[[#This Row],[ISSUE DATE]]="", "", TEXT(certifications[[#This Row],[ISSUE DATE]], "MMM"))</f>
        <v>May</v>
      </c>
      <c r="L950" s="35" t="str">
        <f>IF(certifications[[#This Row],[ISSUE DATE]]="", "", TEXT(certifications[[#This Row],[ISSUE DATE]], "YYYY"))</f>
        <v>2022</v>
      </c>
    </row>
    <row r="951" spans="1:12" s="29" customFormat="1" ht="23.95" customHeight="1" x14ac:dyDescent="0.3">
      <c r="A951" s="31"/>
      <c r="B951" s="24">
        <v>938</v>
      </c>
      <c r="C951" s="24" t="s">
        <v>1033</v>
      </c>
      <c r="D951" s="24" t="s">
        <v>13</v>
      </c>
      <c r="E951" s="24" t="s">
        <v>9</v>
      </c>
      <c r="F951" s="24">
        <v>8042</v>
      </c>
      <c r="G951" s="25">
        <v>42557</v>
      </c>
      <c r="H951" s="25">
        <v>45360</v>
      </c>
      <c r="I951" s="24" t="s">
        <v>16</v>
      </c>
      <c r="J951" s="24" t="s">
        <v>14</v>
      </c>
      <c r="K951" s="24" t="str">
        <f>IF(certifications[[#This Row],[ISSUE DATE]]="", "", TEXT(certifications[[#This Row],[ISSUE DATE]], "MMM"))</f>
        <v>Jul</v>
      </c>
      <c r="L951" s="35" t="str">
        <f>IF(certifications[[#This Row],[ISSUE DATE]]="", "", TEXT(certifications[[#This Row],[ISSUE DATE]], "YYYY"))</f>
        <v>2016</v>
      </c>
    </row>
    <row r="952" spans="1:12" s="29" customFormat="1" ht="23.95" customHeight="1" x14ac:dyDescent="0.3">
      <c r="A952" s="31"/>
      <c r="B952" s="24">
        <v>939</v>
      </c>
      <c r="C952" s="24" t="s">
        <v>1034</v>
      </c>
      <c r="D952" s="24" t="s">
        <v>29</v>
      </c>
      <c r="E952" s="24" t="s">
        <v>9</v>
      </c>
      <c r="F952" s="24">
        <v>17328</v>
      </c>
      <c r="G952" s="25">
        <v>44659</v>
      </c>
      <c r="H952" s="25">
        <v>46120</v>
      </c>
      <c r="I952" s="24" t="s">
        <v>10</v>
      </c>
      <c r="J952" s="24" t="s">
        <v>30</v>
      </c>
      <c r="K952" s="24" t="str">
        <f>IF(certifications[[#This Row],[ISSUE DATE]]="", "", TEXT(certifications[[#This Row],[ISSUE DATE]], "MMM"))</f>
        <v>Apr</v>
      </c>
      <c r="L952" s="35" t="str">
        <f>IF(certifications[[#This Row],[ISSUE DATE]]="", "", TEXT(certifications[[#This Row],[ISSUE DATE]], "YYYY"))</f>
        <v>2022</v>
      </c>
    </row>
    <row r="953" spans="1:12" s="29" customFormat="1" ht="23.95" customHeight="1" x14ac:dyDescent="0.3">
      <c r="A953" s="31"/>
      <c r="B953" s="24">
        <v>940</v>
      </c>
      <c r="C953" s="24" t="s">
        <v>1035</v>
      </c>
      <c r="D953" s="24" t="s">
        <v>32</v>
      </c>
      <c r="E953" s="24" t="s">
        <v>9</v>
      </c>
      <c r="F953" s="24">
        <v>10021</v>
      </c>
      <c r="G953" s="25">
        <v>42766</v>
      </c>
      <c r="H953" s="25">
        <v>46418</v>
      </c>
      <c r="I953" s="24" t="s">
        <v>10</v>
      </c>
      <c r="J953" s="24" t="s">
        <v>33</v>
      </c>
      <c r="K953" s="24" t="str">
        <f>IF(certifications[[#This Row],[ISSUE DATE]]="", "", TEXT(certifications[[#This Row],[ISSUE DATE]], "MMM"))</f>
        <v>Jan</v>
      </c>
      <c r="L953" s="35" t="str">
        <f>IF(certifications[[#This Row],[ISSUE DATE]]="", "", TEXT(certifications[[#This Row],[ISSUE DATE]], "YYYY"))</f>
        <v>2017</v>
      </c>
    </row>
    <row r="954" spans="1:12" s="29" customFormat="1" ht="23.95" customHeight="1" x14ac:dyDescent="0.3">
      <c r="A954" s="31"/>
      <c r="B954" s="24">
        <v>941</v>
      </c>
      <c r="C954" s="24" t="s">
        <v>1036</v>
      </c>
      <c r="D954" s="24" t="s">
        <v>32</v>
      </c>
      <c r="E954" s="24" t="s">
        <v>9</v>
      </c>
      <c r="F954" s="24">
        <v>13738</v>
      </c>
      <c r="G954" s="25">
        <v>43641</v>
      </c>
      <c r="H954" s="25">
        <v>44372</v>
      </c>
      <c r="I954" s="24" t="s">
        <v>16</v>
      </c>
      <c r="J954" s="24" t="s">
        <v>33</v>
      </c>
      <c r="K954" s="24" t="str">
        <f>IF(certifications[[#This Row],[ISSUE DATE]]="", "", TEXT(certifications[[#This Row],[ISSUE DATE]], "MMM"))</f>
        <v>Jun</v>
      </c>
      <c r="L954" s="35" t="str">
        <f>IF(certifications[[#This Row],[ISSUE DATE]]="", "", TEXT(certifications[[#This Row],[ISSUE DATE]], "YYYY"))</f>
        <v>2019</v>
      </c>
    </row>
    <row r="955" spans="1:12" s="29" customFormat="1" ht="23.95" customHeight="1" x14ac:dyDescent="0.3">
      <c r="A955" s="31"/>
      <c r="B955" s="24">
        <v>942</v>
      </c>
      <c r="C955" s="24" t="s">
        <v>1037</v>
      </c>
      <c r="D955" s="24" t="s">
        <v>32</v>
      </c>
      <c r="E955" s="24" t="s">
        <v>9</v>
      </c>
      <c r="F955" s="24">
        <v>14013</v>
      </c>
      <c r="G955" s="25">
        <v>43670</v>
      </c>
      <c r="H955" s="25">
        <v>45131</v>
      </c>
      <c r="I955" s="24" t="s">
        <v>16</v>
      </c>
      <c r="J955" s="24" t="s">
        <v>33</v>
      </c>
      <c r="K955" s="24" t="str">
        <f>IF(certifications[[#This Row],[ISSUE DATE]]="", "", TEXT(certifications[[#This Row],[ISSUE DATE]], "MMM"))</f>
        <v>Jul</v>
      </c>
      <c r="L955" s="35" t="str">
        <f>IF(certifications[[#This Row],[ISSUE DATE]]="", "", TEXT(certifications[[#This Row],[ISSUE DATE]], "YYYY"))</f>
        <v>2019</v>
      </c>
    </row>
    <row r="956" spans="1:12" s="29" customFormat="1" ht="23.95" customHeight="1" x14ac:dyDescent="0.3">
      <c r="A956" s="31"/>
      <c r="B956" s="24">
        <v>943</v>
      </c>
      <c r="C956" s="24" t="s">
        <v>1038</v>
      </c>
      <c r="D956" s="24" t="s">
        <v>13</v>
      </c>
      <c r="E956" s="24" t="s">
        <v>9</v>
      </c>
      <c r="F956" s="24">
        <v>10791</v>
      </c>
      <c r="G956" s="25">
        <v>43168</v>
      </c>
      <c r="H956" s="25">
        <v>46090</v>
      </c>
      <c r="I956" s="24" t="s">
        <v>10</v>
      </c>
      <c r="J956" s="24" t="s">
        <v>14</v>
      </c>
      <c r="K956" s="24" t="str">
        <f>IF(certifications[[#This Row],[ISSUE DATE]]="", "", TEXT(certifications[[#This Row],[ISSUE DATE]], "MMM"))</f>
        <v>Mar</v>
      </c>
      <c r="L956" s="35" t="str">
        <f>IF(certifications[[#This Row],[ISSUE DATE]]="", "", TEXT(certifications[[#This Row],[ISSUE DATE]], "YYYY"))</f>
        <v>2018</v>
      </c>
    </row>
    <row r="957" spans="1:12" s="29" customFormat="1" ht="23.95" customHeight="1" x14ac:dyDescent="0.3">
      <c r="A957" s="31"/>
      <c r="B957" s="24">
        <v>944</v>
      </c>
      <c r="C957" s="3" t="s">
        <v>1038</v>
      </c>
      <c r="D957" s="3" t="s">
        <v>13</v>
      </c>
      <c r="E957" s="3" t="s">
        <v>27</v>
      </c>
      <c r="F957" s="3">
        <v>10791</v>
      </c>
      <c r="G957" s="4">
        <v>45761</v>
      </c>
      <c r="H957" s="4">
        <v>46491</v>
      </c>
      <c r="I957" s="3" t="s">
        <v>10</v>
      </c>
      <c r="J957" s="3" t="s">
        <v>14</v>
      </c>
      <c r="K957" s="3" t="str">
        <f>IF(certifications[[#This Row],[ISSUE DATE]]="", "", TEXT(certifications[[#This Row],[ISSUE DATE]], "MMM"))</f>
        <v>Apr</v>
      </c>
      <c r="L957" s="36" t="str">
        <f>IF(certifications[[#This Row],[ISSUE DATE]]="", "", TEXT(certifications[[#This Row],[ISSUE DATE]], "YYYY"))</f>
        <v>2025</v>
      </c>
    </row>
    <row r="958" spans="1:12" s="29" customFormat="1" ht="23.95" customHeight="1" x14ac:dyDescent="0.3">
      <c r="A958" s="31"/>
      <c r="B958" s="24">
        <v>945</v>
      </c>
      <c r="C958" s="24" t="s">
        <v>1039</v>
      </c>
      <c r="D958" s="24" t="s">
        <v>148</v>
      </c>
      <c r="E958" s="24" t="s">
        <v>9</v>
      </c>
      <c r="F958" s="24">
        <v>20120</v>
      </c>
      <c r="G958" s="25">
        <v>45393</v>
      </c>
      <c r="H958" s="25">
        <v>46123</v>
      </c>
      <c r="I958" s="24" t="s">
        <v>10</v>
      </c>
      <c r="J958" s="24" t="s">
        <v>14</v>
      </c>
      <c r="K958" s="24" t="str">
        <f>IF(certifications[[#This Row],[ISSUE DATE]]="", "", TEXT(certifications[[#This Row],[ISSUE DATE]], "MMM"))</f>
        <v>Apr</v>
      </c>
      <c r="L958" s="35" t="str">
        <f>IF(certifications[[#This Row],[ISSUE DATE]]="", "", TEXT(certifications[[#This Row],[ISSUE DATE]], "YYYY"))</f>
        <v>2024</v>
      </c>
    </row>
    <row r="959" spans="1:12" s="29" customFormat="1" ht="23.95" customHeight="1" x14ac:dyDescent="0.3">
      <c r="A959" s="31"/>
      <c r="B959" s="24">
        <v>946</v>
      </c>
      <c r="C959" s="24" t="s">
        <v>1040</v>
      </c>
      <c r="D959" s="24" t="s">
        <v>32</v>
      </c>
      <c r="E959" s="24" t="s">
        <v>9</v>
      </c>
      <c r="F959" s="24">
        <v>8455</v>
      </c>
      <c r="G959" s="25">
        <v>41412</v>
      </c>
      <c r="H959" s="25">
        <v>42142</v>
      </c>
      <c r="I959" s="24" t="s">
        <v>16</v>
      </c>
      <c r="J959" s="24" t="s">
        <v>33</v>
      </c>
      <c r="K959" s="24" t="str">
        <f>IF(certifications[[#This Row],[ISSUE DATE]]="", "", TEXT(certifications[[#This Row],[ISSUE DATE]], "MMM"))</f>
        <v>May</v>
      </c>
      <c r="L959" s="35" t="str">
        <f>IF(certifications[[#This Row],[ISSUE DATE]]="", "", TEXT(certifications[[#This Row],[ISSUE DATE]], "YYYY"))</f>
        <v>2013</v>
      </c>
    </row>
    <row r="960" spans="1:12" s="29" customFormat="1" ht="23.95" customHeight="1" x14ac:dyDescent="0.3">
      <c r="A960" s="31"/>
      <c r="B960" s="24">
        <v>947</v>
      </c>
      <c r="C960" s="24" t="s">
        <v>1041</v>
      </c>
      <c r="D960" s="24" t="s">
        <v>32</v>
      </c>
      <c r="E960" s="24" t="s">
        <v>26</v>
      </c>
      <c r="F960" s="24">
        <v>21007</v>
      </c>
      <c r="G960" s="25">
        <v>45581</v>
      </c>
      <c r="H960" s="25">
        <v>46311</v>
      </c>
      <c r="I960" s="24" t="s">
        <v>10</v>
      </c>
      <c r="J960" s="24" t="s">
        <v>33</v>
      </c>
      <c r="K960" s="24" t="str">
        <f>IF(certifications[[#This Row],[ISSUE DATE]]="", "", TEXT(certifications[[#This Row],[ISSUE DATE]], "MMM"))</f>
        <v>Oct</v>
      </c>
      <c r="L960" s="35" t="str">
        <f>IF(certifications[[#This Row],[ISSUE DATE]]="", "", TEXT(certifications[[#This Row],[ISSUE DATE]], "YYYY"))</f>
        <v>2024</v>
      </c>
    </row>
    <row r="961" spans="1:12" s="29" customFormat="1" ht="23.95" customHeight="1" x14ac:dyDescent="0.3">
      <c r="A961" s="31"/>
      <c r="B961" s="24">
        <v>948</v>
      </c>
      <c r="C961" s="24" t="s">
        <v>1042</v>
      </c>
      <c r="D961" s="24" t="s">
        <v>32</v>
      </c>
      <c r="E961" s="24" t="s">
        <v>9</v>
      </c>
      <c r="F961" s="24">
        <v>20823</v>
      </c>
      <c r="G961" s="25">
        <v>45547</v>
      </c>
      <c r="H961" s="25">
        <v>46277</v>
      </c>
      <c r="I961" s="24" t="s">
        <v>10</v>
      </c>
      <c r="J961" s="24" t="s">
        <v>33</v>
      </c>
      <c r="K961" s="24" t="str">
        <f>IF(certifications[[#This Row],[ISSUE DATE]]="", "", TEXT(certifications[[#This Row],[ISSUE DATE]], "MMM"))</f>
        <v>Sep</v>
      </c>
      <c r="L961" s="35" t="str">
        <f>IF(certifications[[#This Row],[ISSUE DATE]]="", "", TEXT(certifications[[#This Row],[ISSUE DATE]], "YYYY"))</f>
        <v>2024</v>
      </c>
    </row>
    <row r="962" spans="1:12" s="29" customFormat="1" ht="23.95" customHeight="1" x14ac:dyDescent="0.3">
      <c r="A962" s="31"/>
      <c r="B962" s="24">
        <v>949</v>
      </c>
      <c r="C962" s="24" t="s">
        <v>1043</v>
      </c>
      <c r="D962" s="24" t="s">
        <v>252</v>
      </c>
      <c r="E962" s="24" t="s">
        <v>9</v>
      </c>
      <c r="F962" s="24">
        <v>11703</v>
      </c>
      <c r="G962" s="25">
        <v>43272</v>
      </c>
      <c r="H962" s="25">
        <v>44003</v>
      </c>
      <c r="I962" s="24" t="s">
        <v>16</v>
      </c>
      <c r="J962" s="24" t="s">
        <v>38</v>
      </c>
      <c r="K962" s="24" t="str">
        <f>IF(certifications[[#This Row],[ISSUE DATE]]="", "", TEXT(certifications[[#This Row],[ISSUE DATE]], "MMM"))</f>
        <v>Jun</v>
      </c>
      <c r="L962" s="35" t="str">
        <f>IF(certifications[[#This Row],[ISSUE DATE]]="", "", TEXT(certifications[[#This Row],[ISSUE DATE]], "YYYY"))</f>
        <v>2018</v>
      </c>
    </row>
    <row r="963" spans="1:12" s="29" customFormat="1" ht="23.95" customHeight="1" x14ac:dyDescent="0.3">
      <c r="A963" s="31"/>
      <c r="B963" s="24">
        <v>950</v>
      </c>
      <c r="C963" s="24" t="s">
        <v>1044</v>
      </c>
      <c r="D963" s="24" t="s">
        <v>337</v>
      </c>
      <c r="E963" s="24" t="s">
        <v>9</v>
      </c>
      <c r="F963" s="24">
        <v>18765</v>
      </c>
      <c r="G963" s="25">
        <v>45098</v>
      </c>
      <c r="H963" s="25">
        <v>45829</v>
      </c>
      <c r="I963" s="24" t="s">
        <v>10</v>
      </c>
      <c r="J963" s="24" t="s">
        <v>30</v>
      </c>
      <c r="K963" s="24" t="str">
        <f>IF(certifications[[#This Row],[ISSUE DATE]]="", "", TEXT(certifications[[#This Row],[ISSUE DATE]], "MMM"))</f>
        <v>Jun</v>
      </c>
      <c r="L963" s="35" t="str">
        <f>IF(certifications[[#This Row],[ISSUE DATE]]="", "", TEXT(certifications[[#This Row],[ISSUE DATE]], "YYYY"))</f>
        <v>2023</v>
      </c>
    </row>
    <row r="964" spans="1:12" s="29" customFormat="1" ht="23.95" customHeight="1" x14ac:dyDescent="0.3">
      <c r="A964" s="31"/>
      <c r="B964" s="24">
        <v>951</v>
      </c>
      <c r="C964" s="24" t="s">
        <v>1045</v>
      </c>
      <c r="D964" s="24" t="s">
        <v>465</v>
      </c>
      <c r="E964" s="24" t="s">
        <v>9</v>
      </c>
      <c r="F964" s="24">
        <v>19185</v>
      </c>
      <c r="G964" s="25">
        <v>45191</v>
      </c>
      <c r="H964" s="25">
        <v>45922</v>
      </c>
      <c r="I964" s="24" t="s">
        <v>10</v>
      </c>
      <c r="J964" s="24" t="s">
        <v>22</v>
      </c>
      <c r="K964" s="24" t="str">
        <f>IF(certifications[[#This Row],[ISSUE DATE]]="", "", TEXT(certifications[[#This Row],[ISSUE DATE]], "MMM"))</f>
        <v>Sep</v>
      </c>
      <c r="L964" s="35" t="str">
        <f>IF(certifications[[#This Row],[ISSUE DATE]]="", "", TEXT(certifications[[#This Row],[ISSUE DATE]], "YYYY"))</f>
        <v>2023</v>
      </c>
    </row>
    <row r="965" spans="1:12" s="29" customFormat="1" ht="23.95" customHeight="1" x14ac:dyDescent="0.3">
      <c r="A965" s="31"/>
      <c r="B965" s="24">
        <v>952</v>
      </c>
      <c r="C965" s="24" t="s">
        <v>1046</v>
      </c>
      <c r="D965" s="24" t="s">
        <v>51</v>
      </c>
      <c r="E965" s="24" t="s">
        <v>9</v>
      </c>
      <c r="F965" s="24">
        <v>10248</v>
      </c>
      <c r="G965" s="25">
        <v>42908</v>
      </c>
      <c r="H965" s="25">
        <v>43638</v>
      </c>
      <c r="I965" s="24" t="s">
        <v>16</v>
      </c>
      <c r="J965" s="24" t="s">
        <v>38</v>
      </c>
      <c r="K965" s="24" t="str">
        <f>IF(certifications[[#This Row],[ISSUE DATE]]="", "", TEXT(certifications[[#This Row],[ISSUE DATE]], "MMM"))</f>
        <v>Jun</v>
      </c>
      <c r="L965" s="35" t="str">
        <f>IF(certifications[[#This Row],[ISSUE DATE]]="", "", TEXT(certifications[[#This Row],[ISSUE DATE]], "YYYY"))</f>
        <v>2017</v>
      </c>
    </row>
    <row r="966" spans="1:12" s="29" customFormat="1" ht="23.95" customHeight="1" x14ac:dyDescent="0.3">
      <c r="A966" s="31"/>
      <c r="B966" s="24">
        <v>953</v>
      </c>
      <c r="C966" s="24" t="s">
        <v>1047</v>
      </c>
      <c r="D966" s="24" t="s">
        <v>355</v>
      </c>
      <c r="E966" s="24" t="s">
        <v>9</v>
      </c>
      <c r="F966" s="24">
        <v>12217</v>
      </c>
      <c r="G966" s="25">
        <v>43350</v>
      </c>
      <c r="H966" s="25">
        <v>46272</v>
      </c>
      <c r="I966" s="24" t="s">
        <v>10</v>
      </c>
      <c r="J966" s="24" t="s">
        <v>22</v>
      </c>
      <c r="K966" s="24" t="str">
        <f>IF(certifications[[#This Row],[ISSUE DATE]]="", "", TEXT(certifications[[#This Row],[ISSUE DATE]], "MMM"))</f>
        <v>Sep</v>
      </c>
      <c r="L966" s="35" t="str">
        <f>IF(certifications[[#This Row],[ISSUE DATE]]="", "", TEXT(certifications[[#This Row],[ISSUE DATE]], "YYYY"))</f>
        <v>2018</v>
      </c>
    </row>
    <row r="967" spans="1:12" s="29" customFormat="1" ht="23.95" customHeight="1" x14ac:dyDescent="0.3">
      <c r="A967" s="31"/>
      <c r="B967" s="24">
        <v>954</v>
      </c>
      <c r="C967" s="24" t="s">
        <v>1048</v>
      </c>
      <c r="D967" s="24" t="s">
        <v>323</v>
      </c>
      <c r="E967" s="24" t="s">
        <v>9</v>
      </c>
      <c r="F967" s="24">
        <v>13071</v>
      </c>
      <c r="G967" s="25">
        <v>43546</v>
      </c>
      <c r="H967" s="25">
        <v>44277</v>
      </c>
      <c r="I967" s="24" t="s">
        <v>16</v>
      </c>
      <c r="J967" s="24" t="s">
        <v>22</v>
      </c>
      <c r="K967" s="24" t="str">
        <f>IF(certifications[[#This Row],[ISSUE DATE]]="", "", TEXT(certifications[[#This Row],[ISSUE DATE]], "MMM"))</f>
        <v>Mar</v>
      </c>
      <c r="L967" s="35" t="str">
        <f>IF(certifications[[#This Row],[ISSUE DATE]]="", "", TEXT(certifications[[#This Row],[ISSUE DATE]], "YYYY"))</f>
        <v>2019</v>
      </c>
    </row>
    <row r="968" spans="1:12" s="29" customFormat="1" ht="23.95" customHeight="1" x14ac:dyDescent="0.3">
      <c r="A968" s="31"/>
      <c r="B968" s="24">
        <v>955</v>
      </c>
      <c r="C968" s="24" t="s">
        <v>1049</v>
      </c>
      <c r="D968" s="24" t="s">
        <v>32</v>
      </c>
      <c r="E968" s="24" t="s">
        <v>9</v>
      </c>
      <c r="F968" s="24">
        <v>8655</v>
      </c>
      <c r="G968" s="25">
        <v>41577</v>
      </c>
      <c r="H968" s="25">
        <v>42307</v>
      </c>
      <c r="I968" s="24" t="s">
        <v>16</v>
      </c>
      <c r="J968" s="24" t="s">
        <v>33</v>
      </c>
      <c r="K968" s="24" t="str">
        <f>IF(certifications[[#This Row],[ISSUE DATE]]="", "", TEXT(certifications[[#This Row],[ISSUE DATE]], "MMM"))</f>
        <v>Oct</v>
      </c>
      <c r="L968" s="35" t="str">
        <f>IF(certifications[[#This Row],[ISSUE DATE]]="", "", TEXT(certifications[[#This Row],[ISSUE DATE]], "YYYY"))</f>
        <v>2013</v>
      </c>
    </row>
    <row r="969" spans="1:12" s="29" customFormat="1" ht="23.95" customHeight="1" x14ac:dyDescent="0.3">
      <c r="A969" s="31"/>
      <c r="B969" s="24">
        <v>956</v>
      </c>
      <c r="C969" s="24" t="s">
        <v>1050</v>
      </c>
      <c r="D969" s="24" t="s">
        <v>269</v>
      </c>
      <c r="E969" s="24" t="s">
        <v>9</v>
      </c>
      <c r="F969" s="24">
        <v>19802</v>
      </c>
      <c r="G969" s="25">
        <v>45325</v>
      </c>
      <c r="H969" s="25">
        <v>46056</v>
      </c>
      <c r="I969" s="24" t="s">
        <v>10</v>
      </c>
      <c r="J969" s="24" t="s">
        <v>25</v>
      </c>
      <c r="K969" s="24" t="str">
        <f>IF(certifications[[#This Row],[ISSUE DATE]]="", "", TEXT(certifications[[#This Row],[ISSUE DATE]], "MMM"))</f>
        <v>Feb</v>
      </c>
      <c r="L969" s="35" t="str">
        <f>IF(certifications[[#This Row],[ISSUE DATE]]="", "", TEXT(certifications[[#This Row],[ISSUE DATE]], "YYYY"))</f>
        <v>2024</v>
      </c>
    </row>
    <row r="970" spans="1:12" s="29" customFormat="1" ht="23.95" customHeight="1" x14ac:dyDescent="0.3">
      <c r="A970" s="31"/>
      <c r="B970" s="24">
        <v>957</v>
      </c>
      <c r="C970" s="24" t="s">
        <v>1050</v>
      </c>
      <c r="D970" s="24" t="s">
        <v>269</v>
      </c>
      <c r="E970" s="24" t="s">
        <v>26</v>
      </c>
      <c r="F970" s="24">
        <v>19802</v>
      </c>
      <c r="G970" s="25">
        <v>45327</v>
      </c>
      <c r="H970" s="25">
        <v>46058</v>
      </c>
      <c r="I970" s="24" t="s">
        <v>10</v>
      </c>
      <c r="J970" s="24" t="s">
        <v>25</v>
      </c>
      <c r="K970" s="24" t="str">
        <f>IF(certifications[[#This Row],[ISSUE DATE]]="", "", TEXT(certifications[[#This Row],[ISSUE DATE]], "MMM"))</f>
        <v>Feb</v>
      </c>
      <c r="L970" s="35" t="str">
        <f>IF(certifications[[#This Row],[ISSUE DATE]]="", "", TEXT(certifications[[#This Row],[ISSUE DATE]], "YYYY"))</f>
        <v>2024</v>
      </c>
    </row>
    <row r="971" spans="1:12" s="29" customFormat="1" ht="23.95" customHeight="1" x14ac:dyDescent="0.3">
      <c r="A971" s="31"/>
      <c r="B971" s="24">
        <v>958</v>
      </c>
      <c r="C971" s="24" t="s">
        <v>1051</v>
      </c>
      <c r="D971" s="24" t="s">
        <v>32</v>
      </c>
      <c r="E971" s="24" t="s">
        <v>9</v>
      </c>
      <c r="F971" s="24">
        <v>17092</v>
      </c>
      <c r="G971" s="25">
        <v>44574</v>
      </c>
      <c r="H971" s="25">
        <v>45304</v>
      </c>
      <c r="I971" s="24" t="s">
        <v>16</v>
      </c>
      <c r="J971" s="24" t="s">
        <v>33</v>
      </c>
      <c r="K971" s="24" t="str">
        <f>IF(certifications[[#This Row],[ISSUE DATE]]="", "", TEXT(certifications[[#This Row],[ISSUE DATE]], "MMM"))</f>
        <v>Jan</v>
      </c>
      <c r="L971" s="35" t="str">
        <f>IF(certifications[[#This Row],[ISSUE DATE]]="", "", TEXT(certifications[[#This Row],[ISSUE DATE]], "YYYY"))</f>
        <v>2022</v>
      </c>
    </row>
    <row r="972" spans="1:12" s="29" customFormat="1" ht="23.95" customHeight="1" x14ac:dyDescent="0.3">
      <c r="A972" s="31"/>
      <c r="B972" s="24">
        <v>959</v>
      </c>
      <c r="C972" s="24" t="s">
        <v>1051</v>
      </c>
      <c r="D972" s="24" t="s">
        <v>32</v>
      </c>
      <c r="E972" s="24" t="s">
        <v>26</v>
      </c>
      <c r="F972" s="24">
        <v>17092</v>
      </c>
      <c r="G972" s="25">
        <v>44566</v>
      </c>
      <c r="H972" s="25">
        <v>45296</v>
      </c>
      <c r="I972" s="24" t="s">
        <v>16</v>
      </c>
      <c r="J972" s="24" t="s">
        <v>33</v>
      </c>
      <c r="K972" s="24" t="str">
        <f>IF(certifications[[#This Row],[ISSUE DATE]]="", "", TEXT(certifications[[#This Row],[ISSUE DATE]], "MMM"))</f>
        <v>Jan</v>
      </c>
      <c r="L972" s="35" t="str">
        <f>IF(certifications[[#This Row],[ISSUE DATE]]="", "", TEXT(certifications[[#This Row],[ISSUE DATE]], "YYYY"))</f>
        <v>2022</v>
      </c>
    </row>
    <row r="973" spans="1:12" s="29" customFormat="1" ht="23.95" customHeight="1" x14ac:dyDescent="0.3">
      <c r="A973" s="31"/>
      <c r="B973" s="24">
        <v>960</v>
      </c>
      <c r="C973" s="24" t="s">
        <v>1052</v>
      </c>
      <c r="D973" s="24" t="s">
        <v>32</v>
      </c>
      <c r="E973" s="24" t="s">
        <v>9</v>
      </c>
      <c r="F973" s="24">
        <v>10923</v>
      </c>
      <c r="G973" s="25">
        <v>43185</v>
      </c>
      <c r="H973" s="25">
        <v>43916</v>
      </c>
      <c r="I973" s="24" t="s">
        <v>16</v>
      </c>
      <c r="J973" s="24" t="s">
        <v>33</v>
      </c>
      <c r="K973" s="24" t="str">
        <f>IF(certifications[[#This Row],[ISSUE DATE]]="", "", TEXT(certifications[[#This Row],[ISSUE DATE]], "MMM"))</f>
        <v>Mar</v>
      </c>
      <c r="L973" s="35" t="str">
        <f>IF(certifications[[#This Row],[ISSUE DATE]]="", "", TEXT(certifications[[#This Row],[ISSUE DATE]], "YYYY"))</f>
        <v>2018</v>
      </c>
    </row>
    <row r="974" spans="1:12" s="29" customFormat="1" ht="23.95" customHeight="1" x14ac:dyDescent="0.3">
      <c r="A974" s="31"/>
      <c r="B974" s="24">
        <v>961</v>
      </c>
      <c r="C974" s="24" t="s">
        <v>1053</v>
      </c>
      <c r="D974" s="24" t="s">
        <v>465</v>
      </c>
      <c r="E974" s="24" t="s">
        <v>9</v>
      </c>
      <c r="F974" s="24">
        <v>16528</v>
      </c>
      <c r="G974" s="25">
        <v>44372</v>
      </c>
      <c r="H974" s="25">
        <v>45102</v>
      </c>
      <c r="I974" s="24" t="s">
        <v>16</v>
      </c>
      <c r="J974" s="24" t="s">
        <v>22</v>
      </c>
      <c r="K974" s="24" t="str">
        <f>IF(certifications[[#This Row],[ISSUE DATE]]="", "", TEXT(certifications[[#This Row],[ISSUE DATE]], "MMM"))</f>
        <v>Jun</v>
      </c>
      <c r="L974" s="35" t="str">
        <f>IF(certifications[[#This Row],[ISSUE DATE]]="", "", TEXT(certifications[[#This Row],[ISSUE DATE]], "YYYY"))</f>
        <v>2021</v>
      </c>
    </row>
    <row r="975" spans="1:12" s="29" customFormat="1" ht="23.95" customHeight="1" x14ac:dyDescent="0.3">
      <c r="A975" s="31"/>
      <c r="B975" s="24">
        <v>962</v>
      </c>
      <c r="C975" s="24" t="s">
        <v>1054</v>
      </c>
      <c r="D975" s="24" t="s">
        <v>13</v>
      </c>
      <c r="E975" s="24" t="s">
        <v>9</v>
      </c>
      <c r="F975" s="24">
        <v>8872</v>
      </c>
      <c r="G975" s="25">
        <v>41774</v>
      </c>
      <c r="H975" s="25">
        <v>42505</v>
      </c>
      <c r="I975" s="24" t="s">
        <v>16</v>
      </c>
      <c r="J975" s="24" t="s">
        <v>14</v>
      </c>
      <c r="K975" s="24" t="str">
        <f>IF(certifications[[#This Row],[ISSUE DATE]]="", "", TEXT(certifications[[#This Row],[ISSUE DATE]], "MMM"))</f>
        <v>May</v>
      </c>
      <c r="L975" s="35" t="str">
        <f>IF(certifications[[#This Row],[ISSUE DATE]]="", "", TEXT(certifications[[#This Row],[ISSUE DATE]], "YYYY"))</f>
        <v>2014</v>
      </c>
    </row>
    <row r="976" spans="1:12" s="29" customFormat="1" ht="23.95" customHeight="1" x14ac:dyDescent="0.3">
      <c r="A976" s="31"/>
      <c r="B976" s="24">
        <v>963</v>
      </c>
      <c r="C976" s="24" t="s">
        <v>1055</v>
      </c>
      <c r="D976" s="24" t="s">
        <v>32</v>
      </c>
      <c r="E976" s="24" t="s">
        <v>9</v>
      </c>
      <c r="F976" s="24">
        <v>20854</v>
      </c>
      <c r="G976" s="25">
        <v>45553</v>
      </c>
      <c r="H976" s="25">
        <v>46283</v>
      </c>
      <c r="I976" s="24" t="s">
        <v>10</v>
      </c>
      <c r="J976" s="24" t="s">
        <v>33</v>
      </c>
      <c r="K976" s="24" t="str">
        <f>IF(certifications[[#This Row],[ISSUE DATE]]="", "", TEXT(certifications[[#This Row],[ISSUE DATE]], "MMM"))</f>
        <v>Sep</v>
      </c>
      <c r="L976" s="35" t="str">
        <f>IF(certifications[[#This Row],[ISSUE DATE]]="", "", TEXT(certifications[[#This Row],[ISSUE DATE]], "YYYY"))</f>
        <v>2024</v>
      </c>
    </row>
    <row r="977" spans="1:12" s="29" customFormat="1" ht="23.95" customHeight="1" x14ac:dyDescent="0.3">
      <c r="A977" s="31"/>
      <c r="B977" s="24">
        <v>964</v>
      </c>
      <c r="C977" s="24" t="s">
        <v>1056</v>
      </c>
      <c r="D977" s="24" t="s">
        <v>1057</v>
      </c>
      <c r="E977" s="24" t="s">
        <v>9</v>
      </c>
      <c r="F977" s="24">
        <v>10356</v>
      </c>
      <c r="G977" s="25">
        <v>42975</v>
      </c>
      <c r="H977" s="25">
        <v>43705</v>
      </c>
      <c r="I977" s="24" t="s">
        <v>16</v>
      </c>
      <c r="J977" s="24" t="s">
        <v>19</v>
      </c>
      <c r="K977" s="24" t="str">
        <f>IF(certifications[[#This Row],[ISSUE DATE]]="", "", TEXT(certifications[[#This Row],[ISSUE DATE]], "MMM"))</f>
        <v>Aug</v>
      </c>
      <c r="L977" s="35" t="str">
        <f>IF(certifications[[#This Row],[ISSUE DATE]]="", "", TEXT(certifications[[#This Row],[ISSUE DATE]], "YYYY"))</f>
        <v>2017</v>
      </c>
    </row>
    <row r="978" spans="1:12" s="29" customFormat="1" ht="23.95" customHeight="1" x14ac:dyDescent="0.3">
      <c r="A978" s="31"/>
      <c r="B978" s="24">
        <v>965</v>
      </c>
      <c r="C978" s="24" t="s">
        <v>1058</v>
      </c>
      <c r="D978" s="24" t="s">
        <v>32</v>
      </c>
      <c r="E978" s="24" t="s">
        <v>9</v>
      </c>
      <c r="F978" s="24">
        <v>11318</v>
      </c>
      <c r="G978" s="25">
        <v>43770</v>
      </c>
      <c r="H978" s="25">
        <v>44501</v>
      </c>
      <c r="I978" s="24" t="s">
        <v>16</v>
      </c>
      <c r="J978" s="24" t="s">
        <v>33</v>
      </c>
      <c r="K978" s="24" t="str">
        <f>IF(certifications[[#This Row],[ISSUE DATE]]="", "", TEXT(certifications[[#This Row],[ISSUE DATE]], "MMM"))</f>
        <v>Nov</v>
      </c>
      <c r="L978" s="35" t="str">
        <f>IF(certifications[[#This Row],[ISSUE DATE]]="", "", TEXT(certifications[[#This Row],[ISSUE DATE]], "YYYY"))</f>
        <v>2019</v>
      </c>
    </row>
    <row r="979" spans="1:12" s="29" customFormat="1" ht="23.95" customHeight="1" x14ac:dyDescent="0.3">
      <c r="A979" s="31"/>
      <c r="B979" s="24">
        <v>966</v>
      </c>
      <c r="C979" s="24" t="s">
        <v>1059</v>
      </c>
      <c r="D979" s="24" t="s">
        <v>515</v>
      </c>
      <c r="E979" s="24" t="s">
        <v>9</v>
      </c>
      <c r="F979" s="24">
        <v>9432</v>
      </c>
      <c r="G979" s="25">
        <v>42341</v>
      </c>
      <c r="H979" s="25">
        <v>43072</v>
      </c>
      <c r="I979" s="24" t="s">
        <v>16</v>
      </c>
      <c r="J979" s="24" t="s">
        <v>14</v>
      </c>
      <c r="K979" s="24" t="str">
        <f>IF(certifications[[#This Row],[ISSUE DATE]]="", "", TEXT(certifications[[#This Row],[ISSUE DATE]], "MMM"))</f>
        <v>Dec</v>
      </c>
      <c r="L979" s="35" t="str">
        <f>IF(certifications[[#This Row],[ISSUE DATE]]="", "", TEXT(certifications[[#This Row],[ISSUE DATE]], "YYYY"))</f>
        <v>2015</v>
      </c>
    </row>
    <row r="980" spans="1:12" s="29" customFormat="1" ht="23.95" customHeight="1" x14ac:dyDescent="0.3">
      <c r="A980" s="31"/>
      <c r="B980" s="24">
        <v>967</v>
      </c>
      <c r="C980" s="24" t="s">
        <v>1060</v>
      </c>
      <c r="D980" s="24" t="s">
        <v>53</v>
      </c>
      <c r="E980" s="24" t="s">
        <v>9</v>
      </c>
      <c r="F980" s="24">
        <v>18651</v>
      </c>
      <c r="G980" s="25">
        <v>45068</v>
      </c>
      <c r="H980" s="25">
        <v>46529</v>
      </c>
      <c r="I980" s="24" t="s">
        <v>10</v>
      </c>
      <c r="J980" s="24" t="s">
        <v>25</v>
      </c>
      <c r="K980" s="24" t="str">
        <f>IF(certifications[[#This Row],[ISSUE DATE]]="", "", TEXT(certifications[[#This Row],[ISSUE DATE]], "MMM"))</f>
        <v>May</v>
      </c>
      <c r="L980" s="35" t="str">
        <f>IF(certifications[[#This Row],[ISSUE DATE]]="", "", TEXT(certifications[[#This Row],[ISSUE DATE]], "YYYY"))</f>
        <v>2023</v>
      </c>
    </row>
    <row r="981" spans="1:12" s="29" customFormat="1" ht="23.95" customHeight="1" x14ac:dyDescent="0.3">
      <c r="A981" s="31"/>
      <c r="B981" s="24">
        <v>968</v>
      </c>
      <c r="C981" s="24" t="s">
        <v>1061</v>
      </c>
      <c r="D981" s="24" t="s">
        <v>18</v>
      </c>
      <c r="E981" s="24" t="s">
        <v>9</v>
      </c>
      <c r="F981" s="24">
        <v>12735</v>
      </c>
      <c r="G981" s="25">
        <v>43479</v>
      </c>
      <c r="H981" s="25">
        <v>44210</v>
      </c>
      <c r="I981" s="24" t="s">
        <v>321</v>
      </c>
      <c r="J981" s="24" t="s">
        <v>19</v>
      </c>
      <c r="K981" s="24" t="str">
        <f>IF(certifications[[#This Row],[ISSUE DATE]]="", "", TEXT(certifications[[#This Row],[ISSUE DATE]], "MMM"))</f>
        <v>Jan</v>
      </c>
      <c r="L981" s="35" t="str">
        <f>IF(certifications[[#This Row],[ISSUE DATE]]="", "", TEXT(certifications[[#This Row],[ISSUE DATE]], "YYYY"))</f>
        <v>2019</v>
      </c>
    </row>
    <row r="982" spans="1:12" s="29" customFormat="1" ht="23.95" customHeight="1" x14ac:dyDescent="0.3">
      <c r="A982" s="31"/>
      <c r="B982" s="24">
        <v>969</v>
      </c>
      <c r="C982" s="24" t="s">
        <v>1062</v>
      </c>
      <c r="D982" s="24" t="s">
        <v>32</v>
      </c>
      <c r="E982" s="24" t="s">
        <v>9</v>
      </c>
      <c r="F982" s="24">
        <v>13210</v>
      </c>
      <c r="G982" s="25">
        <v>43670</v>
      </c>
      <c r="H982" s="25">
        <v>44401</v>
      </c>
      <c r="I982" s="24" t="s">
        <v>16</v>
      </c>
      <c r="J982" s="24" t="s">
        <v>33</v>
      </c>
      <c r="K982" s="24" t="str">
        <f>IF(certifications[[#This Row],[ISSUE DATE]]="", "", TEXT(certifications[[#This Row],[ISSUE DATE]], "MMM"))</f>
        <v>Jul</v>
      </c>
      <c r="L982" s="35" t="str">
        <f>IF(certifications[[#This Row],[ISSUE DATE]]="", "", TEXT(certifications[[#This Row],[ISSUE DATE]], "YYYY"))</f>
        <v>2019</v>
      </c>
    </row>
    <row r="983" spans="1:12" s="29" customFormat="1" ht="23.95" customHeight="1" x14ac:dyDescent="0.3">
      <c r="A983" s="31"/>
      <c r="B983" s="24">
        <v>970</v>
      </c>
      <c r="C983" s="24" t="s">
        <v>1063</v>
      </c>
      <c r="D983" s="24" t="s">
        <v>13</v>
      </c>
      <c r="E983" s="24" t="s">
        <v>9</v>
      </c>
      <c r="F983" s="24">
        <v>9191</v>
      </c>
      <c r="G983" s="25">
        <v>42144</v>
      </c>
      <c r="H983" s="25">
        <v>42875</v>
      </c>
      <c r="I983" s="24" t="s">
        <v>16</v>
      </c>
      <c r="J983" s="24" t="s">
        <v>14</v>
      </c>
      <c r="K983" s="24" t="str">
        <f>IF(certifications[[#This Row],[ISSUE DATE]]="", "", TEXT(certifications[[#This Row],[ISSUE DATE]], "MMM"))</f>
        <v>May</v>
      </c>
      <c r="L983" s="35" t="str">
        <f>IF(certifications[[#This Row],[ISSUE DATE]]="", "", TEXT(certifications[[#This Row],[ISSUE DATE]], "YYYY"))</f>
        <v>2015</v>
      </c>
    </row>
    <row r="984" spans="1:12" s="29" customFormat="1" ht="23.95" customHeight="1" x14ac:dyDescent="0.3">
      <c r="A984" s="31"/>
      <c r="B984" s="24">
        <v>971</v>
      </c>
      <c r="C984" s="24" t="s">
        <v>1064</v>
      </c>
      <c r="D984" s="24" t="s">
        <v>465</v>
      </c>
      <c r="E984" s="24" t="s">
        <v>9</v>
      </c>
      <c r="F984" s="24">
        <v>14004</v>
      </c>
      <c r="G984" s="25">
        <v>43670</v>
      </c>
      <c r="H984" s="25">
        <v>44401</v>
      </c>
      <c r="I984" s="24" t="s">
        <v>16</v>
      </c>
      <c r="J984" s="24" t="s">
        <v>22</v>
      </c>
      <c r="K984" s="24" t="str">
        <f>IF(certifications[[#This Row],[ISSUE DATE]]="", "", TEXT(certifications[[#This Row],[ISSUE DATE]], "MMM"))</f>
        <v>Jul</v>
      </c>
      <c r="L984" s="35" t="str">
        <f>IF(certifications[[#This Row],[ISSUE DATE]]="", "", TEXT(certifications[[#This Row],[ISSUE DATE]], "YYYY"))</f>
        <v>2019</v>
      </c>
    </row>
    <row r="985" spans="1:12" s="29" customFormat="1" ht="23.95" customHeight="1" x14ac:dyDescent="0.3">
      <c r="A985" s="31"/>
      <c r="B985" s="24">
        <v>972</v>
      </c>
      <c r="C985" s="24" t="s">
        <v>1065</v>
      </c>
      <c r="D985" s="24" t="s">
        <v>1066</v>
      </c>
      <c r="E985" s="24" t="s">
        <v>9</v>
      </c>
      <c r="F985" s="24">
        <v>13704</v>
      </c>
      <c r="G985" s="25">
        <v>43640</v>
      </c>
      <c r="H985" s="25">
        <v>44371</v>
      </c>
      <c r="I985" s="24" t="s">
        <v>16</v>
      </c>
      <c r="J985" s="24" t="s">
        <v>19</v>
      </c>
      <c r="K985" s="24" t="str">
        <f>IF(certifications[[#This Row],[ISSUE DATE]]="", "", TEXT(certifications[[#This Row],[ISSUE DATE]], "MMM"))</f>
        <v>Jun</v>
      </c>
      <c r="L985" s="35" t="str">
        <f>IF(certifications[[#This Row],[ISSUE DATE]]="", "", TEXT(certifications[[#This Row],[ISSUE DATE]], "YYYY"))</f>
        <v>2019</v>
      </c>
    </row>
    <row r="986" spans="1:12" s="29" customFormat="1" ht="23.95" customHeight="1" x14ac:dyDescent="0.3">
      <c r="A986" s="31"/>
      <c r="B986" s="24">
        <v>973</v>
      </c>
      <c r="C986" s="24" t="s">
        <v>1067</v>
      </c>
      <c r="D986" s="24" t="s">
        <v>78</v>
      </c>
      <c r="E986" s="24" t="s">
        <v>9</v>
      </c>
      <c r="F986" s="24">
        <v>20383</v>
      </c>
      <c r="G986" s="25">
        <v>45453</v>
      </c>
      <c r="H986" s="25">
        <v>46183</v>
      </c>
      <c r="I986" s="24" t="s">
        <v>10</v>
      </c>
      <c r="J986" s="24" t="s">
        <v>25</v>
      </c>
      <c r="K986" s="24" t="str">
        <f>IF(certifications[[#This Row],[ISSUE DATE]]="", "", TEXT(certifications[[#This Row],[ISSUE DATE]], "MMM"))</f>
        <v>Jun</v>
      </c>
      <c r="L986" s="35" t="str">
        <f>IF(certifications[[#This Row],[ISSUE DATE]]="", "", TEXT(certifications[[#This Row],[ISSUE DATE]], "YYYY"))</f>
        <v>2024</v>
      </c>
    </row>
    <row r="987" spans="1:12" s="29" customFormat="1" ht="23.95" customHeight="1" x14ac:dyDescent="0.3">
      <c r="A987" s="31"/>
      <c r="B987" s="24">
        <v>974</v>
      </c>
      <c r="C987" s="24" t="s">
        <v>1067</v>
      </c>
      <c r="D987" s="24" t="s">
        <v>78</v>
      </c>
      <c r="E987" s="24" t="s">
        <v>26</v>
      </c>
      <c r="F987" s="24">
        <v>20383</v>
      </c>
      <c r="G987" s="25">
        <v>45450</v>
      </c>
      <c r="H987" s="25">
        <v>46180</v>
      </c>
      <c r="I987" s="24" t="s">
        <v>10</v>
      </c>
      <c r="J987" s="24" t="s">
        <v>25</v>
      </c>
      <c r="K987" s="24" t="str">
        <f>IF(certifications[[#This Row],[ISSUE DATE]]="", "", TEXT(certifications[[#This Row],[ISSUE DATE]], "MMM"))</f>
        <v>Jun</v>
      </c>
      <c r="L987" s="35" t="str">
        <f>IF(certifications[[#This Row],[ISSUE DATE]]="", "", TEXT(certifications[[#This Row],[ISSUE DATE]], "YYYY"))</f>
        <v>2024</v>
      </c>
    </row>
    <row r="988" spans="1:12" s="29" customFormat="1" ht="23.95" customHeight="1" x14ac:dyDescent="0.3">
      <c r="A988" s="31"/>
      <c r="B988" s="24">
        <v>975</v>
      </c>
      <c r="C988" s="24" t="s">
        <v>1068</v>
      </c>
      <c r="D988" s="24" t="s">
        <v>32</v>
      </c>
      <c r="E988" s="24" t="s">
        <v>9</v>
      </c>
      <c r="F988" s="24">
        <v>8043</v>
      </c>
      <c r="G988" s="25">
        <v>40977</v>
      </c>
      <c r="H988" s="25">
        <v>41707</v>
      </c>
      <c r="I988" s="24" t="s">
        <v>16</v>
      </c>
      <c r="J988" s="24" t="s">
        <v>33</v>
      </c>
      <c r="K988" s="24" t="str">
        <f>IF(certifications[[#This Row],[ISSUE DATE]]="", "", TEXT(certifications[[#This Row],[ISSUE DATE]], "MMM"))</f>
        <v>Mar</v>
      </c>
      <c r="L988" s="35" t="str">
        <f>IF(certifications[[#This Row],[ISSUE DATE]]="", "", TEXT(certifications[[#This Row],[ISSUE DATE]], "YYYY"))</f>
        <v>2012</v>
      </c>
    </row>
    <row r="989" spans="1:12" s="29" customFormat="1" ht="23.95" customHeight="1" x14ac:dyDescent="0.3">
      <c r="A989" s="31"/>
      <c r="B989" s="24">
        <v>976</v>
      </c>
      <c r="C989" s="24" t="s">
        <v>1069</v>
      </c>
      <c r="D989" s="24" t="s">
        <v>167</v>
      </c>
      <c r="E989" s="24" t="s">
        <v>9</v>
      </c>
      <c r="F989" s="24">
        <v>18929</v>
      </c>
      <c r="G989" s="25">
        <v>45132</v>
      </c>
      <c r="H989" s="25">
        <v>45863</v>
      </c>
      <c r="I989" s="24" t="s">
        <v>10</v>
      </c>
      <c r="J989" s="24" t="s">
        <v>30</v>
      </c>
      <c r="K989" s="24" t="str">
        <f>IF(certifications[[#This Row],[ISSUE DATE]]="", "", TEXT(certifications[[#This Row],[ISSUE DATE]], "MMM"))</f>
        <v>Jul</v>
      </c>
      <c r="L989" s="35" t="str">
        <f>IF(certifications[[#This Row],[ISSUE DATE]]="", "", TEXT(certifications[[#This Row],[ISSUE DATE]], "YYYY"))</f>
        <v>2023</v>
      </c>
    </row>
    <row r="990" spans="1:12" s="29" customFormat="1" ht="23.95" customHeight="1" x14ac:dyDescent="0.3">
      <c r="A990" s="31"/>
      <c r="B990" s="24">
        <v>977</v>
      </c>
      <c r="C990" s="24" t="s">
        <v>1070</v>
      </c>
      <c r="D990" s="24" t="s">
        <v>1071</v>
      </c>
      <c r="E990" s="24" t="s">
        <v>26</v>
      </c>
      <c r="F990" s="24">
        <v>12504</v>
      </c>
      <c r="G990" s="25">
        <v>43424</v>
      </c>
      <c r="H990" s="25">
        <v>46346</v>
      </c>
      <c r="I990" s="24" t="s">
        <v>10</v>
      </c>
      <c r="J990" s="24" t="s">
        <v>30</v>
      </c>
      <c r="K990" s="24" t="str">
        <f>IF(certifications[[#This Row],[ISSUE DATE]]="", "", TEXT(certifications[[#This Row],[ISSUE DATE]], "MMM"))</f>
        <v>Nov</v>
      </c>
      <c r="L990" s="35" t="str">
        <f>IF(certifications[[#This Row],[ISSUE DATE]]="", "", TEXT(certifications[[#This Row],[ISSUE DATE]], "YYYY"))</f>
        <v>2018</v>
      </c>
    </row>
    <row r="991" spans="1:12" s="29" customFormat="1" ht="23.95" customHeight="1" x14ac:dyDescent="0.3">
      <c r="A991" s="31"/>
      <c r="B991" s="24">
        <v>978</v>
      </c>
      <c r="C991" s="24" t="s">
        <v>1072</v>
      </c>
      <c r="D991" s="24" t="s">
        <v>32</v>
      </c>
      <c r="E991" s="24" t="s">
        <v>9</v>
      </c>
      <c r="F991" s="24">
        <v>9177</v>
      </c>
      <c r="G991" s="25">
        <v>42132</v>
      </c>
      <c r="H991" s="25">
        <v>43593</v>
      </c>
      <c r="I991" s="24" t="s">
        <v>16</v>
      </c>
      <c r="J991" s="24" t="s">
        <v>33</v>
      </c>
      <c r="K991" s="24" t="str">
        <f>IF(certifications[[#This Row],[ISSUE DATE]]="", "", TEXT(certifications[[#This Row],[ISSUE DATE]], "MMM"))</f>
        <v>May</v>
      </c>
      <c r="L991" s="35" t="str">
        <f>IF(certifications[[#This Row],[ISSUE DATE]]="", "", TEXT(certifications[[#This Row],[ISSUE DATE]], "YYYY"))</f>
        <v>2015</v>
      </c>
    </row>
    <row r="992" spans="1:12" s="29" customFormat="1" ht="23.95" customHeight="1" x14ac:dyDescent="0.3">
      <c r="A992" s="31"/>
      <c r="B992" s="24">
        <v>979</v>
      </c>
      <c r="C992" s="24" t="s">
        <v>1073</v>
      </c>
      <c r="D992" s="24" t="s">
        <v>131</v>
      </c>
      <c r="E992" s="24" t="s">
        <v>9</v>
      </c>
      <c r="F992" s="24">
        <v>16125</v>
      </c>
      <c r="G992" s="25">
        <v>44276</v>
      </c>
      <c r="H992" s="25">
        <v>45006</v>
      </c>
      <c r="I992" s="24" t="s">
        <v>16</v>
      </c>
      <c r="J992" s="24" t="s">
        <v>38</v>
      </c>
      <c r="K992" s="24" t="str">
        <f>IF(certifications[[#This Row],[ISSUE DATE]]="", "", TEXT(certifications[[#This Row],[ISSUE DATE]], "MMM"))</f>
        <v>Mar</v>
      </c>
      <c r="L992" s="35" t="str">
        <f>IF(certifications[[#This Row],[ISSUE DATE]]="", "", TEXT(certifications[[#This Row],[ISSUE DATE]], "YYYY"))</f>
        <v>2021</v>
      </c>
    </row>
    <row r="993" spans="1:12" s="29" customFormat="1" ht="23.95" customHeight="1" x14ac:dyDescent="0.3">
      <c r="A993" s="31"/>
      <c r="B993" s="24">
        <v>980</v>
      </c>
      <c r="C993" s="24" t="s">
        <v>1074</v>
      </c>
      <c r="D993" s="24" t="s">
        <v>305</v>
      </c>
      <c r="E993" s="24" t="s">
        <v>9</v>
      </c>
      <c r="F993" s="24">
        <v>18149</v>
      </c>
      <c r="G993" s="25">
        <v>44915</v>
      </c>
      <c r="H993" s="25">
        <v>45646</v>
      </c>
      <c r="I993" s="24" t="s">
        <v>82</v>
      </c>
      <c r="J993" s="24" t="s">
        <v>22</v>
      </c>
      <c r="K993" s="24" t="str">
        <f>IF(certifications[[#This Row],[ISSUE DATE]]="", "", TEXT(certifications[[#This Row],[ISSUE DATE]], "MMM"))</f>
        <v>Dec</v>
      </c>
      <c r="L993" s="35" t="str">
        <f>IF(certifications[[#This Row],[ISSUE DATE]]="", "", TEXT(certifications[[#This Row],[ISSUE DATE]], "YYYY"))</f>
        <v>2022</v>
      </c>
    </row>
    <row r="994" spans="1:12" s="29" customFormat="1" ht="23.95" customHeight="1" x14ac:dyDescent="0.3">
      <c r="A994" s="31"/>
      <c r="B994" s="24">
        <v>981</v>
      </c>
      <c r="C994" s="24" t="s">
        <v>1075</v>
      </c>
      <c r="D994" s="24" t="s">
        <v>269</v>
      </c>
      <c r="E994" s="24" t="s">
        <v>26</v>
      </c>
      <c r="F994" s="24">
        <v>22122</v>
      </c>
      <c r="G994" s="25">
        <v>45818</v>
      </c>
      <c r="H994" s="25">
        <v>46548</v>
      </c>
      <c r="I994" s="24" t="s">
        <v>10</v>
      </c>
      <c r="J994" s="24" t="s">
        <v>25</v>
      </c>
      <c r="K994" s="24" t="str">
        <f>IF(certifications[[#This Row],[ISSUE DATE]]="", "", TEXT(certifications[[#This Row],[ISSUE DATE]], "MMM"))</f>
        <v>Jun</v>
      </c>
      <c r="L994" s="35" t="str">
        <f>IF(certifications[[#This Row],[ISSUE DATE]]="", "", TEXT(certifications[[#This Row],[ISSUE DATE]], "YYYY"))</f>
        <v>2025</v>
      </c>
    </row>
    <row r="995" spans="1:12" s="29" customFormat="1" ht="23.95" customHeight="1" x14ac:dyDescent="0.3">
      <c r="A995" s="31"/>
      <c r="B995" s="24">
        <v>982</v>
      </c>
      <c r="C995" s="24" t="s">
        <v>1076</v>
      </c>
      <c r="D995" s="24" t="s">
        <v>57</v>
      </c>
      <c r="E995" s="24" t="s">
        <v>9</v>
      </c>
      <c r="F995" s="24">
        <v>17467</v>
      </c>
      <c r="G995" s="25">
        <v>44701</v>
      </c>
      <c r="H995" s="25">
        <v>46162</v>
      </c>
      <c r="I995" s="24" t="s">
        <v>10</v>
      </c>
      <c r="J995" s="24" t="s">
        <v>38</v>
      </c>
      <c r="K995" s="24" t="str">
        <f>IF(certifications[[#This Row],[ISSUE DATE]]="", "", TEXT(certifications[[#This Row],[ISSUE DATE]], "MMM"))</f>
        <v>May</v>
      </c>
      <c r="L995" s="35" t="str">
        <f>IF(certifications[[#This Row],[ISSUE DATE]]="", "", TEXT(certifications[[#This Row],[ISSUE DATE]], "YYYY"))</f>
        <v>2022</v>
      </c>
    </row>
    <row r="996" spans="1:12" s="29" customFormat="1" ht="23.95" customHeight="1" x14ac:dyDescent="0.3">
      <c r="A996" s="31"/>
      <c r="B996" s="24">
        <v>983</v>
      </c>
      <c r="C996" s="24" t="s">
        <v>1077</v>
      </c>
      <c r="D996" s="24" t="s">
        <v>363</v>
      </c>
      <c r="E996" s="24" t="s">
        <v>9</v>
      </c>
      <c r="F996" s="24">
        <v>20156</v>
      </c>
      <c r="G996" s="25">
        <v>45400</v>
      </c>
      <c r="H996" s="25">
        <v>46130</v>
      </c>
      <c r="I996" s="24" t="s">
        <v>10</v>
      </c>
      <c r="J996" s="24" t="s">
        <v>19</v>
      </c>
      <c r="K996" s="24" t="str">
        <f>IF(certifications[[#This Row],[ISSUE DATE]]="", "", TEXT(certifications[[#This Row],[ISSUE DATE]], "MMM"))</f>
        <v>Apr</v>
      </c>
      <c r="L996" s="35" t="str">
        <f>IF(certifications[[#This Row],[ISSUE DATE]]="", "", TEXT(certifications[[#This Row],[ISSUE DATE]], "YYYY"))</f>
        <v>2024</v>
      </c>
    </row>
    <row r="997" spans="1:12" s="29" customFormat="1" ht="23.95" customHeight="1" x14ac:dyDescent="0.3">
      <c r="A997" s="31"/>
      <c r="B997" s="24">
        <v>984</v>
      </c>
      <c r="C997" s="24" t="s">
        <v>1078</v>
      </c>
      <c r="D997" s="24" t="s">
        <v>939</v>
      </c>
      <c r="E997" s="24" t="s">
        <v>9</v>
      </c>
      <c r="F997" s="24">
        <v>17686</v>
      </c>
      <c r="G997" s="25">
        <v>44769</v>
      </c>
      <c r="H997" s="25">
        <v>46230</v>
      </c>
      <c r="I997" s="24" t="s">
        <v>10</v>
      </c>
      <c r="J997" s="24" t="s">
        <v>11</v>
      </c>
      <c r="K997" s="24" t="str">
        <f>IF(certifications[[#This Row],[ISSUE DATE]]="", "", TEXT(certifications[[#This Row],[ISSUE DATE]], "MMM"))</f>
        <v>Jul</v>
      </c>
      <c r="L997" s="35" t="str">
        <f>IF(certifications[[#This Row],[ISSUE DATE]]="", "", TEXT(certifications[[#This Row],[ISSUE DATE]], "YYYY"))</f>
        <v>2022</v>
      </c>
    </row>
    <row r="998" spans="1:12" s="29" customFormat="1" ht="23.95" customHeight="1" x14ac:dyDescent="0.3">
      <c r="A998" s="31"/>
      <c r="B998" s="24">
        <v>985</v>
      </c>
      <c r="C998" s="24" t="s">
        <v>1079</v>
      </c>
      <c r="D998" s="24" t="s">
        <v>13</v>
      </c>
      <c r="E998" s="24" t="s">
        <v>9</v>
      </c>
      <c r="F998" s="24">
        <v>20901</v>
      </c>
      <c r="G998" s="25">
        <v>45564</v>
      </c>
      <c r="H998" s="25">
        <v>46294</v>
      </c>
      <c r="I998" s="24" t="s">
        <v>10</v>
      </c>
      <c r="J998" s="24" t="s">
        <v>14</v>
      </c>
      <c r="K998" s="24" t="str">
        <f>IF(certifications[[#This Row],[ISSUE DATE]]="", "", TEXT(certifications[[#This Row],[ISSUE DATE]], "MMM"))</f>
        <v>Sep</v>
      </c>
      <c r="L998" s="35" t="str">
        <f>IF(certifications[[#This Row],[ISSUE DATE]]="", "", TEXT(certifications[[#This Row],[ISSUE DATE]], "YYYY"))</f>
        <v>2024</v>
      </c>
    </row>
    <row r="999" spans="1:12" s="29" customFormat="1" ht="23.95" customHeight="1" x14ac:dyDescent="0.3">
      <c r="A999" s="31"/>
      <c r="B999" s="24">
        <v>986</v>
      </c>
      <c r="C999" s="24" t="s">
        <v>1080</v>
      </c>
      <c r="D999" s="24" t="s">
        <v>61</v>
      </c>
      <c r="E999" s="24" t="s">
        <v>9</v>
      </c>
      <c r="F999" s="24">
        <v>15008</v>
      </c>
      <c r="G999" s="25">
        <v>43840</v>
      </c>
      <c r="H999" s="25">
        <v>46032</v>
      </c>
      <c r="I999" s="24" t="s">
        <v>10</v>
      </c>
      <c r="J999" s="24" t="s">
        <v>19</v>
      </c>
      <c r="K999" s="24" t="str">
        <f>IF(certifications[[#This Row],[ISSUE DATE]]="", "", TEXT(certifications[[#This Row],[ISSUE DATE]], "MMM"))</f>
        <v>Jan</v>
      </c>
      <c r="L999" s="35" t="str">
        <f>IF(certifications[[#This Row],[ISSUE DATE]]="", "", TEXT(certifications[[#This Row],[ISSUE DATE]], "YYYY"))</f>
        <v>2020</v>
      </c>
    </row>
    <row r="1000" spans="1:12" s="29" customFormat="1" ht="23.95" customHeight="1" x14ac:dyDescent="0.3">
      <c r="A1000" s="31"/>
      <c r="B1000" s="24">
        <v>987</v>
      </c>
      <c r="C1000" s="24" t="s">
        <v>1081</v>
      </c>
      <c r="D1000" s="24" t="s">
        <v>202</v>
      </c>
      <c r="E1000" s="24" t="s">
        <v>9</v>
      </c>
      <c r="F1000" s="24">
        <v>17337</v>
      </c>
      <c r="G1000" s="25">
        <v>44661</v>
      </c>
      <c r="H1000" s="25">
        <v>46122</v>
      </c>
      <c r="I1000" s="24" t="s">
        <v>10</v>
      </c>
      <c r="J1000" s="24" t="s">
        <v>19</v>
      </c>
      <c r="K1000" s="24" t="str">
        <f>IF(certifications[[#This Row],[ISSUE DATE]]="", "", TEXT(certifications[[#This Row],[ISSUE DATE]], "MMM"))</f>
        <v>Apr</v>
      </c>
      <c r="L1000" s="35" t="str">
        <f>IF(certifications[[#This Row],[ISSUE DATE]]="", "", TEXT(certifications[[#This Row],[ISSUE DATE]], "YYYY"))</f>
        <v>2022</v>
      </c>
    </row>
    <row r="1001" spans="1:12" s="29" customFormat="1" ht="23.95" customHeight="1" x14ac:dyDescent="0.3">
      <c r="A1001" s="31"/>
      <c r="B1001" s="24">
        <v>988</v>
      </c>
      <c r="C1001" s="24" t="s">
        <v>1082</v>
      </c>
      <c r="D1001" s="24" t="s">
        <v>51</v>
      </c>
      <c r="E1001" s="24" t="s">
        <v>9</v>
      </c>
      <c r="F1001" s="24">
        <v>8470</v>
      </c>
      <c r="G1001" s="25">
        <v>41426</v>
      </c>
      <c r="H1001" s="25">
        <v>42156</v>
      </c>
      <c r="I1001" s="24" t="s">
        <v>16</v>
      </c>
      <c r="J1001" s="24" t="s">
        <v>38</v>
      </c>
      <c r="K1001" s="24" t="str">
        <f>IF(certifications[[#This Row],[ISSUE DATE]]="", "", TEXT(certifications[[#This Row],[ISSUE DATE]], "MMM"))</f>
        <v>Jun</v>
      </c>
      <c r="L1001" s="35" t="str">
        <f>IF(certifications[[#This Row],[ISSUE DATE]]="", "", TEXT(certifications[[#This Row],[ISSUE DATE]], "YYYY"))</f>
        <v>2013</v>
      </c>
    </row>
    <row r="1002" spans="1:12" s="29" customFormat="1" ht="23.95" customHeight="1" x14ac:dyDescent="0.3">
      <c r="A1002" s="31"/>
      <c r="B1002" s="24">
        <v>989</v>
      </c>
      <c r="C1002" s="24" t="s">
        <v>1083</v>
      </c>
      <c r="D1002" s="24" t="s">
        <v>141</v>
      </c>
      <c r="E1002" s="24" t="s">
        <v>9</v>
      </c>
      <c r="F1002" s="24">
        <v>9598</v>
      </c>
      <c r="G1002" s="25">
        <v>42514</v>
      </c>
      <c r="H1002" s="25">
        <v>43244</v>
      </c>
      <c r="I1002" s="24" t="s">
        <v>16</v>
      </c>
      <c r="J1002" s="24" t="s">
        <v>38</v>
      </c>
      <c r="K1002" s="24" t="str">
        <f>IF(certifications[[#This Row],[ISSUE DATE]]="", "", TEXT(certifications[[#This Row],[ISSUE DATE]], "MMM"))</f>
        <v>May</v>
      </c>
      <c r="L1002" s="35" t="str">
        <f>IF(certifications[[#This Row],[ISSUE DATE]]="", "", TEXT(certifications[[#This Row],[ISSUE DATE]], "YYYY"))</f>
        <v>2016</v>
      </c>
    </row>
    <row r="1003" spans="1:12" s="29" customFormat="1" ht="23.95" customHeight="1" x14ac:dyDescent="0.3">
      <c r="A1003" s="31"/>
      <c r="B1003" s="24">
        <v>990</v>
      </c>
      <c r="C1003" s="24" t="s">
        <v>1084</v>
      </c>
      <c r="D1003" s="24" t="s">
        <v>347</v>
      </c>
      <c r="E1003" s="24" t="s">
        <v>9</v>
      </c>
      <c r="F1003" s="24">
        <v>9715</v>
      </c>
      <c r="G1003" s="25">
        <v>42571</v>
      </c>
      <c r="H1003" s="25">
        <v>43301</v>
      </c>
      <c r="I1003" s="24" t="s">
        <v>16</v>
      </c>
      <c r="J1003" s="24" t="s">
        <v>25</v>
      </c>
      <c r="K1003" s="24" t="str">
        <f>IF(certifications[[#This Row],[ISSUE DATE]]="", "", TEXT(certifications[[#This Row],[ISSUE DATE]], "MMM"))</f>
        <v>Jul</v>
      </c>
      <c r="L1003" s="35" t="str">
        <f>IF(certifications[[#This Row],[ISSUE DATE]]="", "", TEXT(certifications[[#This Row],[ISSUE DATE]], "YYYY"))</f>
        <v>2016</v>
      </c>
    </row>
    <row r="1004" spans="1:12" s="29" customFormat="1" ht="23.95" customHeight="1" x14ac:dyDescent="0.3">
      <c r="A1004" s="31"/>
      <c r="B1004" s="24">
        <v>991</v>
      </c>
      <c r="C1004" s="24" t="s">
        <v>1085</v>
      </c>
      <c r="D1004" s="24" t="s">
        <v>32</v>
      </c>
      <c r="E1004" s="24" t="s">
        <v>9</v>
      </c>
      <c r="F1004" s="24">
        <v>11057</v>
      </c>
      <c r="G1004" s="25">
        <v>43203</v>
      </c>
      <c r="H1004" s="25">
        <v>43934</v>
      </c>
      <c r="I1004" s="24" t="s">
        <v>16</v>
      </c>
      <c r="J1004" s="24" t="s">
        <v>33</v>
      </c>
      <c r="K1004" s="24" t="str">
        <f>IF(certifications[[#This Row],[ISSUE DATE]]="", "", TEXT(certifications[[#This Row],[ISSUE DATE]], "MMM"))</f>
        <v>Apr</v>
      </c>
      <c r="L1004" s="35" t="str">
        <f>IF(certifications[[#This Row],[ISSUE DATE]]="", "", TEXT(certifications[[#This Row],[ISSUE DATE]], "YYYY"))</f>
        <v>2018</v>
      </c>
    </row>
    <row r="1005" spans="1:12" s="29" customFormat="1" ht="23.95" customHeight="1" x14ac:dyDescent="0.3">
      <c r="A1005" s="31"/>
      <c r="B1005" s="24">
        <v>992</v>
      </c>
      <c r="C1005" s="24" t="s">
        <v>1086</v>
      </c>
      <c r="D1005" s="24" t="s">
        <v>1015</v>
      </c>
      <c r="E1005" s="24" t="s">
        <v>9</v>
      </c>
      <c r="F1005" s="24">
        <v>13713</v>
      </c>
      <c r="G1005" s="25">
        <v>43640</v>
      </c>
      <c r="H1005" s="25">
        <v>44371</v>
      </c>
      <c r="I1005" s="24" t="s">
        <v>16</v>
      </c>
      <c r="J1005" s="24" t="s">
        <v>19</v>
      </c>
      <c r="K1005" s="24" t="str">
        <f>IF(certifications[[#This Row],[ISSUE DATE]]="", "", TEXT(certifications[[#This Row],[ISSUE DATE]], "MMM"))</f>
        <v>Jun</v>
      </c>
      <c r="L1005" s="35" t="str">
        <f>IF(certifications[[#This Row],[ISSUE DATE]]="", "", TEXT(certifications[[#This Row],[ISSUE DATE]], "YYYY"))</f>
        <v>2019</v>
      </c>
    </row>
    <row r="1006" spans="1:12" s="29" customFormat="1" ht="23.95" customHeight="1" x14ac:dyDescent="0.3">
      <c r="A1006" s="31"/>
      <c r="B1006" s="24">
        <v>993</v>
      </c>
      <c r="C1006" s="24" t="s">
        <v>1087</v>
      </c>
      <c r="D1006" s="24" t="s">
        <v>131</v>
      </c>
      <c r="E1006" s="24" t="s">
        <v>9</v>
      </c>
      <c r="F1006" s="24">
        <v>9973</v>
      </c>
      <c r="G1006" s="25">
        <v>42746</v>
      </c>
      <c r="H1006" s="25">
        <v>43476</v>
      </c>
      <c r="I1006" s="24" t="s">
        <v>16</v>
      </c>
      <c r="J1006" s="24" t="s">
        <v>38</v>
      </c>
      <c r="K1006" s="24" t="str">
        <f>IF(certifications[[#This Row],[ISSUE DATE]]="", "", TEXT(certifications[[#This Row],[ISSUE DATE]], "MMM"))</f>
        <v>Jan</v>
      </c>
      <c r="L1006" s="35" t="str">
        <f>IF(certifications[[#This Row],[ISSUE DATE]]="", "", TEXT(certifications[[#This Row],[ISSUE DATE]], "YYYY"))</f>
        <v>2017</v>
      </c>
    </row>
    <row r="1007" spans="1:12" s="29" customFormat="1" ht="23.95" customHeight="1" x14ac:dyDescent="0.3">
      <c r="A1007" s="31"/>
      <c r="B1007" s="24">
        <v>994</v>
      </c>
      <c r="C1007" s="24" t="s">
        <v>1088</v>
      </c>
      <c r="D1007" s="24" t="s">
        <v>51</v>
      </c>
      <c r="E1007" s="24" t="s">
        <v>26</v>
      </c>
      <c r="F1007" s="24">
        <v>20429</v>
      </c>
      <c r="G1007" s="25">
        <v>45457</v>
      </c>
      <c r="H1007" s="25">
        <v>46187</v>
      </c>
      <c r="I1007" s="24" t="s">
        <v>10</v>
      </c>
      <c r="J1007" s="24" t="s">
        <v>38</v>
      </c>
      <c r="K1007" s="24" t="str">
        <f>IF(certifications[[#This Row],[ISSUE DATE]]="", "", TEXT(certifications[[#This Row],[ISSUE DATE]], "MMM"))</f>
        <v>Jun</v>
      </c>
      <c r="L1007" s="35" t="str">
        <f>IF(certifications[[#This Row],[ISSUE DATE]]="", "", TEXT(certifications[[#This Row],[ISSUE DATE]], "YYYY"))</f>
        <v>2024</v>
      </c>
    </row>
    <row r="1008" spans="1:12" s="29" customFormat="1" ht="23.95" customHeight="1" x14ac:dyDescent="0.3">
      <c r="A1008" s="31"/>
      <c r="B1008" s="24">
        <v>995</v>
      </c>
      <c r="C1008" s="24" t="s">
        <v>1089</v>
      </c>
      <c r="D1008" s="24" t="s">
        <v>1090</v>
      </c>
      <c r="E1008" s="24" t="s">
        <v>9</v>
      </c>
      <c r="F1008" s="24">
        <v>9978</v>
      </c>
      <c r="G1008" s="25">
        <v>44067</v>
      </c>
      <c r="H1008" s="25">
        <v>44797</v>
      </c>
      <c r="I1008" s="24" t="s">
        <v>16</v>
      </c>
      <c r="J1008" s="24" t="s">
        <v>30</v>
      </c>
      <c r="K1008" s="24" t="str">
        <f>IF(certifications[[#This Row],[ISSUE DATE]]="", "", TEXT(certifications[[#This Row],[ISSUE DATE]], "MMM"))</f>
        <v>Aug</v>
      </c>
      <c r="L1008" s="35" t="str">
        <f>IF(certifications[[#This Row],[ISSUE DATE]]="", "", TEXT(certifications[[#This Row],[ISSUE DATE]], "YYYY"))</f>
        <v>2020</v>
      </c>
    </row>
    <row r="1009" spans="1:12" s="29" customFormat="1" ht="23.95" customHeight="1" x14ac:dyDescent="0.3">
      <c r="A1009" s="31"/>
      <c r="B1009" s="24">
        <v>996</v>
      </c>
      <c r="C1009" s="24" t="s">
        <v>1091</v>
      </c>
      <c r="D1009" s="24" t="s">
        <v>18</v>
      </c>
      <c r="E1009" s="24" t="s">
        <v>9</v>
      </c>
      <c r="F1009" s="24">
        <v>13707</v>
      </c>
      <c r="G1009" s="25">
        <v>43640</v>
      </c>
      <c r="H1009" s="25">
        <v>44371</v>
      </c>
      <c r="I1009" s="24" t="s">
        <v>16</v>
      </c>
      <c r="J1009" s="24" t="s">
        <v>19</v>
      </c>
      <c r="K1009" s="24" t="str">
        <f>IF(certifications[[#This Row],[ISSUE DATE]]="", "", TEXT(certifications[[#This Row],[ISSUE DATE]], "MMM"))</f>
        <v>Jun</v>
      </c>
      <c r="L1009" s="35" t="str">
        <f>IF(certifications[[#This Row],[ISSUE DATE]]="", "", TEXT(certifications[[#This Row],[ISSUE DATE]], "YYYY"))</f>
        <v>2019</v>
      </c>
    </row>
    <row r="1010" spans="1:12" s="29" customFormat="1" ht="23.95" customHeight="1" x14ac:dyDescent="0.3">
      <c r="A1010" s="31"/>
      <c r="B1010" s="24">
        <v>997</v>
      </c>
      <c r="C1010" s="24" t="s">
        <v>1092</v>
      </c>
      <c r="D1010" s="24" t="s">
        <v>13</v>
      </c>
      <c r="E1010" s="24" t="s">
        <v>9</v>
      </c>
      <c r="F1010" s="24">
        <v>9884</v>
      </c>
      <c r="G1010" s="25">
        <v>42670</v>
      </c>
      <c r="H1010" s="25">
        <v>43400</v>
      </c>
      <c r="I1010" s="24" t="s">
        <v>16</v>
      </c>
      <c r="J1010" s="24" t="s">
        <v>14</v>
      </c>
      <c r="K1010" s="24" t="str">
        <f>IF(certifications[[#This Row],[ISSUE DATE]]="", "", TEXT(certifications[[#This Row],[ISSUE DATE]], "MMM"))</f>
        <v>Oct</v>
      </c>
      <c r="L1010" s="35" t="str">
        <f>IF(certifications[[#This Row],[ISSUE DATE]]="", "", TEXT(certifications[[#This Row],[ISSUE DATE]], "YYYY"))</f>
        <v>2016</v>
      </c>
    </row>
    <row r="1011" spans="1:12" s="29" customFormat="1" ht="23.95" customHeight="1" x14ac:dyDescent="0.3">
      <c r="A1011" s="31"/>
      <c r="B1011" s="24">
        <v>998</v>
      </c>
      <c r="C1011" s="24" t="s">
        <v>1093</v>
      </c>
      <c r="D1011" s="24" t="s">
        <v>32</v>
      </c>
      <c r="E1011" s="24" t="s">
        <v>9</v>
      </c>
      <c r="F1011" s="24">
        <v>22100</v>
      </c>
      <c r="G1011" s="25">
        <v>45812</v>
      </c>
      <c r="H1011" s="25">
        <v>46542</v>
      </c>
      <c r="I1011" s="24" t="s">
        <v>10</v>
      </c>
      <c r="J1011" s="24" t="s">
        <v>33</v>
      </c>
      <c r="K1011" s="24" t="str">
        <f>IF(certifications[[#This Row],[ISSUE DATE]]="", "", TEXT(certifications[[#This Row],[ISSUE DATE]], "MMM"))</f>
        <v>Jun</v>
      </c>
      <c r="L1011" s="35" t="str">
        <f>IF(certifications[[#This Row],[ISSUE DATE]]="", "", TEXT(certifications[[#This Row],[ISSUE DATE]], "YYYY"))</f>
        <v>2025</v>
      </c>
    </row>
    <row r="1012" spans="1:12" s="29" customFormat="1" ht="23.95" customHeight="1" x14ac:dyDescent="0.3">
      <c r="A1012" s="31"/>
      <c r="B1012" s="24">
        <v>999</v>
      </c>
      <c r="C1012" s="24" t="s">
        <v>1094</v>
      </c>
      <c r="D1012" s="24" t="s">
        <v>32</v>
      </c>
      <c r="E1012" s="24" t="s">
        <v>9</v>
      </c>
      <c r="F1012" s="24">
        <v>14410</v>
      </c>
      <c r="G1012" s="25">
        <v>43697</v>
      </c>
      <c r="H1012" s="25">
        <v>44428</v>
      </c>
      <c r="I1012" s="24" t="s">
        <v>16</v>
      </c>
      <c r="J1012" s="24" t="s">
        <v>33</v>
      </c>
      <c r="K1012" s="24" t="str">
        <f>IF(certifications[[#This Row],[ISSUE DATE]]="", "", TEXT(certifications[[#This Row],[ISSUE DATE]], "MMM"))</f>
        <v>Aug</v>
      </c>
      <c r="L1012" s="35" t="str">
        <f>IF(certifications[[#This Row],[ISSUE DATE]]="", "", TEXT(certifications[[#This Row],[ISSUE DATE]], "YYYY"))</f>
        <v>2019</v>
      </c>
    </row>
    <row r="1013" spans="1:12" s="29" customFormat="1" ht="23.95" customHeight="1" x14ac:dyDescent="0.3">
      <c r="A1013" s="31"/>
      <c r="B1013" s="24">
        <v>1000</v>
      </c>
      <c r="C1013" s="24" t="s">
        <v>1095</v>
      </c>
      <c r="D1013" s="24" t="s">
        <v>29</v>
      </c>
      <c r="E1013" s="24" t="s">
        <v>9</v>
      </c>
      <c r="F1013" s="24">
        <v>9711</v>
      </c>
      <c r="G1013" s="25">
        <v>42571</v>
      </c>
      <c r="H1013" s="25">
        <v>46223</v>
      </c>
      <c r="I1013" s="24" t="s">
        <v>10</v>
      </c>
      <c r="J1013" s="24" t="s">
        <v>30</v>
      </c>
      <c r="K1013" s="24" t="str">
        <f>IF(certifications[[#This Row],[ISSUE DATE]]="", "", TEXT(certifications[[#This Row],[ISSUE DATE]], "MMM"))</f>
        <v>Jul</v>
      </c>
      <c r="L1013" s="35" t="str">
        <f>IF(certifications[[#This Row],[ISSUE DATE]]="", "", TEXT(certifications[[#This Row],[ISSUE DATE]], "YYYY"))</f>
        <v>2016</v>
      </c>
    </row>
    <row r="1014" spans="1:12" s="29" customFormat="1" ht="23.95" customHeight="1" x14ac:dyDescent="0.3">
      <c r="A1014" s="31"/>
      <c r="B1014" s="24">
        <v>1001</v>
      </c>
      <c r="C1014" s="24" t="s">
        <v>1096</v>
      </c>
      <c r="D1014" s="24" t="s">
        <v>176</v>
      </c>
      <c r="E1014" s="24" t="s">
        <v>26</v>
      </c>
      <c r="F1014" s="24">
        <v>16674</v>
      </c>
      <c r="G1014" s="25">
        <v>44391</v>
      </c>
      <c r="H1014" s="25">
        <v>45121</v>
      </c>
      <c r="I1014" s="24" t="s">
        <v>16</v>
      </c>
      <c r="J1014" s="24" t="s">
        <v>30</v>
      </c>
      <c r="K1014" s="24" t="str">
        <f>IF(certifications[[#This Row],[ISSUE DATE]]="", "", TEXT(certifications[[#This Row],[ISSUE DATE]], "MMM"))</f>
        <v>Jul</v>
      </c>
      <c r="L1014" s="35" t="str">
        <f>IF(certifications[[#This Row],[ISSUE DATE]]="", "", TEXT(certifications[[#This Row],[ISSUE DATE]], "YYYY"))</f>
        <v>2021</v>
      </c>
    </row>
    <row r="1015" spans="1:12" s="29" customFormat="1" ht="23.95" customHeight="1" x14ac:dyDescent="0.3">
      <c r="A1015" s="31"/>
      <c r="B1015" s="24">
        <v>1002</v>
      </c>
      <c r="C1015" s="24" t="s">
        <v>1097</v>
      </c>
      <c r="D1015" s="24" t="s">
        <v>179</v>
      </c>
      <c r="E1015" s="24" t="s">
        <v>9</v>
      </c>
      <c r="F1015" s="24">
        <v>15770</v>
      </c>
      <c r="G1015" s="25">
        <v>44186</v>
      </c>
      <c r="H1015" s="25">
        <v>46377</v>
      </c>
      <c r="I1015" s="24" t="s">
        <v>10</v>
      </c>
      <c r="J1015" s="24" t="s">
        <v>14</v>
      </c>
      <c r="K1015" s="24" t="str">
        <f>IF(certifications[[#This Row],[ISSUE DATE]]="", "", TEXT(certifications[[#This Row],[ISSUE DATE]], "MMM"))</f>
        <v>Dec</v>
      </c>
      <c r="L1015" s="35" t="str">
        <f>IF(certifications[[#This Row],[ISSUE DATE]]="", "", TEXT(certifications[[#This Row],[ISSUE DATE]], "YYYY"))</f>
        <v>2020</v>
      </c>
    </row>
    <row r="1016" spans="1:12" s="29" customFormat="1" ht="23.95" customHeight="1" x14ac:dyDescent="0.3">
      <c r="A1016" s="31"/>
      <c r="B1016" s="24">
        <v>1003</v>
      </c>
      <c r="C1016" s="24" t="s">
        <v>1098</v>
      </c>
      <c r="D1016" s="24" t="s">
        <v>674</v>
      </c>
      <c r="E1016" s="24" t="s">
        <v>9</v>
      </c>
      <c r="F1016" s="24">
        <v>14019</v>
      </c>
      <c r="G1016" s="25">
        <v>43670</v>
      </c>
      <c r="H1016" s="25">
        <v>44401</v>
      </c>
      <c r="I1016" s="24" t="s">
        <v>16</v>
      </c>
      <c r="J1016" s="24" t="s">
        <v>22</v>
      </c>
      <c r="K1016" s="24" t="str">
        <f>IF(certifications[[#This Row],[ISSUE DATE]]="", "", TEXT(certifications[[#This Row],[ISSUE DATE]], "MMM"))</f>
        <v>Jul</v>
      </c>
      <c r="L1016" s="35" t="str">
        <f>IF(certifications[[#This Row],[ISSUE DATE]]="", "", TEXT(certifications[[#This Row],[ISSUE DATE]], "YYYY"))</f>
        <v>2019</v>
      </c>
    </row>
    <row r="1017" spans="1:12" s="29" customFormat="1" ht="23.95" customHeight="1" x14ac:dyDescent="0.3">
      <c r="A1017" s="31"/>
      <c r="B1017" s="24">
        <v>1004</v>
      </c>
      <c r="C1017" s="24" t="s">
        <v>1099</v>
      </c>
      <c r="D1017" s="24" t="s">
        <v>1100</v>
      </c>
      <c r="E1017" s="24" t="s">
        <v>9</v>
      </c>
      <c r="F1017" s="24">
        <v>8923</v>
      </c>
      <c r="G1017" s="25">
        <v>41816</v>
      </c>
      <c r="H1017" s="25">
        <v>46199</v>
      </c>
      <c r="I1017" s="24" t="s">
        <v>10</v>
      </c>
      <c r="J1017" s="24" t="s">
        <v>25</v>
      </c>
      <c r="K1017" s="24" t="str">
        <f>IF(certifications[[#This Row],[ISSUE DATE]]="", "", TEXT(certifications[[#This Row],[ISSUE DATE]], "MMM"))</f>
        <v>Jun</v>
      </c>
      <c r="L1017" s="35" t="str">
        <f>IF(certifications[[#This Row],[ISSUE DATE]]="", "", TEXT(certifications[[#This Row],[ISSUE DATE]], "YYYY"))</f>
        <v>2014</v>
      </c>
    </row>
    <row r="1018" spans="1:12" s="29" customFormat="1" ht="23.95" customHeight="1" x14ac:dyDescent="0.3">
      <c r="A1018" s="31"/>
      <c r="B1018" s="24">
        <v>1005</v>
      </c>
      <c r="C1018" s="24" t="s">
        <v>1101</v>
      </c>
      <c r="D1018" s="24" t="s">
        <v>80</v>
      </c>
      <c r="E1018" s="24" t="s">
        <v>9</v>
      </c>
      <c r="F1018" s="24">
        <v>18171</v>
      </c>
      <c r="G1018" s="25">
        <v>44921</v>
      </c>
      <c r="H1018" s="25">
        <v>45652</v>
      </c>
      <c r="I1018" s="24" t="s">
        <v>82</v>
      </c>
      <c r="J1018" s="24" t="s">
        <v>38</v>
      </c>
      <c r="K1018" s="24" t="str">
        <f>IF(certifications[[#This Row],[ISSUE DATE]]="", "", TEXT(certifications[[#This Row],[ISSUE DATE]], "MMM"))</f>
        <v>Dec</v>
      </c>
      <c r="L1018" s="35" t="str">
        <f>IF(certifications[[#This Row],[ISSUE DATE]]="", "", TEXT(certifications[[#This Row],[ISSUE DATE]], "YYYY"))</f>
        <v>2022</v>
      </c>
    </row>
    <row r="1019" spans="1:12" s="29" customFormat="1" ht="23.95" customHeight="1" x14ac:dyDescent="0.3">
      <c r="A1019" s="31"/>
      <c r="B1019" s="24">
        <v>1006</v>
      </c>
      <c r="C1019" s="24" t="s">
        <v>1102</v>
      </c>
      <c r="D1019" s="24" t="s">
        <v>18</v>
      </c>
      <c r="E1019" s="24" t="s">
        <v>9</v>
      </c>
      <c r="F1019" s="24">
        <v>17023</v>
      </c>
      <c r="G1019" s="25">
        <v>44537</v>
      </c>
      <c r="H1019" s="25">
        <v>45998</v>
      </c>
      <c r="I1019" s="24" t="s">
        <v>10</v>
      </c>
      <c r="J1019" s="24" t="s">
        <v>19</v>
      </c>
      <c r="K1019" s="24" t="str">
        <f>IF(certifications[[#This Row],[ISSUE DATE]]="", "", TEXT(certifications[[#This Row],[ISSUE DATE]], "MMM"))</f>
        <v>Dec</v>
      </c>
      <c r="L1019" s="35" t="str">
        <f>IF(certifications[[#This Row],[ISSUE DATE]]="", "", TEXT(certifications[[#This Row],[ISSUE DATE]], "YYYY"))</f>
        <v>2021</v>
      </c>
    </row>
    <row r="1020" spans="1:12" s="29" customFormat="1" ht="23.95" customHeight="1" x14ac:dyDescent="0.3">
      <c r="A1020" s="31"/>
      <c r="B1020" s="24">
        <v>1007</v>
      </c>
      <c r="C1020" s="24" t="s">
        <v>1103</v>
      </c>
      <c r="D1020" s="24" t="s">
        <v>53</v>
      </c>
      <c r="E1020" s="24" t="s">
        <v>9</v>
      </c>
      <c r="F1020" s="24">
        <v>17302</v>
      </c>
      <c r="G1020" s="25">
        <v>44656</v>
      </c>
      <c r="H1020" s="25">
        <v>46117</v>
      </c>
      <c r="I1020" s="24" t="s">
        <v>10</v>
      </c>
      <c r="J1020" s="24" t="s">
        <v>25</v>
      </c>
      <c r="K1020" s="24" t="str">
        <f>IF(certifications[[#This Row],[ISSUE DATE]]="", "", TEXT(certifications[[#This Row],[ISSUE DATE]], "MMM"))</f>
        <v>Apr</v>
      </c>
      <c r="L1020" s="35" t="str">
        <f>IF(certifications[[#This Row],[ISSUE DATE]]="", "", TEXT(certifications[[#This Row],[ISSUE DATE]], "YYYY"))</f>
        <v>2022</v>
      </c>
    </row>
    <row r="1021" spans="1:12" s="29" customFormat="1" ht="23.95" customHeight="1" x14ac:dyDescent="0.3">
      <c r="A1021" s="31"/>
      <c r="B1021" s="24">
        <v>1008</v>
      </c>
      <c r="C1021" s="24" t="s">
        <v>1104</v>
      </c>
      <c r="D1021" s="24" t="s">
        <v>32</v>
      </c>
      <c r="E1021" s="24" t="s">
        <v>9</v>
      </c>
      <c r="F1021" s="24">
        <v>9975</v>
      </c>
      <c r="G1021" s="25">
        <v>42746</v>
      </c>
      <c r="H1021" s="25">
        <v>43476</v>
      </c>
      <c r="I1021" s="24" t="s">
        <v>16</v>
      </c>
      <c r="J1021" s="24" t="s">
        <v>33</v>
      </c>
      <c r="K1021" s="24" t="str">
        <f>IF(certifications[[#This Row],[ISSUE DATE]]="", "", TEXT(certifications[[#This Row],[ISSUE DATE]], "MMM"))</f>
        <v>Jan</v>
      </c>
      <c r="L1021" s="35" t="str">
        <f>IF(certifications[[#This Row],[ISSUE DATE]]="", "", TEXT(certifications[[#This Row],[ISSUE DATE]], "YYYY"))</f>
        <v>2017</v>
      </c>
    </row>
    <row r="1022" spans="1:12" s="29" customFormat="1" ht="23.95" customHeight="1" x14ac:dyDescent="0.3">
      <c r="A1022" s="31"/>
      <c r="B1022" s="24">
        <v>1009</v>
      </c>
      <c r="C1022" s="24" t="s">
        <v>1105</v>
      </c>
      <c r="D1022" s="24" t="s">
        <v>46</v>
      </c>
      <c r="E1022" s="24" t="s">
        <v>26</v>
      </c>
      <c r="F1022" s="24">
        <v>16666</v>
      </c>
      <c r="G1022" s="25">
        <v>44390</v>
      </c>
      <c r="H1022" s="25">
        <v>46581</v>
      </c>
      <c r="I1022" s="24" t="s">
        <v>10</v>
      </c>
      <c r="J1022" s="24" t="s">
        <v>38</v>
      </c>
      <c r="K1022" s="24" t="str">
        <f>IF(certifications[[#This Row],[ISSUE DATE]]="", "", TEXT(certifications[[#This Row],[ISSUE DATE]], "MMM"))</f>
        <v>Jul</v>
      </c>
      <c r="L1022" s="35" t="str">
        <f>IF(certifications[[#This Row],[ISSUE DATE]]="", "", TEXT(certifications[[#This Row],[ISSUE DATE]], "YYYY"))</f>
        <v>2021</v>
      </c>
    </row>
    <row r="1023" spans="1:12" s="29" customFormat="1" ht="23.95" customHeight="1" x14ac:dyDescent="0.3">
      <c r="A1023" s="31"/>
      <c r="B1023" s="24">
        <v>1010</v>
      </c>
      <c r="C1023" s="3" t="s">
        <v>1105</v>
      </c>
      <c r="D1023" s="3" t="s">
        <v>46</v>
      </c>
      <c r="E1023" s="3" t="s">
        <v>27</v>
      </c>
      <c r="F1023" s="3">
        <v>16666</v>
      </c>
      <c r="G1023" s="4">
        <v>45804</v>
      </c>
      <c r="H1023" s="4">
        <v>46534</v>
      </c>
      <c r="I1023" s="3" t="s">
        <v>10</v>
      </c>
      <c r="J1023" s="3" t="s">
        <v>38</v>
      </c>
      <c r="K1023" s="3" t="str">
        <f>IF(certifications[[#This Row],[ISSUE DATE]]="", "", TEXT(certifications[[#This Row],[ISSUE DATE]], "MMM"))</f>
        <v>May</v>
      </c>
      <c r="L1023" s="36" t="str">
        <f>IF(certifications[[#This Row],[ISSUE DATE]]="", "", TEXT(certifications[[#This Row],[ISSUE DATE]], "YYYY"))</f>
        <v>2025</v>
      </c>
    </row>
    <row r="1024" spans="1:12" s="29" customFormat="1" ht="23.95" customHeight="1" x14ac:dyDescent="0.3">
      <c r="A1024" s="31"/>
      <c r="B1024" s="24">
        <v>1011</v>
      </c>
      <c r="C1024" s="24" t="s">
        <v>1106</v>
      </c>
      <c r="D1024" s="24" t="s">
        <v>32</v>
      </c>
      <c r="E1024" s="24" t="s">
        <v>9</v>
      </c>
      <c r="F1024" s="24">
        <v>22093</v>
      </c>
      <c r="G1024" s="25">
        <v>45813</v>
      </c>
      <c r="H1024" s="25">
        <v>46543</v>
      </c>
      <c r="I1024" s="24" t="s">
        <v>10</v>
      </c>
      <c r="J1024" s="24" t="s">
        <v>33</v>
      </c>
      <c r="K1024" s="24" t="str">
        <f>IF(certifications[[#This Row],[ISSUE DATE]]="", "", TEXT(certifications[[#This Row],[ISSUE DATE]], "MMM"))</f>
        <v>Jun</v>
      </c>
      <c r="L1024" s="35" t="str">
        <f>IF(certifications[[#This Row],[ISSUE DATE]]="", "", TEXT(certifications[[#This Row],[ISSUE DATE]], "YYYY"))</f>
        <v>2025</v>
      </c>
    </row>
    <row r="1025" spans="1:12" s="29" customFormat="1" ht="23.95" customHeight="1" x14ac:dyDescent="0.3">
      <c r="A1025" s="31"/>
      <c r="B1025" s="24">
        <v>1012</v>
      </c>
      <c r="C1025" s="24" t="s">
        <v>1107</v>
      </c>
      <c r="D1025" s="24" t="s">
        <v>48</v>
      </c>
      <c r="E1025" s="24" t="s">
        <v>9</v>
      </c>
      <c r="F1025" s="24">
        <v>8558</v>
      </c>
      <c r="G1025" s="25">
        <v>41485</v>
      </c>
      <c r="H1025" s="25">
        <v>42215</v>
      </c>
      <c r="I1025" s="24" t="s">
        <v>16</v>
      </c>
      <c r="J1025" s="24" t="s">
        <v>38</v>
      </c>
      <c r="K1025" s="24" t="str">
        <f>IF(certifications[[#This Row],[ISSUE DATE]]="", "", TEXT(certifications[[#This Row],[ISSUE DATE]], "MMM"))</f>
        <v>Jul</v>
      </c>
      <c r="L1025" s="35" t="str">
        <f>IF(certifications[[#This Row],[ISSUE DATE]]="", "", TEXT(certifications[[#This Row],[ISSUE DATE]], "YYYY"))</f>
        <v>2013</v>
      </c>
    </row>
    <row r="1026" spans="1:12" s="29" customFormat="1" ht="23.95" customHeight="1" x14ac:dyDescent="0.3">
      <c r="A1026" s="31"/>
      <c r="B1026" s="24">
        <v>1013</v>
      </c>
      <c r="C1026" s="24" t="s">
        <v>1108</v>
      </c>
      <c r="D1026" s="24" t="s">
        <v>46</v>
      </c>
      <c r="E1026" s="24" t="s">
        <v>9</v>
      </c>
      <c r="F1026" s="24">
        <v>19236</v>
      </c>
      <c r="G1026" s="25">
        <v>45202</v>
      </c>
      <c r="H1026" s="25">
        <v>45933</v>
      </c>
      <c r="I1026" s="24" t="s">
        <v>10</v>
      </c>
      <c r="J1026" s="24" t="s">
        <v>38</v>
      </c>
      <c r="K1026" s="24" t="str">
        <f>IF(certifications[[#This Row],[ISSUE DATE]]="", "", TEXT(certifications[[#This Row],[ISSUE DATE]], "MMM"))</f>
        <v>Oct</v>
      </c>
      <c r="L1026" s="35" t="str">
        <f>IF(certifications[[#This Row],[ISSUE DATE]]="", "", TEXT(certifications[[#This Row],[ISSUE DATE]], "YYYY"))</f>
        <v>2023</v>
      </c>
    </row>
    <row r="1027" spans="1:12" s="29" customFormat="1" ht="23.95" customHeight="1" x14ac:dyDescent="0.3">
      <c r="A1027" s="31"/>
      <c r="B1027" s="24">
        <v>1014</v>
      </c>
      <c r="C1027" s="24" t="s">
        <v>1109</v>
      </c>
      <c r="D1027" s="24" t="s">
        <v>73</v>
      </c>
      <c r="E1027" s="24" t="s">
        <v>9</v>
      </c>
      <c r="F1027" s="24">
        <v>16661</v>
      </c>
      <c r="G1027" s="25">
        <v>44373</v>
      </c>
      <c r="H1027" s="25">
        <v>45103</v>
      </c>
      <c r="I1027" s="24" t="s">
        <v>16</v>
      </c>
      <c r="J1027" s="24" t="s">
        <v>30</v>
      </c>
      <c r="K1027" s="24" t="str">
        <f>IF(certifications[[#This Row],[ISSUE DATE]]="", "", TEXT(certifications[[#This Row],[ISSUE DATE]], "MMM"))</f>
        <v>Jun</v>
      </c>
      <c r="L1027" s="35" t="str">
        <f>IF(certifications[[#This Row],[ISSUE DATE]]="", "", TEXT(certifications[[#This Row],[ISSUE DATE]], "YYYY"))</f>
        <v>2021</v>
      </c>
    </row>
    <row r="1028" spans="1:12" s="29" customFormat="1" ht="23.95" customHeight="1" x14ac:dyDescent="0.3">
      <c r="A1028" s="31"/>
      <c r="B1028" s="24">
        <v>1015</v>
      </c>
      <c r="C1028" s="24" t="s">
        <v>1110</v>
      </c>
      <c r="D1028" s="24" t="s">
        <v>735</v>
      </c>
      <c r="E1028" s="24" t="s">
        <v>9</v>
      </c>
      <c r="F1028" s="24">
        <v>7387</v>
      </c>
      <c r="G1028" s="25">
        <v>40119</v>
      </c>
      <c r="H1028" s="25">
        <v>44502</v>
      </c>
      <c r="I1028" s="24" t="s">
        <v>16</v>
      </c>
      <c r="J1028" s="24" t="s">
        <v>19</v>
      </c>
      <c r="K1028" s="24" t="str">
        <f>IF(certifications[[#This Row],[ISSUE DATE]]="", "", TEXT(certifications[[#This Row],[ISSUE DATE]], "MMM"))</f>
        <v>Nov</v>
      </c>
      <c r="L1028" s="35" t="str">
        <f>IF(certifications[[#This Row],[ISSUE DATE]]="", "", TEXT(certifications[[#This Row],[ISSUE DATE]], "YYYY"))</f>
        <v>2009</v>
      </c>
    </row>
    <row r="1029" spans="1:12" s="29" customFormat="1" ht="23.95" customHeight="1" x14ac:dyDescent="0.3">
      <c r="A1029" s="31"/>
      <c r="B1029" s="24">
        <v>1016</v>
      </c>
      <c r="C1029" s="24" t="s">
        <v>1111</v>
      </c>
      <c r="D1029" s="24" t="s">
        <v>48</v>
      </c>
      <c r="E1029" s="24" t="s">
        <v>9</v>
      </c>
      <c r="F1029" s="24">
        <v>7622</v>
      </c>
      <c r="G1029" s="25">
        <v>40431</v>
      </c>
      <c r="H1029" s="25">
        <v>41162</v>
      </c>
      <c r="I1029" s="24" t="s">
        <v>16</v>
      </c>
      <c r="J1029" s="24" t="s">
        <v>38</v>
      </c>
      <c r="K1029" s="24" t="str">
        <f>IF(certifications[[#This Row],[ISSUE DATE]]="", "", TEXT(certifications[[#This Row],[ISSUE DATE]], "MMM"))</f>
        <v>Sep</v>
      </c>
      <c r="L1029" s="35" t="str">
        <f>IF(certifications[[#This Row],[ISSUE DATE]]="", "", TEXT(certifications[[#This Row],[ISSUE DATE]], "YYYY"))</f>
        <v>2010</v>
      </c>
    </row>
    <row r="1030" spans="1:12" s="29" customFormat="1" ht="23.95" customHeight="1" x14ac:dyDescent="0.3">
      <c r="A1030" s="31"/>
      <c r="B1030" s="24">
        <v>1017</v>
      </c>
      <c r="C1030" s="24" t="s">
        <v>1112</v>
      </c>
      <c r="D1030" s="24" t="s">
        <v>53</v>
      </c>
      <c r="E1030" s="24" t="s">
        <v>9</v>
      </c>
      <c r="F1030" s="24">
        <v>18767</v>
      </c>
      <c r="G1030" s="25">
        <v>45098</v>
      </c>
      <c r="H1030" s="25">
        <v>45829</v>
      </c>
      <c r="I1030" s="24" t="s">
        <v>10</v>
      </c>
      <c r="J1030" s="24" t="s">
        <v>25</v>
      </c>
      <c r="K1030" s="24" t="str">
        <f>IF(certifications[[#This Row],[ISSUE DATE]]="", "", TEXT(certifications[[#This Row],[ISSUE DATE]], "MMM"))</f>
        <v>Jun</v>
      </c>
      <c r="L1030" s="35" t="str">
        <f>IF(certifications[[#This Row],[ISSUE DATE]]="", "", TEXT(certifications[[#This Row],[ISSUE DATE]], "YYYY"))</f>
        <v>2023</v>
      </c>
    </row>
    <row r="1031" spans="1:12" s="29" customFormat="1" ht="23.95" customHeight="1" x14ac:dyDescent="0.3">
      <c r="A1031" s="31"/>
      <c r="B1031" s="24">
        <v>1018</v>
      </c>
      <c r="C1031" s="24" t="s">
        <v>1113</v>
      </c>
      <c r="D1031" s="24" t="s">
        <v>128</v>
      </c>
      <c r="E1031" s="24" t="s">
        <v>9</v>
      </c>
      <c r="F1031" s="24">
        <v>7443</v>
      </c>
      <c r="G1031" s="25">
        <v>40189</v>
      </c>
      <c r="H1031" s="25">
        <v>44572</v>
      </c>
      <c r="I1031" s="24" t="s">
        <v>16</v>
      </c>
      <c r="J1031" s="24" t="s">
        <v>14</v>
      </c>
      <c r="K1031" s="24" t="str">
        <f>IF(certifications[[#This Row],[ISSUE DATE]]="", "", TEXT(certifications[[#This Row],[ISSUE DATE]], "MMM"))</f>
        <v>Jan</v>
      </c>
      <c r="L1031" s="35" t="str">
        <f>IF(certifications[[#This Row],[ISSUE DATE]]="", "", TEXT(certifications[[#This Row],[ISSUE DATE]], "YYYY"))</f>
        <v>2010</v>
      </c>
    </row>
    <row r="1032" spans="1:12" s="29" customFormat="1" ht="23.95" customHeight="1" x14ac:dyDescent="0.3">
      <c r="A1032" s="31"/>
      <c r="B1032" s="24">
        <v>1019</v>
      </c>
      <c r="C1032" s="24" t="s">
        <v>1114</v>
      </c>
      <c r="D1032" s="24" t="s">
        <v>249</v>
      </c>
      <c r="E1032" s="24" t="s">
        <v>9</v>
      </c>
      <c r="F1032" s="24">
        <v>20463</v>
      </c>
      <c r="G1032" s="25">
        <v>45468</v>
      </c>
      <c r="H1032" s="25">
        <v>46198</v>
      </c>
      <c r="I1032" s="24" t="s">
        <v>10</v>
      </c>
      <c r="J1032" s="24" t="s">
        <v>30</v>
      </c>
      <c r="K1032" s="24" t="str">
        <f>IF(certifications[[#This Row],[ISSUE DATE]]="", "", TEXT(certifications[[#This Row],[ISSUE DATE]], "MMM"))</f>
        <v>Jun</v>
      </c>
      <c r="L1032" s="35" t="str">
        <f>IF(certifications[[#This Row],[ISSUE DATE]]="", "", TEXT(certifications[[#This Row],[ISSUE DATE]], "YYYY"))</f>
        <v>2024</v>
      </c>
    </row>
    <row r="1033" spans="1:12" s="29" customFormat="1" ht="23.95" customHeight="1" x14ac:dyDescent="0.3">
      <c r="A1033" s="31"/>
      <c r="B1033" s="24">
        <v>1020</v>
      </c>
      <c r="C1033" s="24" t="s">
        <v>1115</v>
      </c>
      <c r="D1033" s="24" t="s">
        <v>164</v>
      </c>
      <c r="E1033" s="24" t="s">
        <v>9</v>
      </c>
      <c r="F1033" s="24">
        <v>12221</v>
      </c>
      <c r="G1033" s="25">
        <v>43350</v>
      </c>
      <c r="H1033" s="25">
        <v>46272</v>
      </c>
      <c r="I1033" s="24" t="s">
        <v>10</v>
      </c>
      <c r="J1033" s="24" t="s">
        <v>22</v>
      </c>
      <c r="K1033" s="24" t="str">
        <f>IF(certifications[[#This Row],[ISSUE DATE]]="", "", TEXT(certifications[[#This Row],[ISSUE DATE]], "MMM"))</f>
        <v>Sep</v>
      </c>
      <c r="L1033" s="35" t="str">
        <f>IF(certifications[[#This Row],[ISSUE DATE]]="", "", TEXT(certifications[[#This Row],[ISSUE DATE]], "YYYY"))</f>
        <v>2018</v>
      </c>
    </row>
    <row r="1034" spans="1:12" s="29" customFormat="1" ht="23.95" customHeight="1" x14ac:dyDescent="0.3">
      <c r="A1034" s="31"/>
      <c r="B1034" s="24">
        <v>1021</v>
      </c>
      <c r="C1034" s="24" t="s">
        <v>1116</v>
      </c>
      <c r="D1034" s="24" t="s">
        <v>182</v>
      </c>
      <c r="E1034" s="24" t="s">
        <v>26</v>
      </c>
      <c r="F1034" s="24">
        <v>17896</v>
      </c>
      <c r="G1034" s="25">
        <v>44839</v>
      </c>
      <c r="H1034" s="25">
        <v>46300</v>
      </c>
      <c r="I1034" s="24" t="s">
        <v>10</v>
      </c>
      <c r="J1034" s="24" t="s">
        <v>14</v>
      </c>
      <c r="K1034" s="24" t="str">
        <f>IF(certifications[[#This Row],[ISSUE DATE]]="", "", TEXT(certifications[[#This Row],[ISSUE DATE]], "MMM"))</f>
        <v>Oct</v>
      </c>
      <c r="L1034" s="35" t="str">
        <f>IF(certifications[[#This Row],[ISSUE DATE]]="", "", TEXT(certifications[[#This Row],[ISSUE DATE]], "YYYY"))</f>
        <v>2022</v>
      </c>
    </row>
    <row r="1035" spans="1:12" s="29" customFormat="1" ht="23.95" customHeight="1" x14ac:dyDescent="0.3">
      <c r="A1035" s="31"/>
      <c r="B1035" s="24">
        <v>1022</v>
      </c>
      <c r="C1035" s="24" t="s">
        <v>1117</v>
      </c>
      <c r="D1035" s="24" t="s">
        <v>722</v>
      </c>
      <c r="E1035" s="24" t="s">
        <v>9</v>
      </c>
      <c r="F1035" s="24">
        <v>14955</v>
      </c>
      <c r="G1035" s="25">
        <v>43818</v>
      </c>
      <c r="H1035" s="25">
        <v>44549</v>
      </c>
      <c r="I1035" s="24" t="s">
        <v>16</v>
      </c>
      <c r="J1035" s="24" t="s">
        <v>30</v>
      </c>
      <c r="K1035" s="24" t="str">
        <f>IF(certifications[[#This Row],[ISSUE DATE]]="", "", TEXT(certifications[[#This Row],[ISSUE DATE]], "MMM"))</f>
        <v>Dec</v>
      </c>
      <c r="L1035" s="35" t="str">
        <f>IF(certifications[[#This Row],[ISSUE DATE]]="", "", TEXT(certifications[[#This Row],[ISSUE DATE]], "YYYY"))</f>
        <v>2019</v>
      </c>
    </row>
    <row r="1036" spans="1:12" s="29" customFormat="1" ht="23.95" customHeight="1" x14ac:dyDescent="0.3">
      <c r="A1036" s="31"/>
      <c r="B1036" s="24">
        <v>1023</v>
      </c>
      <c r="C1036" s="24" t="s">
        <v>1118</v>
      </c>
      <c r="D1036" s="24" t="s">
        <v>238</v>
      </c>
      <c r="E1036" s="24" t="s">
        <v>9</v>
      </c>
      <c r="F1036" s="24">
        <v>9345</v>
      </c>
      <c r="G1036" s="25">
        <v>42258</v>
      </c>
      <c r="H1036" s="25">
        <v>43719</v>
      </c>
      <c r="I1036" s="24" t="s">
        <v>16</v>
      </c>
      <c r="J1036" s="24" t="s">
        <v>38</v>
      </c>
      <c r="K1036" s="24" t="str">
        <f>IF(certifications[[#This Row],[ISSUE DATE]]="", "", TEXT(certifications[[#This Row],[ISSUE DATE]], "MMM"))</f>
        <v>Sep</v>
      </c>
      <c r="L1036" s="35" t="str">
        <f>IF(certifications[[#This Row],[ISSUE DATE]]="", "", TEXT(certifications[[#This Row],[ISSUE DATE]], "YYYY"))</f>
        <v>2015</v>
      </c>
    </row>
    <row r="1037" spans="1:12" s="29" customFormat="1" ht="23.95" customHeight="1" x14ac:dyDescent="0.3">
      <c r="A1037" s="31"/>
      <c r="B1037" s="24">
        <v>1024</v>
      </c>
      <c r="C1037" s="24" t="s">
        <v>1119</v>
      </c>
      <c r="D1037" s="24" t="s">
        <v>32</v>
      </c>
      <c r="E1037" s="24" t="s">
        <v>9</v>
      </c>
      <c r="F1037" s="24">
        <v>17436</v>
      </c>
      <c r="G1037" s="25">
        <v>44693</v>
      </c>
      <c r="H1037" s="25">
        <v>45424</v>
      </c>
      <c r="I1037" s="24" t="s">
        <v>16</v>
      </c>
      <c r="J1037" s="24" t="s">
        <v>33</v>
      </c>
      <c r="K1037" s="24" t="str">
        <f>IF(certifications[[#This Row],[ISSUE DATE]]="", "", TEXT(certifications[[#This Row],[ISSUE DATE]], "MMM"))</f>
        <v>May</v>
      </c>
      <c r="L1037" s="35" t="str">
        <f>IF(certifications[[#This Row],[ISSUE DATE]]="", "", TEXT(certifications[[#This Row],[ISSUE DATE]], "YYYY"))</f>
        <v>2022</v>
      </c>
    </row>
    <row r="1038" spans="1:12" s="29" customFormat="1" ht="23.95" customHeight="1" x14ac:dyDescent="0.3">
      <c r="A1038" s="31"/>
      <c r="B1038" s="24">
        <v>1025</v>
      </c>
      <c r="C1038" s="24" t="s">
        <v>1120</v>
      </c>
      <c r="D1038" s="24" t="s">
        <v>1121</v>
      </c>
      <c r="E1038" s="24" t="s">
        <v>9</v>
      </c>
      <c r="F1038" s="24">
        <v>16058</v>
      </c>
      <c r="G1038" s="25">
        <v>45139</v>
      </c>
      <c r="H1038" s="25">
        <v>46458</v>
      </c>
      <c r="I1038" s="24" t="s">
        <v>10</v>
      </c>
      <c r="J1038" s="24" t="s">
        <v>11</v>
      </c>
      <c r="K1038" s="24" t="str">
        <f>IF(certifications[[#This Row],[ISSUE DATE]]="", "", TEXT(certifications[[#This Row],[ISSUE DATE]], "MMM"))</f>
        <v>Aug</v>
      </c>
      <c r="L1038" s="35" t="str">
        <f>IF(certifications[[#This Row],[ISSUE DATE]]="", "", TEXT(certifications[[#This Row],[ISSUE DATE]], "YYYY"))</f>
        <v>2023</v>
      </c>
    </row>
    <row r="1039" spans="1:12" s="29" customFormat="1" ht="23.95" customHeight="1" x14ac:dyDescent="0.3">
      <c r="A1039" s="31"/>
      <c r="B1039" s="24">
        <v>1026</v>
      </c>
      <c r="C1039" s="24" t="s">
        <v>1120</v>
      </c>
      <c r="D1039" s="24" t="s">
        <v>1121</v>
      </c>
      <c r="E1039" s="24" t="s">
        <v>26</v>
      </c>
      <c r="F1039" s="24">
        <v>16058</v>
      </c>
      <c r="G1039" s="25">
        <v>45128</v>
      </c>
      <c r="H1039" s="25">
        <v>46458</v>
      </c>
      <c r="I1039" s="24" t="s">
        <v>10</v>
      </c>
      <c r="J1039" s="24" t="s">
        <v>11</v>
      </c>
      <c r="K1039" s="24" t="str">
        <f>IF(certifications[[#This Row],[ISSUE DATE]]="", "", TEXT(certifications[[#This Row],[ISSUE DATE]], "MMM"))</f>
        <v>Jul</v>
      </c>
      <c r="L1039" s="35" t="str">
        <f>IF(certifications[[#This Row],[ISSUE DATE]]="", "", TEXT(certifications[[#This Row],[ISSUE DATE]], "YYYY"))</f>
        <v>2023</v>
      </c>
    </row>
    <row r="1040" spans="1:12" s="29" customFormat="1" ht="23.95" customHeight="1" x14ac:dyDescent="0.3">
      <c r="A1040" s="31"/>
      <c r="B1040" s="24">
        <v>1027</v>
      </c>
      <c r="C1040" s="24" t="s">
        <v>1122</v>
      </c>
      <c r="D1040" s="24" t="s">
        <v>173</v>
      </c>
      <c r="E1040" s="24" t="s">
        <v>9</v>
      </c>
      <c r="F1040" s="24">
        <v>12831</v>
      </c>
      <c r="G1040" s="25">
        <v>43504</v>
      </c>
      <c r="H1040" s="25">
        <v>44235</v>
      </c>
      <c r="I1040" s="24" t="s">
        <v>16</v>
      </c>
      <c r="J1040" s="24" t="s">
        <v>11</v>
      </c>
      <c r="K1040" s="24" t="str">
        <f>IF(certifications[[#This Row],[ISSUE DATE]]="", "", TEXT(certifications[[#This Row],[ISSUE DATE]], "MMM"))</f>
        <v>Feb</v>
      </c>
      <c r="L1040" s="35" t="str">
        <f>IF(certifications[[#This Row],[ISSUE DATE]]="", "", TEXT(certifications[[#This Row],[ISSUE DATE]], "YYYY"))</f>
        <v>2019</v>
      </c>
    </row>
    <row r="1041" spans="1:12" s="29" customFormat="1" ht="23.95" customHeight="1" x14ac:dyDescent="0.3">
      <c r="A1041" s="31"/>
      <c r="B1041" s="24">
        <v>1028</v>
      </c>
      <c r="C1041" s="24" t="s">
        <v>1123</v>
      </c>
      <c r="D1041" s="24" t="s">
        <v>32</v>
      </c>
      <c r="E1041" s="24" t="s">
        <v>9</v>
      </c>
      <c r="F1041" s="24">
        <v>20883</v>
      </c>
      <c r="G1041" s="25">
        <v>45560</v>
      </c>
      <c r="H1041" s="25">
        <v>46290</v>
      </c>
      <c r="I1041" s="24" t="s">
        <v>10</v>
      </c>
      <c r="J1041" s="24" t="s">
        <v>33</v>
      </c>
      <c r="K1041" s="24" t="str">
        <f>IF(certifications[[#This Row],[ISSUE DATE]]="", "", TEXT(certifications[[#This Row],[ISSUE DATE]], "MMM"))</f>
        <v>Sep</v>
      </c>
      <c r="L1041" s="35" t="str">
        <f>IF(certifications[[#This Row],[ISSUE DATE]]="", "", TEXT(certifications[[#This Row],[ISSUE DATE]], "YYYY"))</f>
        <v>2024</v>
      </c>
    </row>
    <row r="1042" spans="1:12" s="29" customFormat="1" ht="23.95" customHeight="1" x14ac:dyDescent="0.3">
      <c r="A1042" s="31"/>
      <c r="B1042" s="24">
        <v>1029</v>
      </c>
      <c r="C1042" s="24" t="s">
        <v>1124</v>
      </c>
      <c r="D1042" s="24" t="s">
        <v>845</v>
      </c>
      <c r="E1042" s="24" t="s">
        <v>9</v>
      </c>
      <c r="F1042" s="24">
        <v>12717</v>
      </c>
      <c r="G1042" s="25">
        <v>43479</v>
      </c>
      <c r="H1042" s="25">
        <v>44210</v>
      </c>
      <c r="I1042" s="24" t="s">
        <v>16</v>
      </c>
      <c r="J1042" s="24" t="s">
        <v>30</v>
      </c>
      <c r="K1042" s="24" t="str">
        <f>IF(certifications[[#This Row],[ISSUE DATE]]="", "", TEXT(certifications[[#This Row],[ISSUE DATE]], "MMM"))</f>
        <v>Jan</v>
      </c>
      <c r="L1042" s="35" t="str">
        <f>IF(certifications[[#This Row],[ISSUE DATE]]="", "", TEXT(certifications[[#This Row],[ISSUE DATE]], "YYYY"))</f>
        <v>2019</v>
      </c>
    </row>
    <row r="1043" spans="1:12" s="29" customFormat="1" ht="23.95" customHeight="1" x14ac:dyDescent="0.3">
      <c r="A1043" s="31"/>
      <c r="B1043" s="24">
        <v>1030</v>
      </c>
      <c r="C1043" s="24" t="s">
        <v>1125</v>
      </c>
      <c r="D1043" s="24" t="s">
        <v>1126</v>
      </c>
      <c r="E1043" s="24" t="s">
        <v>9</v>
      </c>
      <c r="F1043" s="24">
        <v>10302</v>
      </c>
      <c r="G1043" s="25">
        <v>42915</v>
      </c>
      <c r="H1043" s="25">
        <v>45837</v>
      </c>
      <c r="I1043" s="24" t="s">
        <v>10</v>
      </c>
      <c r="J1043" s="24" t="s">
        <v>14</v>
      </c>
      <c r="K1043" s="24" t="str">
        <f>IF(certifications[[#This Row],[ISSUE DATE]]="", "", TEXT(certifications[[#This Row],[ISSUE DATE]], "MMM"))</f>
        <v>Jun</v>
      </c>
      <c r="L1043" s="35" t="str">
        <f>IF(certifications[[#This Row],[ISSUE DATE]]="", "", TEXT(certifications[[#This Row],[ISSUE DATE]], "YYYY"))</f>
        <v>2017</v>
      </c>
    </row>
    <row r="1044" spans="1:12" s="29" customFormat="1" ht="23.95" customHeight="1" x14ac:dyDescent="0.3">
      <c r="A1044" s="31"/>
      <c r="B1044" s="24">
        <v>1031</v>
      </c>
      <c r="C1044" s="3" t="s">
        <v>1125</v>
      </c>
      <c r="D1044" s="3" t="s">
        <v>1126</v>
      </c>
      <c r="E1044" s="3" t="s">
        <v>27</v>
      </c>
      <c r="F1044" s="3">
        <v>10302</v>
      </c>
      <c r="G1044" s="4">
        <v>44672</v>
      </c>
      <c r="H1044" s="4">
        <v>45837</v>
      </c>
      <c r="I1044" s="3" t="s">
        <v>10</v>
      </c>
      <c r="J1044" s="3" t="s">
        <v>14</v>
      </c>
      <c r="K1044" s="3" t="str">
        <f>IF(certifications[[#This Row],[ISSUE DATE]]="", "", TEXT(certifications[[#This Row],[ISSUE DATE]], "MMM"))</f>
        <v>Apr</v>
      </c>
      <c r="L1044" s="36" t="str">
        <f>IF(certifications[[#This Row],[ISSUE DATE]]="", "", TEXT(certifications[[#This Row],[ISSUE DATE]], "YYYY"))</f>
        <v>2022</v>
      </c>
    </row>
    <row r="1045" spans="1:12" s="29" customFormat="1" ht="23.95" customHeight="1" x14ac:dyDescent="0.3">
      <c r="A1045" s="31"/>
      <c r="B1045" s="24">
        <v>1032</v>
      </c>
      <c r="C1045" s="24" t="s">
        <v>1127</v>
      </c>
      <c r="D1045" s="24" t="s">
        <v>1128</v>
      </c>
      <c r="E1045" s="24" t="s">
        <v>9</v>
      </c>
      <c r="F1045" s="24">
        <v>8822</v>
      </c>
      <c r="G1045" s="25">
        <v>41816</v>
      </c>
      <c r="H1045" s="25">
        <v>44008</v>
      </c>
      <c r="I1045" s="24" t="s">
        <v>16</v>
      </c>
      <c r="J1045" s="24" t="s">
        <v>30</v>
      </c>
      <c r="K1045" s="24" t="str">
        <f>IF(certifications[[#This Row],[ISSUE DATE]]="", "", TEXT(certifications[[#This Row],[ISSUE DATE]], "MMM"))</f>
        <v>Jun</v>
      </c>
      <c r="L1045" s="35" t="str">
        <f>IF(certifications[[#This Row],[ISSUE DATE]]="", "", TEXT(certifications[[#This Row],[ISSUE DATE]], "YYYY"))</f>
        <v>2014</v>
      </c>
    </row>
    <row r="1046" spans="1:12" s="29" customFormat="1" ht="23.95" customHeight="1" x14ac:dyDescent="0.3">
      <c r="A1046" s="31"/>
      <c r="B1046" s="24">
        <v>1033</v>
      </c>
      <c r="C1046" s="24" t="s">
        <v>1129</v>
      </c>
      <c r="D1046" s="24" t="s">
        <v>32</v>
      </c>
      <c r="E1046" s="24" t="s">
        <v>9</v>
      </c>
      <c r="F1046" s="24">
        <v>21009</v>
      </c>
      <c r="G1046" s="25">
        <v>45586</v>
      </c>
      <c r="H1046" s="25">
        <v>46316</v>
      </c>
      <c r="I1046" s="24" t="s">
        <v>10</v>
      </c>
      <c r="J1046" s="24" t="s">
        <v>33</v>
      </c>
      <c r="K1046" s="24" t="str">
        <f>IF(certifications[[#This Row],[ISSUE DATE]]="", "", TEXT(certifications[[#This Row],[ISSUE DATE]], "MMM"))</f>
        <v>Oct</v>
      </c>
      <c r="L1046" s="35" t="str">
        <f>IF(certifications[[#This Row],[ISSUE DATE]]="", "", TEXT(certifications[[#This Row],[ISSUE DATE]], "YYYY"))</f>
        <v>2024</v>
      </c>
    </row>
    <row r="1047" spans="1:12" s="29" customFormat="1" ht="23.95" customHeight="1" x14ac:dyDescent="0.3">
      <c r="A1047" s="31"/>
      <c r="B1047" s="24">
        <v>1034</v>
      </c>
      <c r="C1047" s="24" t="s">
        <v>1129</v>
      </c>
      <c r="D1047" s="24" t="s">
        <v>32</v>
      </c>
      <c r="E1047" s="24" t="s">
        <v>26</v>
      </c>
      <c r="F1047" s="24">
        <v>21009</v>
      </c>
      <c r="G1047" s="25">
        <v>45581</v>
      </c>
      <c r="H1047" s="25">
        <v>46311</v>
      </c>
      <c r="I1047" s="24" t="s">
        <v>10</v>
      </c>
      <c r="J1047" s="24" t="s">
        <v>33</v>
      </c>
      <c r="K1047" s="24" t="str">
        <f>IF(certifications[[#This Row],[ISSUE DATE]]="", "", TEXT(certifications[[#This Row],[ISSUE DATE]], "MMM"))</f>
        <v>Oct</v>
      </c>
      <c r="L1047" s="35" t="str">
        <f>IF(certifications[[#This Row],[ISSUE DATE]]="", "", TEXT(certifications[[#This Row],[ISSUE DATE]], "YYYY"))</f>
        <v>2024</v>
      </c>
    </row>
    <row r="1048" spans="1:12" s="29" customFormat="1" ht="23.95" customHeight="1" x14ac:dyDescent="0.3">
      <c r="A1048" s="31"/>
      <c r="B1048" s="24">
        <v>1035</v>
      </c>
      <c r="C1048" s="24" t="s">
        <v>1130</v>
      </c>
      <c r="D1048" s="24" t="s">
        <v>32</v>
      </c>
      <c r="E1048" s="24" t="s">
        <v>9</v>
      </c>
      <c r="F1048" s="24">
        <v>19714</v>
      </c>
      <c r="G1048" s="25">
        <v>45301</v>
      </c>
      <c r="H1048" s="25">
        <v>46032</v>
      </c>
      <c r="I1048" s="24" t="s">
        <v>10</v>
      </c>
      <c r="J1048" s="24" t="s">
        <v>33</v>
      </c>
      <c r="K1048" s="24" t="str">
        <f>IF(certifications[[#This Row],[ISSUE DATE]]="", "", TEXT(certifications[[#This Row],[ISSUE DATE]], "MMM"))</f>
        <v>Jan</v>
      </c>
      <c r="L1048" s="35" t="str">
        <f>IF(certifications[[#This Row],[ISSUE DATE]]="", "", TEXT(certifications[[#This Row],[ISSUE DATE]], "YYYY"))</f>
        <v>2024</v>
      </c>
    </row>
    <row r="1049" spans="1:12" s="29" customFormat="1" ht="23.95" customHeight="1" x14ac:dyDescent="0.3">
      <c r="A1049" s="31"/>
      <c r="B1049" s="24">
        <v>1036</v>
      </c>
      <c r="C1049" s="24" t="s">
        <v>1131</v>
      </c>
      <c r="D1049" s="24" t="s">
        <v>32</v>
      </c>
      <c r="E1049" s="24" t="s">
        <v>9</v>
      </c>
      <c r="F1049" s="24">
        <v>9603</v>
      </c>
      <c r="G1049" s="25">
        <v>42513</v>
      </c>
      <c r="H1049" s="25">
        <v>43243</v>
      </c>
      <c r="I1049" s="24" t="s">
        <v>16</v>
      </c>
      <c r="J1049" s="24" t="s">
        <v>33</v>
      </c>
      <c r="K1049" s="24" t="str">
        <f>IF(certifications[[#This Row],[ISSUE DATE]]="", "", TEXT(certifications[[#This Row],[ISSUE DATE]], "MMM"))</f>
        <v>May</v>
      </c>
      <c r="L1049" s="35" t="str">
        <f>IF(certifications[[#This Row],[ISSUE DATE]]="", "", TEXT(certifications[[#This Row],[ISSUE DATE]], "YYYY"))</f>
        <v>2016</v>
      </c>
    </row>
    <row r="1050" spans="1:12" s="29" customFormat="1" ht="23.95" customHeight="1" x14ac:dyDescent="0.3">
      <c r="A1050" s="31"/>
      <c r="B1050" s="24">
        <v>1037</v>
      </c>
      <c r="C1050" s="24" t="s">
        <v>1132</v>
      </c>
      <c r="D1050" s="24" t="s">
        <v>32</v>
      </c>
      <c r="E1050" s="24" t="s">
        <v>9</v>
      </c>
      <c r="F1050" s="24">
        <v>11344</v>
      </c>
      <c r="G1050" s="25">
        <v>43227</v>
      </c>
      <c r="H1050" s="25">
        <v>43958</v>
      </c>
      <c r="I1050" s="24" t="s">
        <v>16</v>
      </c>
      <c r="J1050" s="24" t="s">
        <v>33</v>
      </c>
      <c r="K1050" s="24" t="str">
        <f>IF(certifications[[#This Row],[ISSUE DATE]]="", "", TEXT(certifications[[#This Row],[ISSUE DATE]], "MMM"))</f>
        <v>May</v>
      </c>
      <c r="L1050" s="35" t="str">
        <f>IF(certifications[[#This Row],[ISSUE DATE]]="", "", TEXT(certifications[[#This Row],[ISSUE DATE]], "YYYY"))</f>
        <v>2018</v>
      </c>
    </row>
    <row r="1051" spans="1:12" s="29" customFormat="1" ht="23.95" customHeight="1" x14ac:dyDescent="0.3">
      <c r="A1051" s="31"/>
      <c r="B1051" s="24">
        <v>1038</v>
      </c>
      <c r="C1051" s="24" t="s">
        <v>1133</v>
      </c>
      <c r="D1051" s="24" t="s">
        <v>179</v>
      </c>
      <c r="E1051" s="24" t="s">
        <v>9</v>
      </c>
      <c r="F1051" s="24">
        <v>22101</v>
      </c>
      <c r="G1051" s="25">
        <v>45812</v>
      </c>
      <c r="H1051" s="25">
        <v>46543</v>
      </c>
      <c r="I1051" s="24" t="s">
        <v>10</v>
      </c>
      <c r="J1051" s="24" t="s">
        <v>14</v>
      </c>
      <c r="K1051" s="24" t="str">
        <f>IF(certifications[[#This Row],[ISSUE DATE]]="", "", TEXT(certifications[[#This Row],[ISSUE DATE]], "MMM"))</f>
        <v>Jun</v>
      </c>
      <c r="L1051" s="35" t="str">
        <f>IF(certifications[[#This Row],[ISSUE DATE]]="", "", TEXT(certifications[[#This Row],[ISSUE DATE]], "YYYY"))</f>
        <v>2025</v>
      </c>
    </row>
    <row r="1052" spans="1:12" s="29" customFormat="1" ht="23.95" customHeight="1" x14ac:dyDescent="0.3">
      <c r="A1052" s="31"/>
      <c r="B1052" s="24">
        <v>1039</v>
      </c>
      <c r="C1052" s="24" t="s">
        <v>1134</v>
      </c>
      <c r="D1052" s="24" t="s">
        <v>13</v>
      </c>
      <c r="E1052" s="24" t="s">
        <v>9</v>
      </c>
      <c r="F1052" s="24">
        <v>8049</v>
      </c>
      <c r="G1052" s="25">
        <v>40977</v>
      </c>
      <c r="H1052" s="25">
        <v>46090</v>
      </c>
      <c r="I1052" s="24" t="s">
        <v>10</v>
      </c>
      <c r="J1052" s="24" t="s">
        <v>14</v>
      </c>
      <c r="K1052" s="24" t="str">
        <f>IF(certifications[[#This Row],[ISSUE DATE]]="", "", TEXT(certifications[[#This Row],[ISSUE DATE]], "MMM"))</f>
        <v>Mar</v>
      </c>
      <c r="L1052" s="35" t="str">
        <f>IF(certifications[[#This Row],[ISSUE DATE]]="", "", TEXT(certifications[[#This Row],[ISSUE DATE]], "YYYY"))</f>
        <v>2012</v>
      </c>
    </row>
    <row r="1053" spans="1:12" s="29" customFormat="1" ht="23.95" customHeight="1" x14ac:dyDescent="0.3">
      <c r="A1053" s="31"/>
      <c r="B1053" s="24">
        <v>1040</v>
      </c>
      <c r="C1053" s="24" t="s">
        <v>1135</v>
      </c>
      <c r="D1053" s="24" t="s">
        <v>148</v>
      </c>
      <c r="E1053" s="24" t="s">
        <v>26</v>
      </c>
      <c r="F1053" s="24">
        <v>14979</v>
      </c>
      <c r="G1053" s="25">
        <v>43829</v>
      </c>
      <c r="H1053" s="25">
        <v>44560</v>
      </c>
      <c r="I1053" s="24" t="s">
        <v>16</v>
      </c>
      <c r="J1053" s="24" t="s">
        <v>14</v>
      </c>
      <c r="K1053" s="24" t="str">
        <f>IF(certifications[[#This Row],[ISSUE DATE]]="", "", TEXT(certifications[[#This Row],[ISSUE DATE]], "MMM"))</f>
        <v>Dec</v>
      </c>
      <c r="L1053" s="35" t="str">
        <f>IF(certifications[[#This Row],[ISSUE DATE]]="", "", TEXT(certifications[[#This Row],[ISSUE DATE]], "YYYY"))</f>
        <v>2019</v>
      </c>
    </row>
    <row r="1054" spans="1:12" s="29" customFormat="1" ht="23.95" customHeight="1" x14ac:dyDescent="0.3">
      <c r="A1054" s="31"/>
      <c r="B1054" s="24">
        <v>1041</v>
      </c>
      <c r="C1054" s="24" t="s">
        <v>1136</v>
      </c>
      <c r="D1054" s="24" t="s">
        <v>141</v>
      </c>
      <c r="E1054" s="24" t="s">
        <v>9</v>
      </c>
      <c r="F1054" s="24">
        <v>22096</v>
      </c>
      <c r="G1054" s="25">
        <v>45812</v>
      </c>
      <c r="H1054" s="25">
        <v>46542</v>
      </c>
      <c r="I1054" s="24" t="s">
        <v>10</v>
      </c>
      <c r="J1054" s="24" t="s">
        <v>38</v>
      </c>
      <c r="K1054" s="24" t="str">
        <f>IF(certifications[[#This Row],[ISSUE DATE]]="", "", TEXT(certifications[[#This Row],[ISSUE DATE]], "MMM"))</f>
        <v>Jun</v>
      </c>
      <c r="L1054" s="35" t="str">
        <f>IF(certifications[[#This Row],[ISSUE DATE]]="", "", TEXT(certifications[[#This Row],[ISSUE DATE]], "YYYY"))</f>
        <v>2025</v>
      </c>
    </row>
    <row r="1055" spans="1:12" s="29" customFormat="1" ht="23.95" customHeight="1" x14ac:dyDescent="0.3">
      <c r="A1055" s="31"/>
      <c r="B1055" s="24">
        <v>1042</v>
      </c>
      <c r="C1055" s="24" t="s">
        <v>1137</v>
      </c>
      <c r="D1055" s="24" t="s">
        <v>48</v>
      </c>
      <c r="E1055" s="24" t="s">
        <v>9</v>
      </c>
      <c r="F1055" s="24">
        <v>8047</v>
      </c>
      <c r="G1055" s="25">
        <v>40977</v>
      </c>
      <c r="H1055" s="25">
        <v>43899</v>
      </c>
      <c r="I1055" s="24" t="s">
        <v>16</v>
      </c>
      <c r="J1055" s="24" t="s">
        <v>38</v>
      </c>
      <c r="K1055" s="24" t="str">
        <f>IF(certifications[[#This Row],[ISSUE DATE]]="", "", TEXT(certifications[[#This Row],[ISSUE DATE]], "MMM"))</f>
        <v>Mar</v>
      </c>
      <c r="L1055" s="35" t="str">
        <f>IF(certifications[[#This Row],[ISSUE DATE]]="", "", TEXT(certifications[[#This Row],[ISSUE DATE]], "YYYY"))</f>
        <v>2012</v>
      </c>
    </row>
    <row r="1056" spans="1:12" s="29" customFormat="1" ht="23.95" customHeight="1" x14ac:dyDescent="0.3">
      <c r="A1056" s="31"/>
      <c r="B1056" s="24">
        <v>1043</v>
      </c>
      <c r="C1056" s="24" t="s">
        <v>1138</v>
      </c>
      <c r="D1056" s="24" t="s">
        <v>1139</v>
      </c>
      <c r="E1056" s="24" t="s">
        <v>9</v>
      </c>
      <c r="F1056" s="24">
        <v>12045</v>
      </c>
      <c r="G1056" s="25">
        <v>43313</v>
      </c>
      <c r="H1056" s="25">
        <v>44044</v>
      </c>
      <c r="I1056" s="24" t="s">
        <v>16</v>
      </c>
      <c r="J1056" s="24" t="s">
        <v>22</v>
      </c>
      <c r="K1056" s="24" t="str">
        <f>IF(certifications[[#This Row],[ISSUE DATE]]="", "", TEXT(certifications[[#This Row],[ISSUE DATE]], "MMM"))</f>
        <v>Aug</v>
      </c>
      <c r="L1056" s="35" t="str">
        <f>IF(certifications[[#This Row],[ISSUE DATE]]="", "", TEXT(certifications[[#This Row],[ISSUE DATE]], "YYYY"))</f>
        <v>2018</v>
      </c>
    </row>
    <row r="1057" spans="1:12" s="29" customFormat="1" ht="23.95" customHeight="1" x14ac:dyDescent="0.3">
      <c r="A1057" s="31"/>
      <c r="B1057" s="24">
        <v>1044</v>
      </c>
      <c r="C1057" s="24" t="s">
        <v>1140</v>
      </c>
      <c r="D1057" s="24" t="s">
        <v>32</v>
      </c>
      <c r="E1057" s="24" t="s">
        <v>9</v>
      </c>
      <c r="F1057" s="24">
        <v>17767</v>
      </c>
      <c r="G1057" s="25">
        <v>44791</v>
      </c>
      <c r="H1057" s="25">
        <v>46252</v>
      </c>
      <c r="I1057" s="24" t="s">
        <v>10</v>
      </c>
      <c r="J1057" s="24" t="s">
        <v>33</v>
      </c>
      <c r="K1057" s="24" t="str">
        <f>IF(certifications[[#This Row],[ISSUE DATE]]="", "", TEXT(certifications[[#This Row],[ISSUE DATE]], "MMM"))</f>
        <v>Aug</v>
      </c>
      <c r="L1057" s="35" t="str">
        <f>IF(certifications[[#This Row],[ISSUE DATE]]="", "", TEXT(certifications[[#This Row],[ISSUE DATE]], "YYYY"))</f>
        <v>2022</v>
      </c>
    </row>
    <row r="1058" spans="1:12" s="29" customFormat="1" ht="23.95" customHeight="1" x14ac:dyDescent="0.3">
      <c r="A1058" s="31"/>
      <c r="B1058" s="24">
        <v>1045</v>
      </c>
      <c r="C1058" s="24" t="s">
        <v>1141</v>
      </c>
      <c r="D1058" s="24" t="s">
        <v>1142</v>
      </c>
      <c r="E1058" s="24" t="s">
        <v>26</v>
      </c>
      <c r="F1058" s="24">
        <v>20357</v>
      </c>
      <c r="G1058" s="25">
        <v>45443</v>
      </c>
      <c r="H1058" s="25">
        <v>46173</v>
      </c>
      <c r="I1058" s="24" t="s">
        <v>10</v>
      </c>
      <c r="J1058" s="24" t="s">
        <v>38</v>
      </c>
      <c r="K1058" s="24" t="str">
        <f>IF(certifications[[#This Row],[ISSUE DATE]]="", "", TEXT(certifications[[#This Row],[ISSUE DATE]], "MMM"))</f>
        <v>May</v>
      </c>
      <c r="L1058" s="35" t="str">
        <f>IF(certifications[[#This Row],[ISSUE DATE]]="", "", TEXT(certifications[[#This Row],[ISSUE DATE]], "YYYY"))</f>
        <v>2024</v>
      </c>
    </row>
    <row r="1059" spans="1:12" s="29" customFormat="1" ht="23.95" customHeight="1" x14ac:dyDescent="0.3">
      <c r="A1059" s="31"/>
      <c r="B1059" s="24">
        <v>1046</v>
      </c>
      <c r="C1059" s="24" t="s">
        <v>1143</v>
      </c>
      <c r="D1059" s="24" t="s">
        <v>32</v>
      </c>
      <c r="E1059" s="24" t="s">
        <v>9</v>
      </c>
      <c r="F1059" s="24">
        <v>12852</v>
      </c>
      <c r="G1059" s="25">
        <v>43599</v>
      </c>
      <c r="H1059" s="25">
        <v>46430</v>
      </c>
      <c r="I1059" s="24" t="s">
        <v>10</v>
      </c>
      <c r="J1059" s="24" t="s">
        <v>33</v>
      </c>
      <c r="K1059" s="24" t="str">
        <f>IF(certifications[[#This Row],[ISSUE DATE]]="", "", TEXT(certifications[[#This Row],[ISSUE DATE]], "MMM"))</f>
        <v>May</v>
      </c>
      <c r="L1059" s="35" t="str">
        <f>IF(certifications[[#This Row],[ISSUE DATE]]="", "", TEXT(certifications[[#This Row],[ISSUE DATE]], "YYYY"))</f>
        <v>2019</v>
      </c>
    </row>
    <row r="1060" spans="1:12" s="29" customFormat="1" ht="23.95" customHeight="1" x14ac:dyDescent="0.3">
      <c r="A1060" s="31"/>
      <c r="B1060" s="24">
        <v>1047</v>
      </c>
      <c r="C1060" s="24" t="s">
        <v>1144</v>
      </c>
      <c r="D1060" s="24" t="s">
        <v>1145</v>
      </c>
      <c r="E1060" s="24" t="s">
        <v>9</v>
      </c>
      <c r="F1060" s="24">
        <v>12785</v>
      </c>
      <c r="G1060" s="25">
        <v>43490</v>
      </c>
      <c r="H1060" s="25">
        <v>44221</v>
      </c>
      <c r="I1060" s="24" t="s">
        <v>16</v>
      </c>
      <c r="J1060" s="24" t="s">
        <v>14</v>
      </c>
      <c r="K1060" s="24" t="str">
        <f>IF(certifications[[#This Row],[ISSUE DATE]]="", "", TEXT(certifications[[#This Row],[ISSUE DATE]], "MMM"))</f>
        <v>Jan</v>
      </c>
      <c r="L1060" s="35" t="str">
        <f>IF(certifications[[#This Row],[ISSUE DATE]]="", "", TEXT(certifications[[#This Row],[ISSUE DATE]], "YYYY"))</f>
        <v>2019</v>
      </c>
    </row>
    <row r="1061" spans="1:12" s="29" customFormat="1" ht="23.95" customHeight="1" x14ac:dyDescent="0.3">
      <c r="A1061" s="31"/>
      <c r="B1061" s="24">
        <v>1048</v>
      </c>
      <c r="C1061" s="24" t="s">
        <v>1146</v>
      </c>
      <c r="D1061" s="24" t="s">
        <v>13</v>
      </c>
      <c r="E1061" s="24" t="s">
        <v>9</v>
      </c>
      <c r="F1061" s="24">
        <v>12841</v>
      </c>
      <c r="G1061" s="25">
        <v>43504</v>
      </c>
      <c r="H1061" s="25">
        <v>44235</v>
      </c>
      <c r="I1061" s="24" t="s">
        <v>16</v>
      </c>
      <c r="J1061" s="24" t="s">
        <v>14</v>
      </c>
      <c r="K1061" s="24" t="str">
        <f>IF(certifications[[#This Row],[ISSUE DATE]]="", "", TEXT(certifications[[#This Row],[ISSUE DATE]], "MMM"))</f>
        <v>Feb</v>
      </c>
      <c r="L1061" s="35" t="str">
        <f>IF(certifications[[#This Row],[ISSUE DATE]]="", "", TEXT(certifications[[#This Row],[ISSUE DATE]], "YYYY"))</f>
        <v>2019</v>
      </c>
    </row>
    <row r="1062" spans="1:12" s="29" customFormat="1" ht="23.95" customHeight="1" x14ac:dyDescent="0.3">
      <c r="A1062" s="31"/>
      <c r="B1062" s="24">
        <v>1049</v>
      </c>
      <c r="C1062" s="24" t="s">
        <v>1147</v>
      </c>
      <c r="D1062" s="24" t="s">
        <v>32</v>
      </c>
      <c r="E1062" s="24" t="s">
        <v>9</v>
      </c>
      <c r="F1062" s="24">
        <v>17499</v>
      </c>
      <c r="G1062" s="25">
        <v>44708</v>
      </c>
      <c r="H1062" s="25">
        <v>46169</v>
      </c>
      <c r="I1062" s="24" t="s">
        <v>10</v>
      </c>
      <c r="J1062" s="24" t="s">
        <v>33</v>
      </c>
      <c r="K1062" s="24" t="str">
        <f>IF(certifications[[#This Row],[ISSUE DATE]]="", "", TEXT(certifications[[#This Row],[ISSUE DATE]], "MMM"))</f>
        <v>May</v>
      </c>
      <c r="L1062" s="35" t="str">
        <f>IF(certifications[[#This Row],[ISSUE DATE]]="", "", TEXT(certifications[[#This Row],[ISSUE DATE]], "YYYY"))</f>
        <v>2022</v>
      </c>
    </row>
    <row r="1063" spans="1:12" s="29" customFormat="1" ht="23.95" customHeight="1" x14ac:dyDescent="0.3">
      <c r="A1063" s="31"/>
      <c r="B1063" s="24">
        <v>1050</v>
      </c>
      <c r="C1063" s="24" t="s">
        <v>1148</v>
      </c>
      <c r="D1063" s="24" t="s">
        <v>32</v>
      </c>
      <c r="E1063" s="24" t="s">
        <v>9</v>
      </c>
      <c r="F1063" s="24">
        <v>16299</v>
      </c>
      <c r="G1063" s="25">
        <v>44350</v>
      </c>
      <c r="H1063" s="25">
        <v>45811</v>
      </c>
      <c r="I1063" s="24" t="s">
        <v>82</v>
      </c>
      <c r="J1063" s="24" t="s">
        <v>33</v>
      </c>
      <c r="K1063" s="24" t="str">
        <f>IF(certifications[[#This Row],[ISSUE DATE]]="", "", TEXT(certifications[[#This Row],[ISSUE DATE]], "MMM"))</f>
        <v>Jun</v>
      </c>
      <c r="L1063" s="35" t="str">
        <f>IF(certifications[[#This Row],[ISSUE DATE]]="", "", TEXT(certifications[[#This Row],[ISSUE DATE]], "YYYY"))</f>
        <v>2021</v>
      </c>
    </row>
    <row r="1064" spans="1:12" s="29" customFormat="1" ht="23.95" customHeight="1" x14ac:dyDescent="0.3">
      <c r="A1064" s="31"/>
      <c r="B1064" s="24">
        <v>1051</v>
      </c>
      <c r="C1064" s="3" t="s">
        <v>1148</v>
      </c>
      <c r="D1064" s="3" t="s">
        <v>32</v>
      </c>
      <c r="E1064" s="3" t="s">
        <v>27</v>
      </c>
      <c r="F1064" s="3">
        <v>16299</v>
      </c>
      <c r="G1064" s="4">
        <v>45674</v>
      </c>
      <c r="H1064" s="4">
        <v>46404</v>
      </c>
      <c r="I1064" s="3" t="s">
        <v>10</v>
      </c>
      <c r="J1064" s="3" t="s">
        <v>33</v>
      </c>
      <c r="K1064" s="3" t="str">
        <f>IF(certifications[[#This Row],[ISSUE DATE]]="", "", TEXT(certifications[[#This Row],[ISSUE DATE]], "MMM"))</f>
        <v>Jan</v>
      </c>
      <c r="L1064" s="36" t="str">
        <f>IF(certifications[[#This Row],[ISSUE DATE]]="", "", TEXT(certifications[[#This Row],[ISSUE DATE]], "YYYY"))</f>
        <v>2025</v>
      </c>
    </row>
    <row r="1065" spans="1:12" s="29" customFormat="1" ht="23.95" customHeight="1" x14ac:dyDescent="0.3">
      <c r="A1065" s="31"/>
      <c r="B1065" s="24">
        <v>1052</v>
      </c>
      <c r="C1065" s="24" t="s">
        <v>1149</v>
      </c>
      <c r="D1065" s="24" t="s">
        <v>13</v>
      </c>
      <c r="E1065" s="24" t="s">
        <v>9</v>
      </c>
      <c r="F1065" s="26" t="s">
        <v>1150</v>
      </c>
      <c r="G1065" s="25">
        <v>42670</v>
      </c>
      <c r="H1065" s="25">
        <v>43400</v>
      </c>
      <c r="I1065" s="24" t="s">
        <v>16</v>
      </c>
      <c r="J1065" s="24" t="s">
        <v>14</v>
      </c>
      <c r="K1065" s="24" t="str">
        <f>IF(certifications[[#This Row],[ISSUE DATE]]="", "", TEXT(certifications[[#This Row],[ISSUE DATE]], "MMM"))</f>
        <v>Oct</v>
      </c>
      <c r="L1065" s="35" t="str">
        <f>IF(certifications[[#This Row],[ISSUE DATE]]="", "", TEXT(certifications[[#This Row],[ISSUE DATE]], "YYYY"))</f>
        <v>2016</v>
      </c>
    </row>
    <row r="1066" spans="1:12" s="29" customFormat="1" ht="23.95" customHeight="1" x14ac:dyDescent="0.3">
      <c r="A1066" s="31"/>
      <c r="B1066" s="24">
        <v>1053</v>
      </c>
      <c r="C1066" s="24" t="s">
        <v>1151</v>
      </c>
      <c r="D1066" s="24" t="s">
        <v>32</v>
      </c>
      <c r="E1066" s="24" t="s">
        <v>9</v>
      </c>
      <c r="F1066" s="24">
        <v>8045</v>
      </c>
      <c r="G1066" s="25">
        <v>40977</v>
      </c>
      <c r="H1066" s="25">
        <v>41707</v>
      </c>
      <c r="I1066" s="24" t="s">
        <v>16</v>
      </c>
      <c r="J1066" s="24" t="s">
        <v>33</v>
      </c>
      <c r="K1066" s="24" t="str">
        <f>IF(certifications[[#This Row],[ISSUE DATE]]="", "", TEXT(certifications[[#This Row],[ISSUE DATE]], "MMM"))</f>
        <v>Mar</v>
      </c>
      <c r="L1066" s="35" t="str">
        <f>IF(certifications[[#This Row],[ISSUE DATE]]="", "", TEXT(certifications[[#This Row],[ISSUE DATE]], "YYYY"))</f>
        <v>2012</v>
      </c>
    </row>
    <row r="1067" spans="1:12" s="29" customFormat="1" ht="23.95" customHeight="1" x14ac:dyDescent="0.3">
      <c r="A1067" s="31"/>
      <c r="B1067" s="24">
        <v>1054</v>
      </c>
      <c r="C1067" s="24" t="s">
        <v>1152</v>
      </c>
      <c r="D1067" s="24" t="s">
        <v>32</v>
      </c>
      <c r="E1067" s="24" t="s">
        <v>9</v>
      </c>
      <c r="F1067" s="24">
        <v>8395</v>
      </c>
      <c r="G1067" s="25">
        <v>41393</v>
      </c>
      <c r="H1067" s="25">
        <v>42123</v>
      </c>
      <c r="I1067" s="24" t="s">
        <v>16</v>
      </c>
      <c r="J1067" s="24" t="s">
        <v>33</v>
      </c>
      <c r="K1067" s="24" t="str">
        <f>IF(certifications[[#This Row],[ISSUE DATE]]="", "", TEXT(certifications[[#This Row],[ISSUE DATE]], "MMM"))</f>
        <v>Apr</v>
      </c>
      <c r="L1067" s="35" t="str">
        <f>IF(certifications[[#This Row],[ISSUE DATE]]="", "", TEXT(certifications[[#This Row],[ISSUE DATE]], "YYYY"))</f>
        <v>2013</v>
      </c>
    </row>
    <row r="1068" spans="1:12" s="29" customFormat="1" ht="23.95" customHeight="1" x14ac:dyDescent="0.3">
      <c r="A1068" s="31"/>
      <c r="B1068" s="24">
        <v>1055</v>
      </c>
      <c r="C1068" s="24" t="s">
        <v>1153</v>
      </c>
      <c r="D1068" s="24" t="s">
        <v>32</v>
      </c>
      <c r="E1068" s="24" t="s">
        <v>9</v>
      </c>
      <c r="F1068" s="24">
        <v>20015</v>
      </c>
      <c r="G1068" s="25">
        <v>45365</v>
      </c>
      <c r="H1068" s="25">
        <v>46095</v>
      </c>
      <c r="I1068" s="24" t="s">
        <v>10</v>
      </c>
      <c r="J1068" s="24" t="s">
        <v>33</v>
      </c>
      <c r="K1068" s="24" t="str">
        <f>IF(certifications[[#This Row],[ISSUE DATE]]="", "", TEXT(certifications[[#This Row],[ISSUE DATE]], "MMM"))</f>
        <v>Mar</v>
      </c>
      <c r="L1068" s="35" t="str">
        <f>IF(certifications[[#This Row],[ISSUE DATE]]="", "", TEXT(certifications[[#This Row],[ISSUE DATE]], "YYYY"))</f>
        <v>2024</v>
      </c>
    </row>
    <row r="1069" spans="1:12" s="29" customFormat="1" ht="23.95" customHeight="1" x14ac:dyDescent="0.3">
      <c r="A1069" s="31"/>
      <c r="B1069" s="24">
        <v>1056</v>
      </c>
      <c r="C1069" s="24" t="s">
        <v>1154</v>
      </c>
      <c r="D1069" s="24" t="s">
        <v>153</v>
      </c>
      <c r="E1069" s="24" t="s">
        <v>26</v>
      </c>
      <c r="F1069" s="24">
        <v>13422</v>
      </c>
      <c r="G1069" s="25">
        <v>43610</v>
      </c>
      <c r="H1069" s="25">
        <v>44341</v>
      </c>
      <c r="I1069" s="24" t="s">
        <v>16</v>
      </c>
      <c r="J1069" s="24" t="s">
        <v>22</v>
      </c>
      <c r="K1069" s="24" t="str">
        <f>IF(certifications[[#This Row],[ISSUE DATE]]="", "", TEXT(certifications[[#This Row],[ISSUE DATE]], "MMM"))</f>
        <v>May</v>
      </c>
      <c r="L1069" s="35" t="str">
        <f>IF(certifications[[#This Row],[ISSUE DATE]]="", "", TEXT(certifications[[#This Row],[ISSUE DATE]], "YYYY"))</f>
        <v>2019</v>
      </c>
    </row>
    <row r="1070" spans="1:12" s="29" customFormat="1" ht="23.95" customHeight="1" x14ac:dyDescent="0.3">
      <c r="A1070" s="31"/>
      <c r="B1070" s="24">
        <v>1057</v>
      </c>
      <c r="C1070" s="24" t="s">
        <v>1155</v>
      </c>
      <c r="D1070" s="24" t="s">
        <v>452</v>
      </c>
      <c r="E1070" s="24" t="s">
        <v>9</v>
      </c>
      <c r="F1070" s="24">
        <v>15291</v>
      </c>
      <c r="G1070" s="25">
        <v>44012</v>
      </c>
      <c r="H1070" s="25">
        <v>44742</v>
      </c>
      <c r="I1070" s="24" t="s">
        <v>16</v>
      </c>
      <c r="J1070" s="24" t="s">
        <v>25</v>
      </c>
      <c r="K1070" s="24" t="str">
        <f>IF(certifications[[#This Row],[ISSUE DATE]]="", "", TEXT(certifications[[#This Row],[ISSUE DATE]], "MMM"))</f>
        <v>Jun</v>
      </c>
      <c r="L1070" s="35" t="str">
        <f>IF(certifications[[#This Row],[ISSUE DATE]]="", "", TEXT(certifications[[#This Row],[ISSUE DATE]], "YYYY"))</f>
        <v>2020</v>
      </c>
    </row>
    <row r="1071" spans="1:12" s="29" customFormat="1" ht="23.95" customHeight="1" x14ac:dyDescent="0.3">
      <c r="A1071" s="31"/>
      <c r="B1071" s="24">
        <v>1058</v>
      </c>
      <c r="C1071" s="24" t="s">
        <v>1156</v>
      </c>
      <c r="D1071" s="24" t="s">
        <v>737</v>
      </c>
      <c r="E1071" s="24" t="s">
        <v>9</v>
      </c>
      <c r="F1071" s="24">
        <v>8279</v>
      </c>
      <c r="G1071" s="25">
        <v>41255</v>
      </c>
      <c r="H1071" s="25">
        <v>41985</v>
      </c>
      <c r="I1071" s="24" t="s">
        <v>16</v>
      </c>
      <c r="J1071" s="24" t="s">
        <v>30</v>
      </c>
      <c r="K1071" s="24" t="str">
        <f>IF(certifications[[#This Row],[ISSUE DATE]]="", "", TEXT(certifications[[#This Row],[ISSUE DATE]], "MMM"))</f>
        <v>Dec</v>
      </c>
      <c r="L1071" s="35" t="str">
        <f>IF(certifications[[#This Row],[ISSUE DATE]]="", "", TEXT(certifications[[#This Row],[ISSUE DATE]], "YYYY"))</f>
        <v>2012</v>
      </c>
    </row>
    <row r="1072" spans="1:12" s="29" customFormat="1" ht="23.95" customHeight="1" x14ac:dyDescent="0.3">
      <c r="A1072" s="31"/>
      <c r="B1072" s="24">
        <v>1059</v>
      </c>
      <c r="C1072" s="24" t="s">
        <v>1157</v>
      </c>
      <c r="D1072" s="24" t="s">
        <v>55</v>
      </c>
      <c r="E1072" s="24" t="s">
        <v>9</v>
      </c>
      <c r="F1072" s="24">
        <v>13585</v>
      </c>
      <c r="G1072" s="25">
        <v>43630</v>
      </c>
      <c r="H1072" s="25">
        <v>46552</v>
      </c>
      <c r="I1072" s="24" t="s">
        <v>10</v>
      </c>
      <c r="J1072" s="24" t="s">
        <v>11</v>
      </c>
      <c r="K1072" s="24" t="str">
        <f>IF(certifications[[#This Row],[ISSUE DATE]]="", "", TEXT(certifications[[#This Row],[ISSUE DATE]], "MMM"))</f>
        <v>Jun</v>
      </c>
      <c r="L1072" s="35" t="str">
        <f>IF(certifications[[#This Row],[ISSUE DATE]]="", "", TEXT(certifications[[#This Row],[ISSUE DATE]], "YYYY"))</f>
        <v>2019</v>
      </c>
    </row>
    <row r="1073" spans="1:12" s="29" customFormat="1" ht="23.95" customHeight="1" x14ac:dyDescent="0.3">
      <c r="A1073" s="31"/>
      <c r="B1073" s="24">
        <v>1060</v>
      </c>
      <c r="C1073" s="24" t="s">
        <v>1157</v>
      </c>
      <c r="D1073" s="24" t="s">
        <v>55</v>
      </c>
      <c r="E1073" s="24" t="s">
        <v>26</v>
      </c>
      <c r="F1073" s="24">
        <v>13585</v>
      </c>
      <c r="G1073" s="25">
        <v>44152</v>
      </c>
      <c r="H1073" s="25">
        <v>46708</v>
      </c>
      <c r="I1073" s="24" t="s">
        <v>10</v>
      </c>
      <c r="J1073" s="24" t="s">
        <v>11</v>
      </c>
      <c r="K1073" s="24" t="str">
        <f>IF(certifications[[#This Row],[ISSUE DATE]]="", "", TEXT(certifications[[#This Row],[ISSUE DATE]], "MMM"))</f>
        <v>Nov</v>
      </c>
      <c r="L1073" s="35" t="str">
        <f>IF(certifications[[#This Row],[ISSUE DATE]]="", "", TEXT(certifications[[#This Row],[ISSUE DATE]], "YYYY"))</f>
        <v>2020</v>
      </c>
    </row>
    <row r="1074" spans="1:12" s="29" customFormat="1" ht="23.95" customHeight="1" x14ac:dyDescent="0.3">
      <c r="A1074" s="31"/>
      <c r="B1074" s="24">
        <v>1061</v>
      </c>
      <c r="C1074" s="24" t="s">
        <v>1158</v>
      </c>
      <c r="D1074" s="24" t="s">
        <v>65</v>
      </c>
      <c r="E1074" s="24" t="s">
        <v>9</v>
      </c>
      <c r="F1074" s="24">
        <v>18049</v>
      </c>
      <c r="G1074" s="25">
        <v>44883</v>
      </c>
      <c r="H1074" s="25">
        <v>46344</v>
      </c>
      <c r="I1074" s="24" t="s">
        <v>10</v>
      </c>
      <c r="J1074" s="24" t="s">
        <v>19</v>
      </c>
      <c r="K1074" s="24" t="str">
        <f>IF(certifications[[#This Row],[ISSUE DATE]]="", "", TEXT(certifications[[#This Row],[ISSUE DATE]], "MMM"))</f>
        <v>Nov</v>
      </c>
      <c r="L1074" s="35" t="str">
        <f>IF(certifications[[#This Row],[ISSUE DATE]]="", "", TEXT(certifications[[#This Row],[ISSUE DATE]], "YYYY"))</f>
        <v>2022</v>
      </c>
    </row>
    <row r="1075" spans="1:12" s="29" customFormat="1" ht="23.95" customHeight="1" x14ac:dyDescent="0.3">
      <c r="A1075" s="31"/>
      <c r="B1075" s="24">
        <v>1062</v>
      </c>
      <c r="C1075" s="24" t="s">
        <v>1159</v>
      </c>
      <c r="D1075" s="24" t="s">
        <v>241</v>
      </c>
      <c r="E1075" s="24" t="s">
        <v>9</v>
      </c>
      <c r="F1075" s="24">
        <v>10377</v>
      </c>
      <c r="G1075" s="25">
        <v>42986</v>
      </c>
      <c r="H1075" s="25">
        <v>43716</v>
      </c>
      <c r="I1075" s="24" t="s">
        <v>16</v>
      </c>
      <c r="J1075" s="24" t="s">
        <v>22</v>
      </c>
      <c r="K1075" s="24" t="str">
        <f>IF(certifications[[#This Row],[ISSUE DATE]]="", "", TEXT(certifications[[#This Row],[ISSUE DATE]], "MMM"))</f>
        <v>Sep</v>
      </c>
      <c r="L1075" s="35" t="str">
        <f>IF(certifications[[#This Row],[ISSUE DATE]]="", "", TEXT(certifications[[#This Row],[ISSUE DATE]], "YYYY"))</f>
        <v>2017</v>
      </c>
    </row>
    <row r="1076" spans="1:12" s="29" customFormat="1" ht="23.95" customHeight="1" x14ac:dyDescent="0.3">
      <c r="A1076" s="31"/>
      <c r="B1076" s="24">
        <v>1063</v>
      </c>
      <c r="C1076" s="24" t="s">
        <v>1160</v>
      </c>
      <c r="D1076" s="24" t="s">
        <v>1139</v>
      </c>
      <c r="E1076" s="24" t="s">
        <v>9</v>
      </c>
      <c r="F1076" s="24">
        <v>20504</v>
      </c>
      <c r="G1076" s="25">
        <v>45469</v>
      </c>
      <c r="H1076" s="25">
        <v>46199</v>
      </c>
      <c r="I1076" s="24" t="s">
        <v>10</v>
      </c>
      <c r="J1076" s="24" t="s">
        <v>22</v>
      </c>
      <c r="K1076" s="24" t="str">
        <f>IF(certifications[[#This Row],[ISSUE DATE]]="", "", TEXT(certifications[[#This Row],[ISSUE DATE]], "MMM"))</f>
        <v>Jun</v>
      </c>
      <c r="L1076" s="35" t="str">
        <f>IF(certifications[[#This Row],[ISSUE DATE]]="", "", TEXT(certifications[[#This Row],[ISSUE DATE]], "YYYY"))</f>
        <v>2024</v>
      </c>
    </row>
    <row r="1077" spans="1:12" s="29" customFormat="1" ht="23.95" customHeight="1" x14ac:dyDescent="0.3">
      <c r="A1077" s="31"/>
      <c r="B1077" s="24">
        <v>1064</v>
      </c>
      <c r="C1077" s="24" t="s">
        <v>1161</v>
      </c>
      <c r="D1077" s="24" t="s">
        <v>874</v>
      </c>
      <c r="E1077" s="24" t="s">
        <v>9</v>
      </c>
      <c r="F1077" s="24">
        <v>10582</v>
      </c>
      <c r="G1077" s="25">
        <v>43081</v>
      </c>
      <c r="H1077" s="25">
        <v>43811</v>
      </c>
      <c r="I1077" s="24" t="s">
        <v>16</v>
      </c>
      <c r="J1077" s="24" t="s">
        <v>14</v>
      </c>
      <c r="K1077" s="24" t="str">
        <f>IF(certifications[[#This Row],[ISSUE DATE]]="", "", TEXT(certifications[[#This Row],[ISSUE DATE]], "MMM"))</f>
        <v>Dec</v>
      </c>
      <c r="L1077" s="35" t="str">
        <f>IF(certifications[[#This Row],[ISSUE DATE]]="", "", TEXT(certifications[[#This Row],[ISSUE DATE]], "YYYY"))</f>
        <v>2017</v>
      </c>
    </row>
    <row r="1078" spans="1:12" s="29" customFormat="1" ht="23.95" customHeight="1" x14ac:dyDescent="0.3">
      <c r="A1078" s="31"/>
      <c r="B1078" s="24">
        <v>1065</v>
      </c>
      <c r="C1078" s="24" t="s">
        <v>1162</v>
      </c>
      <c r="D1078" s="24" t="s">
        <v>32</v>
      </c>
      <c r="E1078" s="24" t="s">
        <v>9</v>
      </c>
      <c r="F1078" s="24">
        <v>14001</v>
      </c>
      <c r="G1078" s="25">
        <v>43670</v>
      </c>
      <c r="H1078" s="25">
        <v>45131</v>
      </c>
      <c r="I1078" s="24" t="s">
        <v>16</v>
      </c>
      <c r="J1078" s="24" t="s">
        <v>33</v>
      </c>
      <c r="K1078" s="24" t="str">
        <f>IF(certifications[[#This Row],[ISSUE DATE]]="", "", TEXT(certifications[[#This Row],[ISSUE DATE]], "MMM"))</f>
        <v>Jul</v>
      </c>
      <c r="L1078" s="35" t="str">
        <f>IF(certifications[[#This Row],[ISSUE DATE]]="", "", TEXT(certifications[[#This Row],[ISSUE DATE]], "YYYY"))</f>
        <v>2019</v>
      </c>
    </row>
    <row r="1079" spans="1:12" s="29" customFormat="1" ht="23.95" customHeight="1" x14ac:dyDescent="0.3">
      <c r="A1079" s="31"/>
      <c r="B1079" s="24">
        <v>1066</v>
      </c>
      <c r="C1079" s="24" t="s">
        <v>1162</v>
      </c>
      <c r="D1079" s="24" t="s">
        <v>32</v>
      </c>
      <c r="E1079" s="24" t="s">
        <v>26</v>
      </c>
      <c r="F1079" s="24">
        <v>14001</v>
      </c>
      <c r="G1079" s="25">
        <v>44124</v>
      </c>
      <c r="H1079" s="25">
        <v>44854</v>
      </c>
      <c r="I1079" s="24" t="s">
        <v>16</v>
      </c>
      <c r="J1079" s="24" t="s">
        <v>33</v>
      </c>
      <c r="K1079" s="24" t="str">
        <f>IF(certifications[[#This Row],[ISSUE DATE]]="", "", TEXT(certifications[[#This Row],[ISSUE DATE]], "MMM"))</f>
        <v>Oct</v>
      </c>
      <c r="L1079" s="35" t="str">
        <f>IF(certifications[[#This Row],[ISSUE DATE]]="", "", TEXT(certifications[[#This Row],[ISSUE DATE]], "YYYY"))</f>
        <v>2020</v>
      </c>
    </row>
    <row r="1080" spans="1:12" s="29" customFormat="1" ht="23.95" customHeight="1" x14ac:dyDescent="0.3">
      <c r="A1080" s="31"/>
      <c r="B1080" s="24">
        <v>1067</v>
      </c>
      <c r="C1080" s="24" t="s">
        <v>1163</v>
      </c>
      <c r="D1080" s="24" t="s">
        <v>347</v>
      </c>
      <c r="E1080" s="24" t="s">
        <v>26</v>
      </c>
      <c r="F1080" s="24">
        <v>16312</v>
      </c>
      <c r="G1080" s="25">
        <v>44353</v>
      </c>
      <c r="H1080" s="25">
        <v>45083</v>
      </c>
      <c r="I1080" s="24" t="s">
        <v>16</v>
      </c>
      <c r="J1080" s="24" t="s">
        <v>25</v>
      </c>
      <c r="K1080" s="24" t="str">
        <f>IF(certifications[[#This Row],[ISSUE DATE]]="", "", TEXT(certifications[[#This Row],[ISSUE DATE]], "MMM"))</f>
        <v>Jun</v>
      </c>
      <c r="L1080" s="35" t="str">
        <f>IF(certifications[[#This Row],[ISSUE DATE]]="", "", TEXT(certifications[[#This Row],[ISSUE DATE]], "YYYY"))</f>
        <v>2021</v>
      </c>
    </row>
    <row r="1081" spans="1:12" s="29" customFormat="1" ht="23.95" customHeight="1" x14ac:dyDescent="0.3">
      <c r="A1081" s="31"/>
      <c r="B1081" s="24">
        <v>1068</v>
      </c>
      <c r="C1081" s="24" t="s">
        <v>1164</v>
      </c>
      <c r="D1081" s="24" t="s">
        <v>53</v>
      </c>
      <c r="E1081" s="24" t="s">
        <v>9</v>
      </c>
      <c r="F1081" s="24">
        <v>8967</v>
      </c>
      <c r="G1081" s="25">
        <v>41849</v>
      </c>
      <c r="H1081" s="25">
        <v>46232</v>
      </c>
      <c r="I1081" s="24" t="s">
        <v>10</v>
      </c>
      <c r="J1081" s="24" t="s">
        <v>25</v>
      </c>
      <c r="K1081" s="24" t="str">
        <f>IF(certifications[[#This Row],[ISSUE DATE]]="", "", TEXT(certifications[[#This Row],[ISSUE DATE]], "MMM"))</f>
        <v>Jul</v>
      </c>
      <c r="L1081" s="35" t="str">
        <f>IF(certifications[[#This Row],[ISSUE DATE]]="", "", TEXT(certifications[[#This Row],[ISSUE DATE]], "YYYY"))</f>
        <v>2014</v>
      </c>
    </row>
    <row r="1082" spans="1:12" s="29" customFormat="1" ht="23.95" customHeight="1" x14ac:dyDescent="0.3">
      <c r="A1082" s="31"/>
      <c r="B1082" s="24">
        <v>1069</v>
      </c>
      <c r="C1082" s="24" t="s">
        <v>1164</v>
      </c>
      <c r="D1082" s="24" t="s">
        <v>53</v>
      </c>
      <c r="E1082" s="24" t="s">
        <v>26</v>
      </c>
      <c r="F1082" s="24">
        <v>8967</v>
      </c>
      <c r="G1082" s="25">
        <v>43244</v>
      </c>
      <c r="H1082" s="25">
        <v>46232</v>
      </c>
      <c r="I1082" s="24" t="s">
        <v>10</v>
      </c>
      <c r="J1082" s="24" t="s">
        <v>25</v>
      </c>
      <c r="K1082" s="24" t="str">
        <f>IF(certifications[[#This Row],[ISSUE DATE]]="", "", TEXT(certifications[[#This Row],[ISSUE DATE]], "MMM"))</f>
        <v>May</v>
      </c>
      <c r="L1082" s="35" t="str">
        <f>IF(certifications[[#This Row],[ISSUE DATE]]="", "", TEXT(certifications[[#This Row],[ISSUE DATE]], "YYYY"))</f>
        <v>2018</v>
      </c>
    </row>
    <row r="1083" spans="1:12" s="29" customFormat="1" ht="23.95" customHeight="1" x14ac:dyDescent="0.3">
      <c r="A1083" s="31"/>
      <c r="B1083" s="24">
        <v>1070</v>
      </c>
      <c r="C1083" s="24" t="s">
        <v>1165</v>
      </c>
      <c r="D1083" s="24" t="s">
        <v>32</v>
      </c>
      <c r="E1083" s="24" t="s">
        <v>9</v>
      </c>
      <c r="F1083" s="24">
        <v>14753</v>
      </c>
      <c r="G1083" s="25">
        <v>43770</v>
      </c>
      <c r="H1083" s="25">
        <v>45962</v>
      </c>
      <c r="I1083" s="24" t="s">
        <v>10</v>
      </c>
      <c r="J1083" s="24" t="s">
        <v>33</v>
      </c>
      <c r="K1083" s="24" t="str">
        <f>IF(certifications[[#This Row],[ISSUE DATE]]="", "", TEXT(certifications[[#This Row],[ISSUE DATE]], "MMM"))</f>
        <v>Nov</v>
      </c>
      <c r="L1083" s="35" t="str">
        <f>IF(certifications[[#This Row],[ISSUE DATE]]="", "", TEXT(certifications[[#This Row],[ISSUE DATE]], "YYYY"))</f>
        <v>2019</v>
      </c>
    </row>
    <row r="1084" spans="1:12" s="29" customFormat="1" ht="23.95" customHeight="1" x14ac:dyDescent="0.3">
      <c r="A1084" s="31"/>
      <c r="B1084" s="24">
        <v>1071</v>
      </c>
      <c r="C1084" s="24" t="s">
        <v>1165</v>
      </c>
      <c r="D1084" s="24" t="s">
        <v>32</v>
      </c>
      <c r="E1084" s="24" t="s">
        <v>26</v>
      </c>
      <c r="F1084" s="24">
        <v>14753</v>
      </c>
      <c r="G1084" s="25">
        <v>44586</v>
      </c>
      <c r="H1084" s="25">
        <v>45962</v>
      </c>
      <c r="I1084" s="24" t="s">
        <v>10</v>
      </c>
      <c r="J1084" s="24" t="s">
        <v>33</v>
      </c>
      <c r="K1084" s="24" t="str">
        <f>IF(certifications[[#This Row],[ISSUE DATE]]="", "", TEXT(certifications[[#This Row],[ISSUE DATE]], "MMM"))</f>
        <v>Jan</v>
      </c>
      <c r="L1084" s="35" t="str">
        <f>IF(certifications[[#This Row],[ISSUE DATE]]="", "", TEXT(certifications[[#This Row],[ISSUE DATE]], "YYYY"))</f>
        <v>2022</v>
      </c>
    </row>
    <row r="1085" spans="1:12" s="29" customFormat="1" ht="23.95" customHeight="1" x14ac:dyDescent="0.3">
      <c r="A1085" s="31"/>
      <c r="B1085" s="24">
        <v>1072</v>
      </c>
      <c r="C1085" s="24" t="s">
        <v>1166</v>
      </c>
      <c r="D1085" s="24" t="s">
        <v>32</v>
      </c>
      <c r="E1085" s="24" t="s">
        <v>9</v>
      </c>
      <c r="F1085" s="24">
        <v>8271</v>
      </c>
      <c r="G1085" s="25">
        <v>41255</v>
      </c>
      <c r="H1085" s="25">
        <v>41985</v>
      </c>
      <c r="I1085" s="24" t="s">
        <v>16</v>
      </c>
      <c r="J1085" s="24" t="s">
        <v>33</v>
      </c>
      <c r="K1085" s="24" t="str">
        <f>IF(certifications[[#This Row],[ISSUE DATE]]="", "", TEXT(certifications[[#This Row],[ISSUE DATE]], "MMM"))</f>
        <v>Dec</v>
      </c>
      <c r="L1085" s="35" t="str">
        <f>IF(certifications[[#This Row],[ISSUE DATE]]="", "", TEXT(certifications[[#This Row],[ISSUE DATE]], "YYYY"))</f>
        <v>2012</v>
      </c>
    </row>
    <row r="1086" spans="1:12" s="29" customFormat="1" ht="23.95" customHeight="1" x14ac:dyDescent="0.3">
      <c r="A1086" s="31"/>
      <c r="B1086" s="24">
        <v>1073</v>
      </c>
      <c r="C1086" s="24" t="s">
        <v>1167</v>
      </c>
      <c r="D1086" s="24" t="s">
        <v>32</v>
      </c>
      <c r="E1086" s="24" t="s">
        <v>9</v>
      </c>
      <c r="F1086" s="24">
        <v>17009</v>
      </c>
      <c r="G1086" s="25">
        <v>44531</v>
      </c>
      <c r="H1086" s="25">
        <v>45992</v>
      </c>
      <c r="I1086" s="24" t="s">
        <v>10</v>
      </c>
      <c r="J1086" s="24" t="s">
        <v>33</v>
      </c>
      <c r="K1086" s="24" t="str">
        <f>IF(certifications[[#This Row],[ISSUE DATE]]="", "", TEXT(certifications[[#This Row],[ISSUE DATE]], "MMM"))</f>
        <v>Dec</v>
      </c>
      <c r="L1086" s="35" t="str">
        <f>IF(certifications[[#This Row],[ISSUE DATE]]="", "", TEXT(certifications[[#This Row],[ISSUE DATE]], "YYYY"))</f>
        <v>2021</v>
      </c>
    </row>
    <row r="1087" spans="1:12" s="29" customFormat="1" ht="23.95" customHeight="1" x14ac:dyDescent="0.3">
      <c r="A1087" s="31"/>
      <c r="B1087" s="24">
        <v>1074</v>
      </c>
      <c r="C1087" s="24" t="s">
        <v>1168</v>
      </c>
      <c r="D1087" s="24" t="s">
        <v>1139</v>
      </c>
      <c r="E1087" s="24" t="s">
        <v>9</v>
      </c>
      <c r="F1087" s="24">
        <v>17716</v>
      </c>
      <c r="G1087" s="25">
        <v>44781</v>
      </c>
      <c r="H1087" s="25">
        <v>45512</v>
      </c>
      <c r="I1087" s="24" t="s">
        <v>82</v>
      </c>
      <c r="J1087" s="24" t="s">
        <v>22</v>
      </c>
      <c r="K1087" s="24" t="str">
        <f>IF(certifications[[#This Row],[ISSUE DATE]]="", "", TEXT(certifications[[#This Row],[ISSUE DATE]], "MMM"))</f>
        <v>Aug</v>
      </c>
      <c r="L1087" s="35" t="str">
        <f>IF(certifications[[#This Row],[ISSUE DATE]]="", "", TEXT(certifications[[#This Row],[ISSUE DATE]], "YYYY"))</f>
        <v>2022</v>
      </c>
    </row>
    <row r="1088" spans="1:12" s="29" customFormat="1" ht="23.95" customHeight="1" x14ac:dyDescent="0.3">
      <c r="A1088" s="31"/>
      <c r="B1088" s="24">
        <v>1075</v>
      </c>
      <c r="C1088" s="24" t="s">
        <v>1169</v>
      </c>
      <c r="D1088" s="24" t="s">
        <v>32</v>
      </c>
      <c r="E1088" s="24" t="s">
        <v>9</v>
      </c>
      <c r="F1088" s="24">
        <v>12912</v>
      </c>
      <c r="G1088" s="25">
        <v>44676</v>
      </c>
      <c r="H1088" s="25">
        <v>46137</v>
      </c>
      <c r="I1088" s="24" t="s">
        <v>10</v>
      </c>
      <c r="J1088" s="24" t="s">
        <v>33</v>
      </c>
      <c r="K1088" s="24" t="str">
        <f>IF(certifications[[#This Row],[ISSUE DATE]]="", "", TEXT(certifications[[#This Row],[ISSUE DATE]], "MMM"))</f>
        <v>Apr</v>
      </c>
      <c r="L1088" s="35" t="str">
        <f>IF(certifications[[#This Row],[ISSUE DATE]]="", "", TEXT(certifications[[#This Row],[ISSUE DATE]], "YYYY"))</f>
        <v>2022</v>
      </c>
    </row>
    <row r="1089" spans="1:12" s="29" customFormat="1" ht="23.95" customHeight="1" x14ac:dyDescent="0.3">
      <c r="A1089" s="31"/>
      <c r="B1089" s="24">
        <v>1076</v>
      </c>
      <c r="C1089" s="24" t="s">
        <v>1170</v>
      </c>
      <c r="D1089" s="24" t="s">
        <v>32</v>
      </c>
      <c r="E1089" s="24" t="s">
        <v>9</v>
      </c>
      <c r="F1089" s="24">
        <v>19237</v>
      </c>
      <c r="G1089" s="25">
        <v>45202</v>
      </c>
      <c r="H1089" s="25">
        <v>45933</v>
      </c>
      <c r="I1089" s="24" t="s">
        <v>10</v>
      </c>
      <c r="J1089" s="24" t="s">
        <v>33</v>
      </c>
      <c r="K1089" s="24" t="str">
        <f>IF(certifications[[#This Row],[ISSUE DATE]]="", "", TEXT(certifications[[#This Row],[ISSUE DATE]], "MMM"))</f>
        <v>Oct</v>
      </c>
      <c r="L1089" s="35" t="str">
        <f>IF(certifications[[#This Row],[ISSUE DATE]]="", "", TEXT(certifications[[#This Row],[ISSUE DATE]], "YYYY"))</f>
        <v>2023</v>
      </c>
    </row>
    <row r="1090" spans="1:12" s="29" customFormat="1" ht="23.95" customHeight="1" x14ac:dyDescent="0.3">
      <c r="A1090" s="31"/>
      <c r="B1090" s="24">
        <v>1077</v>
      </c>
      <c r="C1090" s="24" t="s">
        <v>1171</v>
      </c>
      <c r="D1090" s="24" t="s">
        <v>32</v>
      </c>
      <c r="E1090" s="24" t="s">
        <v>9</v>
      </c>
      <c r="F1090" s="24">
        <v>9019</v>
      </c>
      <c r="G1090" s="25">
        <v>41905</v>
      </c>
      <c r="H1090" s="25">
        <v>42636</v>
      </c>
      <c r="I1090" s="24" t="s">
        <v>16</v>
      </c>
      <c r="J1090" s="24" t="s">
        <v>33</v>
      </c>
      <c r="K1090" s="24" t="str">
        <f>IF(certifications[[#This Row],[ISSUE DATE]]="", "", TEXT(certifications[[#This Row],[ISSUE DATE]], "MMM"))</f>
        <v>Sep</v>
      </c>
      <c r="L1090" s="35" t="str">
        <f>IF(certifications[[#This Row],[ISSUE DATE]]="", "", TEXT(certifications[[#This Row],[ISSUE DATE]], "YYYY"))</f>
        <v>2014</v>
      </c>
    </row>
    <row r="1091" spans="1:12" s="29" customFormat="1" ht="23.95" customHeight="1" x14ac:dyDescent="0.3">
      <c r="A1091" s="31"/>
      <c r="B1091" s="24">
        <v>1078</v>
      </c>
      <c r="C1091" s="24" t="s">
        <v>1172</v>
      </c>
      <c r="D1091" s="24" t="s">
        <v>845</v>
      </c>
      <c r="E1091" s="24" t="s">
        <v>9</v>
      </c>
      <c r="F1091" s="24">
        <v>18438</v>
      </c>
      <c r="G1091" s="25">
        <v>45005</v>
      </c>
      <c r="H1091" s="25">
        <v>46466</v>
      </c>
      <c r="I1091" s="24" t="s">
        <v>10</v>
      </c>
      <c r="J1091" s="24" t="s">
        <v>30</v>
      </c>
      <c r="K1091" s="24" t="str">
        <f>IF(certifications[[#This Row],[ISSUE DATE]]="", "", TEXT(certifications[[#This Row],[ISSUE DATE]], "MMM"))</f>
        <v>Mar</v>
      </c>
      <c r="L1091" s="35" t="str">
        <f>IF(certifications[[#This Row],[ISSUE DATE]]="", "", TEXT(certifications[[#This Row],[ISSUE DATE]], "YYYY"))</f>
        <v>2023</v>
      </c>
    </row>
    <row r="1092" spans="1:12" s="29" customFormat="1" ht="23.95" customHeight="1" x14ac:dyDescent="0.3">
      <c r="A1092" s="31"/>
      <c r="B1092" s="24">
        <v>1079</v>
      </c>
      <c r="C1092" s="24" t="s">
        <v>1173</v>
      </c>
      <c r="D1092" s="24" t="s">
        <v>241</v>
      </c>
      <c r="E1092" s="24" t="s">
        <v>26</v>
      </c>
      <c r="F1092" s="24">
        <v>8479</v>
      </c>
      <c r="G1092" s="25">
        <v>43137</v>
      </c>
      <c r="H1092" s="25">
        <v>46059</v>
      </c>
      <c r="I1092" s="24" t="s">
        <v>10</v>
      </c>
      <c r="J1092" s="24" t="s">
        <v>22</v>
      </c>
      <c r="K1092" s="24" t="str">
        <f>IF(certifications[[#This Row],[ISSUE DATE]]="", "", TEXT(certifications[[#This Row],[ISSUE DATE]], "MMM"))</f>
        <v>Feb</v>
      </c>
      <c r="L1092" s="35" t="str">
        <f>IF(certifications[[#This Row],[ISSUE DATE]]="", "", TEXT(certifications[[#This Row],[ISSUE DATE]], "YYYY"))</f>
        <v>2018</v>
      </c>
    </row>
    <row r="1093" spans="1:12" s="29" customFormat="1" ht="23.95" customHeight="1" x14ac:dyDescent="0.3">
      <c r="A1093" s="31"/>
      <c r="B1093" s="24">
        <v>1080</v>
      </c>
      <c r="C1093" s="24" t="s">
        <v>1174</v>
      </c>
      <c r="D1093" s="24" t="s">
        <v>202</v>
      </c>
      <c r="E1093" s="24" t="s">
        <v>9</v>
      </c>
      <c r="F1093" s="24">
        <v>13726</v>
      </c>
      <c r="G1093" s="25">
        <v>43640</v>
      </c>
      <c r="H1093" s="25">
        <v>44371</v>
      </c>
      <c r="I1093" s="24" t="s">
        <v>16</v>
      </c>
      <c r="J1093" s="24" t="s">
        <v>19</v>
      </c>
      <c r="K1093" s="24" t="str">
        <f>IF(certifications[[#This Row],[ISSUE DATE]]="", "", TEXT(certifications[[#This Row],[ISSUE DATE]], "MMM"))</f>
        <v>Jun</v>
      </c>
      <c r="L1093" s="35" t="str">
        <f>IF(certifications[[#This Row],[ISSUE DATE]]="", "", TEXT(certifications[[#This Row],[ISSUE DATE]], "YYYY"))</f>
        <v>2019</v>
      </c>
    </row>
    <row r="1094" spans="1:12" s="29" customFormat="1" ht="23.95" customHeight="1" x14ac:dyDescent="0.3">
      <c r="A1094" s="31"/>
      <c r="B1094" s="24">
        <v>1081</v>
      </c>
      <c r="C1094" s="24" t="s">
        <v>1175</v>
      </c>
      <c r="D1094" s="24" t="s">
        <v>40</v>
      </c>
      <c r="E1094" s="24" t="s">
        <v>9</v>
      </c>
      <c r="F1094" s="24">
        <v>21611</v>
      </c>
      <c r="G1094" s="25">
        <v>45713</v>
      </c>
      <c r="H1094" s="25">
        <v>46443</v>
      </c>
      <c r="I1094" s="24" t="s">
        <v>10</v>
      </c>
      <c r="J1094" s="24" t="s">
        <v>25</v>
      </c>
      <c r="K1094" s="24" t="str">
        <f>IF(certifications[[#This Row],[ISSUE DATE]]="", "", TEXT(certifications[[#This Row],[ISSUE DATE]], "MMM"))</f>
        <v>Feb</v>
      </c>
      <c r="L1094" s="35" t="str">
        <f>IF(certifications[[#This Row],[ISSUE DATE]]="", "", TEXT(certifications[[#This Row],[ISSUE DATE]], "YYYY"))</f>
        <v>2025</v>
      </c>
    </row>
    <row r="1095" spans="1:12" s="29" customFormat="1" ht="23.95" customHeight="1" x14ac:dyDescent="0.3">
      <c r="A1095" s="31"/>
      <c r="B1095" s="24">
        <v>1082</v>
      </c>
      <c r="C1095" s="24" t="s">
        <v>1176</v>
      </c>
      <c r="D1095" s="24" t="s">
        <v>939</v>
      </c>
      <c r="E1095" s="24" t="s">
        <v>26</v>
      </c>
      <c r="F1095" s="24">
        <v>18187</v>
      </c>
      <c r="G1095" s="25">
        <v>45265</v>
      </c>
      <c r="H1095" s="25">
        <v>45996</v>
      </c>
      <c r="I1095" s="24" t="s">
        <v>10</v>
      </c>
      <c r="J1095" s="24" t="s">
        <v>11</v>
      </c>
      <c r="K1095" s="24" t="str">
        <f>IF(certifications[[#This Row],[ISSUE DATE]]="", "", TEXT(certifications[[#This Row],[ISSUE DATE]], "MMM"))</f>
        <v>Dec</v>
      </c>
      <c r="L1095" s="35" t="str">
        <f>IF(certifications[[#This Row],[ISSUE DATE]]="", "", TEXT(certifications[[#This Row],[ISSUE DATE]], "YYYY"))</f>
        <v>2023</v>
      </c>
    </row>
    <row r="1096" spans="1:12" s="29" customFormat="1" ht="23.95" customHeight="1" x14ac:dyDescent="0.3">
      <c r="A1096" s="31"/>
      <c r="B1096" s="24">
        <v>1083</v>
      </c>
      <c r="C1096" s="24" t="s">
        <v>1177</v>
      </c>
      <c r="D1096" s="24" t="s">
        <v>18</v>
      </c>
      <c r="E1096" s="24" t="s">
        <v>9</v>
      </c>
      <c r="F1096" s="24">
        <v>12718</v>
      </c>
      <c r="G1096" s="25">
        <v>43479</v>
      </c>
      <c r="H1096" s="25">
        <v>44210</v>
      </c>
      <c r="I1096" s="24" t="s">
        <v>16</v>
      </c>
      <c r="J1096" s="24" t="s">
        <v>19</v>
      </c>
      <c r="K1096" s="24" t="str">
        <f>IF(certifications[[#This Row],[ISSUE DATE]]="", "", TEXT(certifications[[#This Row],[ISSUE DATE]], "MMM"))</f>
        <v>Jan</v>
      </c>
      <c r="L1096" s="35" t="str">
        <f>IF(certifications[[#This Row],[ISSUE DATE]]="", "", TEXT(certifications[[#This Row],[ISSUE DATE]], "YYYY"))</f>
        <v>2019</v>
      </c>
    </row>
    <row r="1097" spans="1:12" s="29" customFormat="1" ht="23.95" customHeight="1" x14ac:dyDescent="0.3">
      <c r="A1097" s="31"/>
      <c r="B1097" s="24">
        <v>1084</v>
      </c>
      <c r="C1097" s="24" t="s">
        <v>1178</v>
      </c>
      <c r="D1097" s="24" t="s">
        <v>48</v>
      </c>
      <c r="E1097" s="24" t="s">
        <v>9</v>
      </c>
      <c r="F1097" s="24">
        <v>10022</v>
      </c>
      <c r="G1097" s="25">
        <v>42766</v>
      </c>
      <c r="H1097" s="25">
        <v>43496</v>
      </c>
      <c r="I1097" s="24" t="s">
        <v>16</v>
      </c>
      <c r="J1097" s="24" t="s">
        <v>38</v>
      </c>
      <c r="K1097" s="24" t="str">
        <f>IF(certifications[[#This Row],[ISSUE DATE]]="", "", TEXT(certifications[[#This Row],[ISSUE DATE]], "MMM"))</f>
        <v>Jan</v>
      </c>
      <c r="L1097" s="35" t="str">
        <f>IF(certifications[[#This Row],[ISSUE DATE]]="", "", TEXT(certifications[[#This Row],[ISSUE DATE]], "YYYY"))</f>
        <v>2017</v>
      </c>
    </row>
    <row r="1098" spans="1:12" s="29" customFormat="1" ht="23.95" customHeight="1" x14ac:dyDescent="0.3">
      <c r="A1098" s="31"/>
      <c r="B1098" s="24">
        <v>1085</v>
      </c>
      <c r="C1098" s="24" t="s">
        <v>1179</v>
      </c>
      <c r="D1098" s="24" t="s">
        <v>309</v>
      </c>
      <c r="E1098" s="24" t="s">
        <v>9</v>
      </c>
      <c r="F1098" s="24">
        <v>8978</v>
      </c>
      <c r="G1098" s="25">
        <v>41852</v>
      </c>
      <c r="H1098" s="25">
        <v>43313</v>
      </c>
      <c r="I1098" s="24" t="s">
        <v>16</v>
      </c>
      <c r="J1098" s="24" t="s">
        <v>11</v>
      </c>
      <c r="K1098" s="24" t="str">
        <f>IF(certifications[[#This Row],[ISSUE DATE]]="", "", TEXT(certifications[[#This Row],[ISSUE DATE]], "MMM"))</f>
        <v>Aug</v>
      </c>
      <c r="L1098" s="35" t="str">
        <f>IF(certifications[[#This Row],[ISSUE DATE]]="", "", TEXT(certifications[[#This Row],[ISSUE DATE]], "YYYY"))</f>
        <v>2014</v>
      </c>
    </row>
    <row r="1099" spans="1:12" s="29" customFormat="1" ht="23.95" customHeight="1" x14ac:dyDescent="0.3">
      <c r="A1099" s="31"/>
      <c r="B1099" s="24">
        <v>1086</v>
      </c>
      <c r="C1099" s="24" t="s">
        <v>1180</v>
      </c>
      <c r="D1099" s="24" t="s">
        <v>773</v>
      </c>
      <c r="E1099" s="24" t="s">
        <v>9</v>
      </c>
      <c r="F1099" s="24">
        <v>9133</v>
      </c>
      <c r="G1099" s="25">
        <v>42074</v>
      </c>
      <c r="H1099" s="25">
        <v>44996</v>
      </c>
      <c r="I1099" s="24" t="s">
        <v>16</v>
      </c>
      <c r="J1099" s="24" t="s">
        <v>11</v>
      </c>
      <c r="K1099" s="24" t="str">
        <f>IF(certifications[[#This Row],[ISSUE DATE]]="", "", TEXT(certifications[[#This Row],[ISSUE DATE]], "MMM"))</f>
        <v>Mar</v>
      </c>
      <c r="L1099" s="35" t="str">
        <f>IF(certifications[[#This Row],[ISSUE DATE]]="", "", TEXT(certifications[[#This Row],[ISSUE DATE]], "YYYY"))</f>
        <v>2015</v>
      </c>
    </row>
    <row r="1100" spans="1:12" s="29" customFormat="1" ht="23.95" customHeight="1" x14ac:dyDescent="0.3">
      <c r="A1100" s="31"/>
      <c r="B1100" s="24">
        <v>1087</v>
      </c>
      <c r="C1100" s="24" t="s">
        <v>1181</v>
      </c>
      <c r="D1100" s="24" t="s">
        <v>88</v>
      </c>
      <c r="E1100" s="24" t="s">
        <v>9</v>
      </c>
      <c r="F1100" s="24">
        <v>11826</v>
      </c>
      <c r="G1100" s="25">
        <v>43279</v>
      </c>
      <c r="H1100" s="25">
        <v>44010</v>
      </c>
      <c r="I1100" s="24" t="s">
        <v>16</v>
      </c>
      <c r="J1100" s="24" t="s">
        <v>19</v>
      </c>
      <c r="K1100" s="24" t="str">
        <f>IF(certifications[[#This Row],[ISSUE DATE]]="", "", TEXT(certifications[[#This Row],[ISSUE DATE]], "MMM"))</f>
        <v>Jun</v>
      </c>
      <c r="L1100" s="35" t="str">
        <f>IF(certifications[[#This Row],[ISSUE DATE]]="", "", TEXT(certifications[[#This Row],[ISSUE DATE]], "YYYY"))</f>
        <v>2018</v>
      </c>
    </row>
    <row r="1101" spans="1:12" s="29" customFormat="1" ht="23.95" customHeight="1" x14ac:dyDescent="0.3">
      <c r="A1101" s="31"/>
      <c r="B1101" s="24">
        <v>1088</v>
      </c>
      <c r="C1101" s="24" t="s">
        <v>1182</v>
      </c>
      <c r="D1101" s="24" t="s">
        <v>1183</v>
      </c>
      <c r="E1101" s="24" t="s">
        <v>9</v>
      </c>
      <c r="F1101" s="24">
        <v>20372</v>
      </c>
      <c r="G1101" s="25">
        <v>45519</v>
      </c>
      <c r="H1101" s="25">
        <v>46249</v>
      </c>
      <c r="I1101" s="24" t="s">
        <v>10</v>
      </c>
      <c r="J1101" s="24" t="s">
        <v>19</v>
      </c>
      <c r="K1101" s="24" t="str">
        <f>IF(certifications[[#This Row],[ISSUE DATE]]="", "", TEXT(certifications[[#This Row],[ISSUE DATE]], "MMM"))</f>
        <v>Aug</v>
      </c>
      <c r="L1101" s="35" t="str">
        <f>IF(certifications[[#This Row],[ISSUE DATE]]="", "", TEXT(certifications[[#This Row],[ISSUE DATE]], "YYYY"))</f>
        <v>2024</v>
      </c>
    </row>
    <row r="1102" spans="1:12" s="29" customFormat="1" ht="23.95" customHeight="1" x14ac:dyDescent="0.3">
      <c r="A1102" s="31"/>
      <c r="B1102" s="24">
        <v>1089</v>
      </c>
      <c r="C1102" s="24" t="s">
        <v>1182</v>
      </c>
      <c r="D1102" s="24" t="s">
        <v>1183</v>
      </c>
      <c r="E1102" s="24" t="s">
        <v>26</v>
      </c>
      <c r="F1102" s="24">
        <v>20372</v>
      </c>
      <c r="G1102" s="25">
        <v>45447</v>
      </c>
      <c r="H1102" s="25">
        <v>46177</v>
      </c>
      <c r="I1102" s="24" t="s">
        <v>10</v>
      </c>
      <c r="J1102" s="24" t="s">
        <v>19</v>
      </c>
      <c r="K1102" s="24" t="str">
        <f>IF(certifications[[#This Row],[ISSUE DATE]]="", "", TEXT(certifications[[#This Row],[ISSUE DATE]], "MMM"))</f>
        <v>Jun</v>
      </c>
      <c r="L1102" s="35" t="str">
        <f>IF(certifications[[#This Row],[ISSUE DATE]]="", "", TEXT(certifications[[#This Row],[ISSUE DATE]], "YYYY"))</f>
        <v>2024</v>
      </c>
    </row>
    <row r="1103" spans="1:12" s="29" customFormat="1" ht="23.95" customHeight="1" x14ac:dyDescent="0.3">
      <c r="A1103" s="31"/>
      <c r="B1103" s="24">
        <v>1090</v>
      </c>
      <c r="C1103" s="24" t="s">
        <v>1184</v>
      </c>
      <c r="D1103" s="24" t="s">
        <v>80</v>
      </c>
      <c r="E1103" s="24" t="s">
        <v>9</v>
      </c>
      <c r="F1103" s="24">
        <v>8518</v>
      </c>
      <c r="G1103" s="25">
        <v>41464</v>
      </c>
      <c r="H1103" s="25">
        <v>44386</v>
      </c>
      <c r="I1103" s="24" t="s">
        <v>16</v>
      </c>
      <c r="J1103" s="24" t="s">
        <v>38</v>
      </c>
      <c r="K1103" s="24" t="str">
        <f>IF(certifications[[#This Row],[ISSUE DATE]]="", "", TEXT(certifications[[#This Row],[ISSUE DATE]], "MMM"))</f>
        <v>Jul</v>
      </c>
      <c r="L1103" s="35" t="str">
        <f>IF(certifications[[#This Row],[ISSUE DATE]]="", "", TEXT(certifications[[#This Row],[ISSUE DATE]], "YYYY"))</f>
        <v>2013</v>
      </c>
    </row>
    <row r="1104" spans="1:12" s="29" customFormat="1" ht="23.95" customHeight="1" x14ac:dyDescent="0.3">
      <c r="A1104" s="31"/>
      <c r="B1104" s="24">
        <v>1091</v>
      </c>
      <c r="C1104" s="24" t="s">
        <v>1185</v>
      </c>
      <c r="D1104" s="24" t="s">
        <v>32</v>
      </c>
      <c r="E1104" s="24" t="s">
        <v>9</v>
      </c>
      <c r="F1104" s="24">
        <v>9517</v>
      </c>
      <c r="G1104" s="25">
        <v>42411</v>
      </c>
      <c r="H1104" s="25">
        <v>45333</v>
      </c>
      <c r="I1104" s="24" t="s">
        <v>16</v>
      </c>
      <c r="J1104" s="24" t="s">
        <v>33</v>
      </c>
      <c r="K1104" s="24" t="str">
        <f>IF(certifications[[#This Row],[ISSUE DATE]]="", "", TEXT(certifications[[#This Row],[ISSUE DATE]], "MMM"))</f>
        <v>Feb</v>
      </c>
      <c r="L1104" s="35" t="str">
        <f>IF(certifications[[#This Row],[ISSUE DATE]]="", "", TEXT(certifications[[#This Row],[ISSUE DATE]], "YYYY"))</f>
        <v>2016</v>
      </c>
    </row>
    <row r="1105" spans="1:12" s="29" customFormat="1" ht="23.95" customHeight="1" x14ac:dyDescent="0.3">
      <c r="A1105" s="31"/>
      <c r="B1105" s="24">
        <v>1092</v>
      </c>
      <c r="C1105" s="24" t="s">
        <v>1186</v>
      </c>
      <c r="D1105" s="24" t="s">
        <v>73</v>
      </c>
      <c r="E1105" s="24" t="s">
        <v>9</v>
      </c>
      <c r="F1105" s="24">
        <v>10470</v>
      </c>
      <c r="G1105" s="25">
        <v>43035</v>
      </c>
      <c r="H1105" s="25">
        <v>43765</v>
      </c>
      <c r="I1105" s="24" t="s">
        <v>16</v>
      </c>
      <c r="J1105" s="24" t="s">
        <v>30</v>
      </c>
      <c r="K1105" s="24" t="str">
        <f>IF(certifications[[#This Row],[ISSUE DATE]]="", "", TEXT(certifications[[#This Row],[ISSUE DATE]], "MMM"))</f>
        <v>Oct</v>
      </c>
      <c r="L1105" s="35" t="str">
        <f>IF(certifications[[#This Row],[ISSUE DATE]]="", "", TEXT(certifications[[#This Row],[ISSUE DATE]], "YYYY"))</f>
        <v>2017</v>
      </c>
    </row>
    <row r="1106" spans="1:12" s="29" customFormat="1" ht="23.95" customHeight="1" x14ac:dyDescent="0.3">
      <c r="A1106" s="31"/>
      <c r="B1106" s="24">
        <v>1093</v>
      </c>
      <c r="C1106" s="24" t="s">
        <v>1187</v>
      </c>
      <c r="D1106" s="24" t="s">
        <v>13</v>
      </c>
      <c r="E1106" s="24" t="s">
        <v>9</v>
      </c>
      <c r="F1106" s="24">
        <v>12356</v>
      </c>
      <c r="G1106" s="25">
        <v>43369</v>
      </c>
      <c r="H1106" s="25">
        <v>44100</v>
      </c>
      <c r="I1106" s="24" t="s">
        <v>16</v>
      </c>
      <c r="J1106" s="24" t="s">
        <v>14</v>
      </c>
      <c r="K1106" s="24" t="str">
        <f>IF(certifications[[#This Row],[ISSUE DATE]]="", "", TEXT(certifications[[#This Row],[ISSUE DATE]], "MMM"))</f>
        <v>Sep</v>
      </c>
      <c r="L1106" s="35" t="str">
        <f>IF(certifications[[#This Row],[ISSUE DATE]]="", "", TEXT(certifications[[#This Row],[ISSUE DATE]], "YYYY"))</f>
        <v>2018</v>
      </c>
    </row>
    <row r="1107" spans="1:12" s="29" customFormat="1" ht="23.95" customHeight="1" x14ac:dyDescent="0.3">
      <c r="A1107" s="31"/>
      <c r="B1107" s="24">
        <v>1094</v>
      </c>
      <c r="C1107" s="24" t="s">
        <v>1188</v>
      </c>
      <c r="D1107" s="24" t="s">
        <v>363</v>
      </c>
      <c r="E1107" s="24" t="s">
        <v>9</v>
      </c>
      <c r="F1107" s="24">
        <v>10348</v>
      </c>
      <c r="G1107" s="25">
        <v>42975</v>
      </c>
      <c r="H1107" s="25">
        <v>43705</v>
      </c>
      <c r="I1107" s="24" t="s">
        <v>16</v>
      </c>
      <c r="J1107" s="24" t="s">
        <v>19</v>
      </c>
      <c r="K1107" s="24" t="str">
        <f>IF(certifications[[#This Row],[ISSUE DATE]]="", "", TEXT(certifications[[#This Row],[ISSUE DATE]], "MMM"))</f>
        <v>Aug</v>
      </c>
      <c r="L1107" s="35" t="str">
        <f>IF(certifications[[#This Row],[ISSUE DATE]]="", "", TEXT(certifications[[#This Row],[ISSUE DATE]], "YYYY"))</f>
        <v>2017</v>
      </c>
    </row>
    <row r="1108" spans="1:12" s="29" customFormat="1" ht="23.95" customHeight="1" x14ac:dyDescent="0.3">
      <c r="A1108" s="31"/>
      <c r="B1108" s="24">
        <v>1095</v>
      </c>
      <c r="C1108" s="24" t="s">
        <v>1189</v>
      </c>
      <c r="D1108" s="24" t="s">
        <v>1100</v>
      </c>
      <c r="E1108" s="24" t="s">
        <v>9</v>
      </c>
      <c r="F1108" s="24">
        <v>21045</v>
      </c>
      <c r="G1108" s="25">
        <v>45590</v>
      </c>
      <c r="H1108" s="25">
        <v>46320</v>
      </c>
      <c r="I1108" s="24" t="s">
        <v>10</v>
      </c>
      <c r="J1108" s="24" t="s">
        <v>25</v>
      </c>
      <c r="K1108" s="24" t="str">
        <f>IF(certifications[[#This Row],[ISSUE DATE]]="", "", TEXT(certifications[[#This Row],[ISSUE DATE]], "MMM"))</f>
        <v>Oct</v>
      </c>
      <c r="L1108" s="35" t="str">
        <f>IF(certifications[[#This Row],[ISSUE DATE]]="", "", TEXT(certifications[[#This Row],[ISSUE DATE]], "YYYY"))</f>
        <v>2024</v>
      </c>
    </row>
    <row r="1109" spans="1:12" s="29" customFormat="1" ht="23.95" customHeight="1" x14ac:dyDescent="0.3">
      <c r="A1109" s="31"/>
      <c r="B1109" s="24">
        <v>1096</v>
      </c>
      <c r="C1109" s="24" t="s">
        <v>1190</v>
      </c>
      <c r="D1109" s="24" t="s">
        <v>32</v>
      </c>
      <c r="E1109" s="24" t="s">
        <v>9</v>
      </c>
      <c r="F1109" s="24">
        <v>11349</v>
      </c>
      <c r="G1109" s="25">
        <v>43227</v>
      </c>
      <c r="H1109" s="25">
        <v>43958</v>
      </c>
      <c r="I1109" s="24" t="s">
        <v>16</v>
      </c>
      <c r="J1109" s="24" t="s">
        <v>33</v>
      </c>
      <c r="K1109" s="24" t="str">
        <f>IF(certifications[[#This Row],[ISSUE DATE]]="", "", TEXT(certifications[[#This Row],[ISSUE DATE]], "MMM"))</f>
        <v>May</v>
      </c>
      <c r="L1109" s="35" t="str">
        <f>IF(certifications[[#This Row],[ISSUE DATE]]="", "", TEXT(certifications[[#This Row],[ISSUE DATE]], "YYYY"))</f>
        <v>2018</v>
      </c>
    </row>
    <row r="1110" spans="1:12" s="29" customFormat="1" ht="23.95" customHeight="1" x14ac:dyDescent="0.3">
      <c r="A1110" s="31"/>
      <c r="B1110" s="24">
        <v>1097</v>
      </c>
      <c r="C1110" s="24" t="s">
        <v>1191</v>
      </c>
      <c r="D1110" s="24" t="s">
        <v>32</v>
      </c>
      <c r="E1110" s="24" t="s">
        <v>9</v>
      </c>
      <c r="F1110" s="24">
        <v>13341</v>
      </c>
      <c r="G1110" s="25">
        <v>43599</v>
      </c>
      <c r="H1110" s="25">
        <v>44330</v>
      </c>
      <c r="I1110" s="24" t="s">
        <v>16</v>
      </c>
      <c r="J1110" s="24" t="s">
        <v>33</v>
      </c>
      <c r="K1110" s="24" t="str">
        <f>IF(certifications[[#This Row],[ISSUE DATE]]="", "", TEXT(certifications[[#This Row],[ISSUE DATE]], "MMM"))</f>
        <v>May</v>
      </c>
      <c r="L1110" s="35" t="str">
        <f>IF(certifications[[#This Row],[ISSUE DATE]]="", "", TEXT(certifications[[#This Row],[ISSUE DATE]], "YYYY"))</f>
        <v>2019</v>
      </c>
    </row>
    <row r="1111" spans="1:12" s="29" customFormat="1" ht="23.95" customHeight="1" x14ac:dyDescent="0.3">
      <c r="A1111" s="31"/>
      <c r="B1111" s="24">
        <v>1098</v>
      </c>
      <c r="C1111" s="24" t="s">
        <v>1192</v>
      </c>
      <c r="D1111" s="24" t="s">
        <v>1193</v>
      </c>
      <c r="E1111" s="24" t="s">
        <v>9</v>
      </c>
      <c r="F1111" s="24">
        <v>9781</v>
      </c>
      <c r="G1111" s="25">
        <v>42622</v>
      </c>
      <c r="H1111" s="25">
        <v>44083</v>
      </c>
      <c r="I1111" s="24" t="s">
        <v>16</v>
      </c>
      <c r="J1111" s="24" t="s">
        <v>38</v>
      </c>
      <c r="K1111" s="24" t="str">
        <f>IF(certifications[[#This Row],[ISSUE DATE]]="", "", TEXT(certifications[[#This Row],[ISSUE DATE]], "MMM"))</f>
        <v>Sep</v>
      </c>
      <c r="L1111" s="35" t="str">
        <f>IF(certifications[[#This Row],[ISSUE DATE]]="", "", TEXT(certifications[[#This Row],[ISSUE DATE]], "YYYY"))</f>
        <v>2016</v>
      </c>
    </row>
    <row r="1112" spans="1:12" s="29" customFormat="1" ht="23.95" customHeight="1" x14ac:dyDescent="0.3">
      <c r="A1112" s="31"/>
      <c r="B1112" s="24">
        <v>1099</v>
      </c>
      <c r="C1112" s="24" t="s">
        <v>1194</v>
      </c>
      <c r="D1112" s="24" t="s">
        <v>13</v>
      </c>
      <c r="E1112" s="24" t="s">
        <v>9</v>
      </c>
      <c r="F1112" s="24">
        <v>14242</v>
      </c>
      <c r="G1112" s="25">
        <v>43686</v>
      </c>
      <c r="H1112" s="25">
        <v>44417</v>
      </c>
      <c r="I1112" s="24" t="s">
        <v>16</v>
      </c>
      <c r="J1112" s="24" t="s">
        <v>14</v>
      </c>
      <c r="K1112" s="24" t="str">
        <f>IF(certifications[[#This Row],[ISSUE DATE]]="", "", TEXT(certifications[[#This Row],[ISSUE DATE]], "MMM"))</f>
        <v>Aug</v>
      </c>
      <c r="L1112" s="35" t="str">
        <f>IF(certifications[[#This Row],[ISSUE DATE]]="", "", TEXT(certifications[[#This Row],[ISSUE DATE]], "YYYY"))</f>
        <v>2019</v>
      </c>
    </row>
    <row r="1113" spans="1:12" s="29" customFormat="1" ht="23.95" customHeight="1" x14ac:dyDescent="0.3">
      <c r="A1113" s="31"/>
      <c r="B1113" s="24">
        <v>1100</v>
      </c>
      <c r="C1113" s="24" t="s">
        <v>1195</v>
      </c>
      <c r="D1113" s="24" t="s">
        <v>198</v>
      </c>
      <c r="E1113" s="24" t="s">
        <v>9</v>
      </c>
      <c r="F1113" s="24">
        <v>10247</v>
      </c>
      <c r="G1113" s="25">
        <v>42908</v>
      </c>
      <c r="H1113" s="25">
        <v>45099</v>
      </c>
      <c r="I1113" s="24" t="s">
        <v>16</v>
      </c>
      <c r="J1113" s="24" t="s">
        <v>38</v>
      </c>
      <c r="K1113" s="24" t="str">
        <f>IF(certifications[[#This Row],[ISSUE DATE]]="", "", TEXT(certifications[[#This Row],[ISSUE DATE]], "MMM"))</f>
        <v>Jun</v>
      </c>
      <c r="L1113" s="35" t="str">
        <f>IF(certifications[[#This Row],[ISSUE DATE]]="", "", TEXT(certifications[[#This Row],[ISSUE DATE]], "YYYY"))</f>
        <v>2017</v>
      </c>
    </row>
    <row r="1114" spans="1:12" s="29" customFormat="1" ht="23.95" customHeight="1" x14ac:dyDescent="0.3">
      <c r="A1114" s="31"/>
      <c r="B1114" s="24">
        <v>1101</v>
      </c>
      <c r="C1114" s="24" t="s">
        <v>1196</v>
      </c>
      <c r="D1114" s="24" t="s">
        <v>1197</v>
      </c>
      <c r="E1114" s="24" t="s">
        <v>9</v>
      </c>
      <c r="F1114" s="24">
        <v>15703</v>
      </c>
      <c r="G1114" s="25">
        <v>44172</v>
      </c>
      <c r="H1114" s="25">
        <v>45633</v>
      </c>
      <c r="I1114" s="24" t="s">
        <v>321</v>
      </c>
      <c r="J1114" s="24" t="s">
        <v>38</v>
      </c>
      <c r="K1114" s="24" t="str">
        <f>IF(certifications[[#This Row],[ISSUE DATE]]="", "", TEXT(certifications[[#This Row],[ISSUE DATE]], "MMM"))</f>
        <v>Dec</v>
      </c>
      <c r="L1114" s="35" t="str">
        <f>IF(certifications[[#This Row],[ISSUE DATE]]="", "", TEXT(certifications[[#This Row],[ISSUE DATE]], "YYYY"))</f>
        <v>2020</v>
      </c>
    </row>
    <row r="1115" spans="1:12" s="29" customFormat="1" ht="23.95" customHeight="1" x14ac:dyDescent="0.3">
      <c r="A1115" s="31"/>
      <c r="B1115" s="24">
        <v>1102</v>
      </c>
      <c r="C1115" s="24" t="s">
        <v>1198</v>
      </c>
      <c r="D1115" s="24" t="s">
        <v>46</v>
      </c>
      <c r="E1115" s="24" t="s">
        <v>9</v>
      </c>
      <c r="F1115" s="24">
        <v>14942</v>
      </c>
      <c r="G1115" s="25">
        <v>43818</v>
      </c>
      <c r="H1115" s="25">
        <v>44549</v>
      </c>
      <c r="I1115" s="24" t="s">
        <v>16</v>
      </c>
      <c r="J1115" s="24" t="s">
        <v>38</v>
      </c>
      <c r="K1115" s="24" t="str">
        <f>IF(certifications[[#This Row],[ISSUE DATE]]="", "", TEXT(certifications[[#This Row],[ISSUE DATE]], "MMM"))</f>
        <v>Dec</v>
      </c>
      <c r="L1115" s="35" t="str">
        <f>IF(certifications[[#This Row],[ISSUE DATE]]="", "", TEXT(certifications[[#This Row],[ISSUE DATE]], "YYYY"))</f>
        <v>2019</v>
      </c>
    </row>
    <row r="1116" spans="1:12" s="29" customFormat="1" ht="23.95" customHeight="1" x14ac:dyDescent="0.3">
      <c r="A1116" s="31"/>
      <c r="B1116" s="24">
        <v>1103</v>
      </c>
      <c r="C1116" s="24" t="s">
        <v>1199</v>
      </c>
      <c r="D1116" s="24" t="s">
        <v>848</v>
      </c>
      <c r="E1116" s="24" t="s">
        <v>9</v>
      </c>
      <c r="F1116" s="24">
        <v>16523</v>
      </c>
      <c r="G1116" s="25">
        <v>44372</v>
      </c>
      <c r="H1116" s="25">
        <v>45102</v>
      </c>
      <c r="I1116" s="24" t="s">
        <v>16</v>
      </c>
      <c r="J1116" s="24" t="s">
        <v>38</v>
      </c>
      <c r="K1116" s="24" t="str">
        <f>IF(certifications[[#This Row],[ISSUE DATE]]="", "", TEXT(certifications[[#This Row],[ISSUE DATE]], "MMM"))</f>
        <v>Jun</v>
      </c>
      <c r="L1116" s="35" t="str">
        <f>IF(certifications[[#This Row],[ISSUE DATE]]="", "", TEXT(certifications[[#This Row],[ISSUE DATE]], "YYYY"))</f>
        <v>2021</v>
      </c>
    </row>
    <row r="1117" spans="1:12" s="29" customFormat="1" ht="23.95" customHeight="1" x14ac:dyDescent="0.3">
      <c r="A1117" s="31"/>
      <c r="B1117" s="24">
        <v>1104</v>
      </c>
      <c r="C1117" s="24" t="s">
        <v>1200</v>
      </c>
      <c r="D1117" s="24" t="s">
        <v>190</v>
      </c>
      <c r="E1117" s="24" t="s">
        <v>9</v>
      </c>
      <c r="F1117" s="24">
        <v>8106</v>
      </c>
      <c r="G1117" s="25">
        <v>42069</v>
      </c>
      <c r="H1117" s="25">
        <v>42800</v>
      </c>
      <c r="I1117" s="24" t="s">
        <v>16</v>
      </c>
      <c r="J1117" s="24" t="s">
        <v>14</v>
      </c>
      <c r="K1117" s="24" t="str">
        <f>IF(certifications[[#This Row],[ISSUE DATE]]="", "", TEXT(certifications[[#This Row],[ISSUE DATE]], "MMM"))</f>
        <v>Mar</v>
      </c>
      <c r="L1117" s="35" t="str">
        <f>IF(certifications[[#This Row],[ISSUE DATE]]="", "", TEXT(certifications[[#This Row],[ISSUE DATE]], "YYYY"))</f>
        <v>2015</v>
      </c>
    </row>
    <row r="1118" spans="1:12" s="29" customFormat="1" ht="23.95" customHeight="1" x14ac:dyDescent="0.3">
      <c r="A1118" s="31"/>
      <c r="B1118" s="24">
        <v>1105</v>
      </c>
      <c r="C1118" s="24" t="s">
        <v>1201</v>
      </c>
      <c r="D1118" s="24" t="s">
        <v>80</v>
      </c>
      <c r="E1118" s="24" t="s">
        <v>9</v>
      </c>
      <c r="F1118" s="24">
        <v>18516</v>
      </c>
      <c r="G1118" s="25">
        <v>45033</v>
      </c>
      <c r="H1118" s="25">
        <v>45891</v>
      </c>
      <c r="I1118" s="24" t="s">
        <v>10</v>
      </c>
      <c r="J1118" s="24" t="s">
        <v>38</v>
      </c>
      <c r="K1118" s="24" t="str">
        <f>IF(certifications[[#This Row],[ISSUE DATE]]="", "", TEXT(certifications[[#This Row],[ISSUE DATE]], "MMM"))</f>
        <v>Apr</v>
      </c>
      <c r="L1118" s="35" t="str">
        <f>IF(certifications[[#This Row],[ISSUE DATE]]="", "", TEXT(certifications[[#This Row],[ISSUE DATE]], "YYYY"))</f>
        <v>2023</v>
      </c>
    </row>
    <row r="1119" spans="1:12" s="29" customFormat="1" ht="23.95" customHeight="1" x14ac:dyDescent="0.3">
      <c r="A1119" s="31"/>
      <c r="B1119" s="24">
        <v>1106</v>
      </c>
      <c r="C1119" s="24" t="s">
        <v>1202</v>
      </c>
      <c r="D1119" s="24" t="s">
        <v>18</v>
      </c>
      <c r="E1119" s="24" t="s">
        <v>9</v>
      </c>
      <c r="F1119" s="24">
        <v>12736</v>
      </c>
      <c r="G1119" s="25">
        <v>43479</v>
      </c>
      <c r="H1119" s="25">
        <v>44210</v>
      </c>
      <c r="I1119" s="24" t="s">
        <v>16</v>
      </c>
      <c r="J1119" s="24" t="s">
        <v>19</v>
      </c>
      <c r="K1119" s="24" t="str">
        <f>IF(certifications[[#This Row],[ISSUE DATE]]="", "", TEXT(certifications[[#This Row],[ISSUE DATE]], "MMM"))</f>
        <v>Jan</v>
      </c>
      <c r="L1119" s="35" t="str">
        <f>IF(certifications[[#This Row],[ISSUE DATE]]="", "", TEXT(certifications[[#This Row],[ISSUE DATE]], "YYYY"))</f>
        <v>2019</v>
      </c>
    </row>
    <row r="1120" spans="1:12" s="29" customFormat="1" ht="23.95" customHeight="1" x14ac:dyDescent="0.3">
      <c r="A1120" s="31"/>
      <c r="B1120" s="24">
        <v>1107</v>
      </c>
      <c r="C1120" s="24" t="s">
        <v>1203</v>
      </c>
      <c r="D1120" s="24" t="s">
        <v>80</v>
      </c>
      <c r="E1120" s="24" t="s">
        <v>9</v>
      </c>
      <c r="F1120" s="24">
        <v>15346</v>
      </c>
      <c r="G1120" s="25">
        <v>44041</v>
      </c>
      <c r="H1120" s="25">
        <v>46232</v>
      </c>
      <c r="I1120" s="24" t="s">
        <v>10</v>
      </c>
      <c r="J1120" s="24" t="s">
        <v>38</v>
      </c>
      <c r="K1120" s="24" t="str">
        <f>IF(certifications[[#This Row],[ISSUE DATE]]="", "", TEXT(certifications[[#This Row],[ISSUE DATE]], "MMM"))</f>
        <v>Jul</v>
      </c>
      <c r="L1120" s="35" t="str">
        <f>IF(certifications[[#This Row],[ISSUE DATE]]="", "", TEXT(certifications[[#This Row],[ISSUE DATE]], "YYYY"))</f>
        <v>2020</v>
      </c>
    </row>
    <row r="1121" spans="1:12" s="29" customFormat="1" ht="23.95" customHeight="1" x14ac:dyDescent="0.3">
      <c r="A1121" s="31"/>
      <c r="B1121" s="24">
        <v>1108</v>
      </c>
      <c r="C1121" s="24" t="s">
        <v>1204</v>
      </c>
      <c r="D1121" s="24" t="s">
        <v>18</v>
      </c>
      <c r="E1121" s="24" t="s">
        <v>9</v>
      </c>
      <c r="F1121" s="24">
        <v>12734</v>
      </c>
      <c r="G1121" s="25">
        <v>43479</v>
      </c>
      <c r="H1121" s="25">
        <v>44210</v>
      </c>
      <c r="I1121" s="24" t="s">
        <v>16</v>
      </c>
      <c r="J1121" s="24" t="s">
        <v>19</v>
      </c>
      <c r="K1121" s="24" t="str">
        <f>IF(certifications[[#This Row],[ISSUE DATE]]="", "", TEXT(certifications[[#This Row],[ISSUE DATE]], "MMM"))</f>
        <v>Jan</v>
      </c>
      <c r="L1121" s="35" t="str">
        <f>IF(certifications[[#This Row],[ISSUE DATE]]="", "", TEXT(certifications[[#This Row],[ISSUE DATE]], "YYYY"))</f>
        <v>2019</v>
      </c>
    </row>
    <row r="1122" spans="1:12" s="29" customFormat="1" ht="23.95" customHeight="1" x14ac:dyDescent="0.3">
      <c r="A1122" s="31"/>
      <c r="B1122" s="24">
        <v>1109</v>
      </c>
      <c r="C1122" s="24" t="s">
        <v>1205</v>
      </c>
      <c r="D1122" s="24" t="s">
        <v>269</v>
      </c>
      <c r="E1122" s="24" t="s">
        <v>9</v>
      </c>
      <c r="F1122" s="24">
        <v>20878</v>
      </c>
      <c r="G1122" s="25">
        <v>45685</v>
      </c>
      <c r="H1122" s="25">
        <v>46415</v>
      </c>
      <c r="I1122" s="24" t="s">
        <v>10</v>
      </c>
      <c r="J1122" s="24" t="s">
        <v>25</v>
      </c>
      <c r="K1122" s="24" t="str">
        <f>IF(certifications[[#This Row],[ISSUE DATE]]="", "", TEXT(certifications[[#This Row],[ISSUE DATE]], "MMM"))</f>
        <v>Jan</v>
      </c>
      <c r="L1122" s="35" t="str">
        <f>IF(certifications[[#This Row],[ISSUE DATE]]="", "", TEXT(certifications[[#This Row],[ISSUE DATE]], "YYYY"))</f>
        <v>2025</v>
      </c>
    </row>
    <row r="1123" spans="1:12" s="29" customFormat="1" ht="23.95" customHeight="1" x14ac:dyDescent="0.3">
      <c r="A1123" s="31"/>
      <c r="B1123" s="24">
        <v>1110</v>
      </c>
      <c r="C1123" s="24" t="s">
        <v>1205</v>
      </c>
      <c r="D1123" s="24" t="s">
        <v>269</v>
      </c>
      <c r="E1123" s="24" t="s">
        <v>26</v>
      </c>
      <c r="F1123" s="24">
        <v>20878</v>
      </c>
      <c r="G1123" s="25">
        <v>45559</v>
      </c>
      <c r="H1123" s="25">
        <v>46289</v>
      </c>
      <c r="I1123" s="24" t="s">
        <v>10</v>
      </c>
      <c r="J1123" s="24" t="s">
        <v>25</v>
      </c>
      <c r="K1123" s="24" t="str">
        <f>IF(certifications[[#This Row],[ISSUE DATE]]="", "", TEXT(certifications[[#This Row],[ISSUE DATE]], "MMM"))</f>
        <v>Sep</v>
      </c>
      <c r="L1123" s="35" t="str">
        <f>IF(certifications[[#This Row],[ISSUE DATE]]="", "", TEXT(certifications[[#This Row],[ISSUE DATE]], "YYYY"))</f>
        <v>2024</v>
      </c>
    </row>
    <row r="1124" spans="1:12" s="29" customFormat="1" ht="23.95" customHeight="1" x14ac:dyDescent="0.3">
      <c r="A1124" s="31"/>
      <c r="B1124" s="24">
        <v>1111</v>
      </c>
      <c r="C1124" s="24" t="s">
        <v>1206</v>
      </c>
      <c r="D1124" s="24" t="s">
        <v>18</v>
      </c>
      <c r="E1124" s="24" t="s">
        <v>9</v>
      </c>
      <c r="F1124" s="24">
        <v>9700</v>
      </c>
      <c r="G1124" s="25">
        <v>42557</v>
      </c>
      <c r="H1124" s="25">
        <v>44018</v>
      </c>
      <c r="I1124" s="24" t="s">
        <v>16</v>
      </c>
      <c r="J1124" s="24" t="s">
        <v>19</v>
      </c>
      <c r="K1124" s="24" t="str">
        <f>IF(certifications[[#This Row],[ISSUE DATE]]="", "", TEXT(certifications[[#This Row],[ISSUE DATE]], "MMM"))</f>
        <v>Jul</v>
      </c>
      <c r="L1124" s="35" t="str">
        <f>IF(certifications[[#This Row],[ISSUE DATE]]="", "", TEXT(certifications[[#This Row],[ISSUE DATE]], "YYYY"))</f>
        <v>2016</v>
      </c>
    </row>
    <row r="1125" spans="1:12" s="29" customFormat="1" ht="23.95" customHeight="1" x14ac:dyDescent="0.3">
      <c r="A1125" s="31"/>
      <c r="B1125" s="24">
        <v>1112</v>
      </c>
      <c r="C1125" s="24" t="s">
        <v>1207</v>
      </c>
      <c r="D1125" s="24" t="s">
        <v>32</v>
      </c>
      <c r="E1125" s="24" t="s">
        <v>9</v>
      </c>
      <c r="F1125" s="24">
        <v>14424</v>
      </c>
      <c r="G1125" s="25">
        <v>43697</v>
      </c>
      <c r="H1125" s="25">
        <v>44428</v>
      </c>
      <c r="I1125" s="24" t="s">
        <v>16</v>
      </c>
      <c r="J1125" s="24" t="s">
        <v>33</v>
      </c>
      <c r="K1125" s="24" t="str">
        <f>IF(certifications[[#This Row],[ISSUE DATE]]="", "", TEXT(certifications[[#This Row],[ISSUE DATE]], "MMM"))</f>
        <v>Aug</v>
      </c>
      <c r="L1125" s="35" t="str">
        <f>IF(certifications[[#This Row],[ISSUE DATE]]="", "", TEXT(certifications[[#This Row],[ISSUE DATE]], "YYYY"))</f>
        <v>2019</v>
      </c>
    </row>
    <row r="1126" spans="1:12" s="29" customFormat="1" ht="23.95" customHeight="1" x14ac:dyDescent="0.3">
      <c r="A1126" s="31"/>
      <c r="B1126" s="24">
        <v>1113</v>
      </c>
      <c r="C1126" s="24" t="s">
        <v>1208</v>
      </c>
      <c r="D1126" s="24" t="s">
        <v>61</v>
      </c>
      <c r="E1126" s="24" t="s">
        <v>9</v>
      </c>
      <c r="F1126" s="24">
        <v>7254</v>
      </c>
      <c r="G1126" s="25">
        <v>45413</v>
      </c>
      <c r="H1126" s="25">
        <v>46143</v>
      </c>
      <c r="I1126" s="24" t="s">
        <v>10</v>
      </c>
      <c r="J1126" s="24" t="s">
        <v>19</v>
      </c>
      <c r="K1126" s="24" t="str">
        <f>IF(certifications[[#This Row],[ISSUE DATE]]="", "", TEXT(certifications[[#This Row],[ISSUE DATE]], "MMM"))</f>
        <v>May</v>
      </c>
      <c r="L1126" s="35" t="str">
        <f>IF(certifications[[#This Row],[ISSUE DATE]]="", "", TEXT(certifications[[#This Row],[ISSUE DATE]], "YYYY"))</f>
        <v>2024</v>
      </c>
    </row>
    <row r="1127" spans="1:12" s="29" customFormat="1" ht="23.95" customHeight="1" x14ac:dyDescent="0.3">
      <c r="A1127" s="31"/>
      <c r="B1127" s="24">
        <v>1114</v>
      </c>
      <c r="C1127" s="24" t="s">
        <v>1209</v>
      </c>
      <c r="D1127" s="24" t="s">
        <v>32</v>
      </c>
      <c r="E1127" s="24" t="s">
        <v>9</v>
      </c>
      <c r="F1127" s="24">
        <v>11044</v>
      </c>
      <c r="G1127" s="25">
        <v>43203</v>
      </c>
      <c r="H1127" s="25">
        <v>43934</v>
      </c>
      <c r="I1127" s="24" t="s">
        <v>16</v>
      </c>
      <c r="J1127" s="24" t="s">
        <v>33</v>
      </c>
      <c r="K1127" s="24" t="str">
        <f>IF(certifications[[#This Row],[ISSUE DATE]]="", "", TEXT(certifications[[#This Row],[ISSUE DATE]], "MMM"))</f>
        <v>Apr</v>
      </c>
      <c r="L1127" s="35" t="str">
        <f>IF(certifications[[#This Row],[ISSUE DATE]]="", "", TEXT(certifications[[#This Row],[ISSUE DATE]], "YYYY"))</f>
        <v>2018</v>
      </c>
    </row>
    <row r="1128" spans="1:12" s="29" customFormat="1" ht="23.95" customHeight="1" x14ac:dyDescent="0.3">
      <c r="A1128" s="31"/>
      <c r="B1128" s="24">
        <v>1115</v>
      </c>
      <c r="C1128" s="24" t="s">
        <v>1210</v>
      </c>
      <c r="D1128" s="24" t="s">
        <v>337</v>
      </c>
      <c r="E1128" s="24" t="s">
        <v>9</v>
      </c>
      <c r="F1128" s="24">
        <v>17115</v>
      </c>
      <c r="G1128" s="25">
        <v>44576</v>
      </c>
      <c r="H1128" s="25">
        <v>46037</v>
      </c>
      <c r="I1128" s="24" t="s">
        <v>10</v>
      </c>
      <c r="J1128" s="24" t="s">
        <v>30</v>
      </c>
      <c r="K1128" s="24" t="str">
        <f>IF(certifications[[#This Row],[ISSUE DATE]]="", "", TEXT(certifications[[#This Row],[ISSUE DATE]], "MMM"))</f>
        <v>Jan</v>
      </c>
      <c r="L1128" s="35" t="str">
        <f>IF(certifications[[#This Row],[ISSUE DATE]]="", "", TEXT(certifications[[#This Row],[ISSUE DATE]], "YYYY"))</f>
        <v>2022</v>
      </c>
    </row>
    <row r="1129" spans="1:12" s="29" customFormat="1" ht="23.95" customHeight="1" x14ac:dyDescent="0.3">
      <c r="A1129" s="31"/>
      <c r="B1129" s="24">
        <v>1116</v>
      </c>
      <c r="C1129" s="24" t="s">
        <v>1211</v>
      </c>
      <c r="D1129" s="24" t="s">
        <v>13</v>
      </c>
      <c r="E1129" s="24" t="s">
        <v>9</v>
      </c>
      <c r="F1129" s="24">
        <v>20965</v>
      </c>
      <c r="G1129" s="25">
        <v>45581</v>
      </c>
      <c r="H1129" s="25">
        <v>46311</v>
      </c>
      <c r="I1129" s="24" t="s">
        <v>10</v>
      </c>
      <c r="J1129" s="24" t="s">
        <v>14</v>
      </c>
      <c r="K1129" s="24" t="str">
        <f>IF(certifications[[#This Row],[ISSUE DATE]]="", "", TEXT(certifications[[#This Row],[ISSUE DATE]], "MMM"))</f>
        <v>Oct</v>
      </c>
      <c r="L1129" s="35" t="str">
        <f>IF(certifications[[#This Row],[ISSUE DATE]]="", "", TEXT(certifications[[#This Row],[ISSUE DATE]], "YYYY"))</f>
        <v>2024</v>
      </c>
    </row>
    <row r="1130" spans="1:12" s="29" customFormat="1" ht="23.95" customHeight="1" x14ac:dyDescent="0.3">
      <c r="A1130" s="31"/>
      <c r="B1130" s="24">
        <v>1117</v>
      </c>
      <c r="C1130" s="24" t="s">
        <v>1211</v>
      </c>
      <c r="D1130" s="24" t="s">
        <v>13</v>
      </c>
      <c r="E1130" s="24" t="s">
        <v>26</v>
      </c>
      <c r="F1130" s="24">
        <v>20965</v>
      </c>
      <c r="G1130" s="25">
        <v>45581</v>
      </c>
      <c r="H1130" s="25">
        <v>46311</v>
      </c>
      <c r="I1130" s="24" t="s">
        <v>10</v>
      </c>
      <c r="J1130" s="24" t="s">
        <v>14</v>
      </c>
      <c r="K1130" s="24" t="str">
        <f>IF(certifications[[#This Row],[ISSUE DATE]]="", "", TEXT(certifications[[#This Row],[ISSUE DATE]], "MMM"))</f>
        <v>Oct</v>
      </c>
      <c r="L1130" s="35" t="str">
        <f>IF(certifications[[#This Row],[ISSUE DATE]]="", "", TEXT(certifications[[#This Row],[ISSUE DATE]], "YYYY"))</f>
        <v>2024</v>
      </c>
    </row>
    <row r="1131" spans="1:12" s="29" customFormat="1" ht="23.95" customHeight="1" x14ac:dyDescent="0.3">
      <c r="A1131" s="31"/>
      <c r="B1131" s="24">
        <v>1118</v>
      </c>
      <c r="C1131" s="24" t="s">
        <v>1212</v>
      </c>
      <c r="D1131" s="24" t="s">
        <v>109</v>
      </c>
      <c r="E1131" s="24" t="s">
        <v>9</v>
      </c>
      <c r="F1131" s="24">
        <v>9341</v>
      </c>
      <c r="G1131" s="25">
        <v>42257</v>
      </c>
      <c r="H1131" s="25">
        <v>42988</v>
      </c>
      <c r="I1131" s="24" t="s">
        <v>16</v>
      </c>
      <c r="J1131" s="24" t="s">
        <v>38</v>
      </c>
      <c r="K1131" s="24" t="str">
        <f>IF(certifications[[#This Row],[ISSUE DATE]]="", "", TEXT(certifications[[#This Row],[ISSUE DATE]], "MMM"))</f>
        <v>Sep</v>
      </c>
      <c r="L1131" s="35" t="str">
        <f>IF(certifications[[#This Row],[ISSUE DATE]]="", "", TEXT(certifications[[#This Row],[ISSUE DATE]], "YYYY"))</f>
        <v>2015</v>
      </c>
    </row>
    <row r="1132" spans="1:12" s="29" customFormat="1" ht="23.95" customHeight="1" x14ac:dyDescent="0.3">
      <c r="A1132" s="31"/>
      <c r="B1132" s="24">
        <v>1119</v>
      </c>
      <c r="C1132" s="24" t="s">
        <v>1213</v>
      </c>
      <c r="D1132" s="24" t="s">
        <v>32</v>
      </c>
      <c r="E1132" s="24" t="s">
        <v>9</v>
      </c>
      <c r="F1132" s="24">
        <v>15469</v>
      </c>
      <c r="G1132" s="25">
        <v>44096</v>
      </c>
      <c r="H1132" s="25">
        <v>46287</v>
      </c>
      <c r="I1132" s="24" t="s">
        <v>10</v>
      </c>
      <c r="J1132" s="24" t="s">
        <v>33</v>
      </c>
      <c r="K1132" s="24" t="str">
        <f>IF(certifications[[#This Row],[ISSUE DATE]]="", "", TEXT(certifications[[#This Row],[ISSUE DATE]], "MMM"))</f>
        <v>Sep</v>
      </c>
      <c r="L1132" s="35" t="str">
        <f>IF(certifications[[#This Row],[ISSUE DATE]]="", "", TEXT(certifications[[#This Row],[ISSUE DATE]], "YYYY"))</f>
        <v>2020</v>
      </c>
    </row>
    <row r="1133" spans="1:12" s="29" customFormat="1" ht="23.95" customHeight="1" x14ac:dyDescent="0.3">
      <c r="A1133" s="31"/>
      <c r="B1133" s="24">
        <v>1120</v>
      </c>
      <c r="C1133" s="24" t="s">
        <v>1213</v>
      </c>
      <c r="D1133" s="24" t="s">
        <v>32</v>
      </c>
      <c r="E1133" s="24" t="s">
        <v>26</v>
      </c>
      <c r="F1133" s="24">
        <v>15469</v>
      </c>
      <c r="G1133" s="25">
        <v>44089</v>
      </c>
      <c r="H1133" s="25">
        <v>46280</v>
      </c>
      <c r="I1133" s="24" t="s">
        <v>10</v>
      </c>
      <c r="J1133" s="24" t="s">
        <v>33</v>
      </c>
      <c r="K1133" s="24" t="str">
        <f>IF(certifications[[#This Row],[ISSUE DATE]]="", "", TEXT(certifications[[#This Row],[ISSUE DATE]], "MMM"))</f>
        <v>Sep</v>
      </c>
      <c r="L1133" s="35" t="str">
        <f>IF(certifications[[#This Row],[ISSUE DATE]]="", "", TEXT(certifications[[#This Row],[ISSUE DATE]], "YYYY"))</f>
        <v>2020</v>
      </c>
    </row>
    <row r="1134" spans="1:12" s="29" customFormat="1" ht="23.95" customHeight="1" x14ac:dyDescent="0.3">
      <c r="A1134" s="31"/>
      <c r="B1134" s="24">
        <v>1121</v>
      </c>
      <c r="C1134" s="24" t="s">
        <v>1214</v>
      </c>
      <c r="D1134" s="24" t="s">
        <v>298</v>
      </c>
      <c r="E1134" s="24" t="s">
        <v>26</v>
      </c>
      <c r="F1134" s="24">
        <v>10251</v>
      </c>
      <c r="G1134" s="25">
        <v>43244</v>
      </c>
      <c r="H1134" s="25">
        <v>46166</v>
      </c>
      <c r="I1134" s="24" t="s">
        <v>10</v>
      </c>
      <c r="J1134" s="24" t="s">
        <v>30</v>
      </c>
      <c r="K1134" s="24" t="str">
        <f>IF(certifications[[#This Row],[ISSUE DATE]]="", "", TEXT(certifications[[#This Row],[ISSUE DATE]], "MMM"))</f>
        <v>May</v>
      </c>
      <c r="L1134" s="35" t="str">
        <f>IF(certifications[[#This Row],[ISSUE DATE]]="", "", TEXT(certifications[[#This Row],[ISSUE DATE]], "YYYY"))</f>
        <v>2018</v>
      </c>
    </row>
    <row r="1135" spans="1:12" s="29" customFormat="1" ht="23.95" customHeight="1" x14ac:dyDescent="0.3">
      <c r="A1135" s="31"/>
      <c r="B1135" s="24">
        <v>1122</v>
      </c>
      <c r="C1135" s="24" t="s">
        <v>1215</v>
      </c>
      <c r="D1135" s="24" t="s">
        <v>1216</v>
      </c>
      <c r="E1135" s="24" t="s">
        <v>9</v>
      </c>
      <c r="F1135" s="24">
        <v>10155</v>
      </c>
      <c r="G1135" s="25">
        <v>42896</v>
      </c>
      <c r="H1135" s="25">
        <v>43626</v>
      </c>
      <c r="I1135" s="24" t="s">
        <v>16</v>
      </c>
      <c r="J1135" s="24" t="s">
        <v>11</v>
      </c>
      <c r="K1135" s="24" t="str">
        <f>IF(certifications[[#This Row],[ISSUE DATE]]="", "", TEXT(certifications[[#This Row],[ISSUE DATE]], "MMM"))</f>
        <v>Jun</v>
      </c>
      <c r="L1135" s="35" t="str">
        <f>IF(certifications[[#This Row],[ISSUE DATE]]="", "", TEXT(certifications[[#This Row],[ISSUE DATE]], "YYYY"))</f>
        <v>2017</v>
      </c>
    </row>
    <row r="1136" spans="1:12" s="29" customFormat="1" ht="23.95" customHeight="1" x14ac:dyDescent="0.3">
      <c r="A1136" s="31"/>
      <c r="B1136" s="24">
        <v>1123</v>
      </c>
      <c r="C1136" s="24" t="s">
        <v>1217</v>
      </c>
      <c r="D1136" s="24" t="s">
        <v>53</v>
      </c>
      <c r="E1136" s="24" t="s">
        <v>9</v>
      </c>
      <c r="F1136" s="24">
        <v>10087</v>
      </c>
      <c r="G1136" s="25">
        <v>42815</v>
      </c>
      <c r="H1136" s="25">
        <v>44276</v>
      </c>
      <c r="I1136" s="24" t="s">
        <v>16</v>
      </c>
      <c r="J1136" s="24" t="s">
        <v>25</v>
      </c>
      <c r="K1136" s="24" t="str">
        <f>IF(certifications[[#This Row],[ISSUE DATE]]="", "", TEXT(certifications[[#This Row],[ISSUE DATE]], "MMM"))</f>
        <v>Mar</v>
      </c>
      <c r="L1136" s="35" t="str">
        <f>IF(certifications[[#This Row],[ISSUE DATE]]="", "", TEXT(certifications[[#This Row],[ISSUE DATE]], "YYYY"))</f>
        <v>2017</v>
      </c>
    </row>
    <row r="1137" spans="1:12" s="29" customFormat="1" ht="23.95" customHeight="1" x14ac:dyDescent="0.3">
      <c r="A1137" s="31"/>
      <c r="B1137" s="24">
        <v>1124</v>
      </c>
      <c r="C1137" s="24" t="s">
        <v>1218</v>
      </c>
      <c r="D1137" s="24" t="s">
        <v>1145</v>
      </c>
      <c r="E1137" s="24" t="s">
        <v>9</v>
      </c>
      <c r="F1137" s="24">
        <v>15019</v>
      </c>
      <c r="G1137" s="25">
        <v>43840</v>
      </c>
      <c r="H1137" s="25">
        <v>44571</v>
      </c>
      <c r="I1137" s="24" t="s">
        <v>16</v>
      </c>
      <c r="J1137" s="24" t="s">
        <v>14</v>
      </c>
      <c r="K1137" s="24" t="str">
        <f>IF(certifications[[#This Row],[ISSUE DATE]]="", "", TEXT(certifications[[#This Row],[ISSUE DATE]], "MMM"))</f>
        <v>Jan</v>
      </c>
      <c r="L1137" s="35" t="str">
        <f>IF(certifications[[#This Row],[ISSUE DATE]]="", "", TEXT(certifications[[#This Row],[ISSUE DATE]], "YYYY"))</f>
        <v>2020</v>
      </c>
    </row>
    <row r="1138" spans="1:12" s="29" customFormat="1" ht="23.95" customHeight="1" x14ac:dyDescent="0.3">
      <c r="A1138" s="31"/>
      <c r="B1138" s="24">
        <v>1125</v>
      </c>
      <c r="C1138" s="24" t="s">
        <v>1219</v>
      </c>
      <c r="D1138" s="24" t="s">
        <v>150</v>
      </c>
      <c r="E1138" s="24" t="s">
        <v>9</v>
      </c>
      <c r="F1138" s="24">
        <v>17569</v>
      </c>
      <c r="G1138" s="25">
        <v>44729</v>
      </c>
      <c r="H1138" s="25">
        <v>46190</v>
      </c>
      <c r="I1138" s="24" t="s">
        <v>10</v>
      </c>
      <c r="J1138" s="24" t="s">
        <v>14</v>
      </c>
      <c r="K1138" s="24" t="str">
        <f>IF(certifications[[#This Row],[ISSUE DATE]]="", "", TEXT(certifications[[#This Row],[ISSUE DATE]], "MMM"))</f>
        <v>Jun</v>
      </c>
      <c r="L1138" s="35" t="str">
        <f>IF(certifications[[#This Row],[ISSUE DATE]]="", "", TEXT(certifications[[#This Row],[ISSUE DATE]], "YYYY"))</f>
        <v>2022</v>
      </c>
    </row>
    <row r="1139" spans="1:12" s="29" customFormat="1" ht="23.95" customHeight="1" x14ac:dyDescent="0.3">
      <c r="A1139" s="31"/>
      <c r="B1139" s="24">
        <v>1126</v>
      </c>
      <c r="C1139" s="24" t="s">
        <v>1220</v>
      </c>
      <c r="D1139" s="24" t="s">
        <v>78</v>
      </c>
      <c r="E1139" s="24" t="s">
        <v>9</v>
      </c>
      <c r="F1139" s="24">
        <v>22051</v>
      </c>
      <c r="G1139" s="25">
        <v>45806</v>
      </c>
      <c r="H1139" s="25">
        <v>46536</v>
      </c>
      <c r="I1139" s="24" t="s">
        <v>10</v>
      </c>
      <c r="J1139" s="24" t="s">
        <v>25</v>
      </c>
      <c r="K1139" s="24" t="str">
        <f>IF(certifications[[#This Row],[ISSUE DATE]]="", "", TEXT(certifications[[#This Row],[ISSUE DATE]], "MMM"))</f>
        <v>May</v>
      </c>
      <c r="L1139" s="35" t="str">
        <f>IF(certifications[[#This Row],[ISSUE DATE]]="", "", TEXT(certifications[[#This Row],[ISSUE DATE]], "YYYY"))</f>
        <v>2025</v>
      </c>
    </row>
    <row r="1140" spans="1:12" s="29" customFormat="1" ht="23.95" customHeight="1" x14ac:dyDescent="0.3">
      <c r="A1140" s="31"/>
      <c r="B1140" s="24">
        <v>1127</v>
      </c>
      <c r="C1140" s="24" t="s">
        <v>1221</v>
      </c>
      <c r="D1140" s="24" t="s">
        <v>32</v>
      </c>
      <c r="E1140" s="24" t="s">
        <v>9</v>
      </c>
      <c r="F1140" s="24">
        <v>9243</v>
      </c>
      <c r="G1140" s="25">
        <v>42180</v>
      </c>
      <c r="H1140" s="25">
        <v>44372</v>
      </c>
      <c r="I1140" s="24" t="s">
        <v>16</v>
      </c>
      <c r="J1140" s="24" t="s">
        <v>33</v>
      </c>
      <c r="K1140" s="24" t="str">
        <f>IF(certifications[[#This Row],[ISSUE DATE]]="", "", TEXT(certifications[[#This Row],[ISSUE DATE]], "MMM"))</f>
        <v>Jun</v>
      </c>
      <c r="L1140" s="35" t="str">
        <f>IF(certifications[[#This Row],[ISSUE DATE]]="", "", TEXT(certifications[[#This Row],[ISSUE DATE]], "YYYY"))</f>
        <v>2015</v>
      </c>
    </row>
    <row r="1141" spans="1:12" s="29" customFormat="1" ht="23.95" customHeight="1" x14ac:dyDescent="0.3">
      <c r="A1141" s="31"/>
      <c r="B1141" s="24">
        <v>1128</v>
      </c>
      <c r="C1141" s="24" t="s">
        <v>1222</v>
      </c>
      <c r="D1141" s="24" t="s">
        <v>80</v>
      </c>
      <c r="E1141" s="24" t="s">
        <v>9</v>
      </c>
      <c r="F1141" s="24">
        <v>19537</v>
      </c>
      <c r="G1141" s="25">
        <v>45272</v>
      </c>
      <c r="H1141" s="25">
        <v>46003</v>
      </c>
      <c r="I1141" s="24" t="s">
        <v>10</v>
      </c>
      <c r="J1141" s="24" t="s">
        <v>38</v>
      </c>
      <c r="K1141" s="24" t="str">
        <f>IF(certifications[[#This Row],[ISSUE DATE]]="", "", TEXT(certifications[[#This Row],[ISSUE DATE]], "MMM"))</f>
        <v>Dec</v>
      </c>
      <c r="L1141" s="35" t="str">
        <f>IF(certifications[[#This Row],[ISSUE DATE]]="", "", TEXT(certifications[[#This Row],[ISSUE DATE]], "YYYY"))</f>
        <v>2023</v>
      </c>
    </row>
    <row r="1142" spans="1:12" s="29" customFormat="1" ht="23.95" customHeight="1" x14ac:dyDescent="0.3">
      <c r="A1142" s="31"/>
      <c r="B1142" s="24">
        <v>1129</v>
      </c>
      <c r="C1142" s="24" t="s">
        <v>1223</v>
      </c>
      <c r="D1142" s="24" t="s">
        <v>80</v>
      </c>
      <c r="E1142" s="24" t="s">
        <v>9</v>
      </c>
      <c r="F1142" s="24">
        <v>14653</v>
      </c>
      <c r="G1142" s="25">
        <v>43714</v>
      </c>
      <c r="H1142" s="25">
        <v>44445</v>
      </c>
      <c r="I1142" s="24" t="s">
        <v>16</v>
      </c>
      <c r="J1142" s="24" t="s">
        <v>38</v>
      </c>
      <c r="K1142" s="24" t="str">
        <f>IF(certifications[[#This Row],[ISSUE DATE]]="", "", TEXT(certifications[[#This Row],[ISSUE DATE]], "MMM"))</f>
        <v>Sep</v>
      </c>
      <c r="L1142" s="35" t="str">
        <f>IF(certifications[[#This Row],[ISSUE DATE]]="", "", TEXT(certifications[[#This Row],[ISSUE DATE]], "YYYY"))</f>
        <v>2019</v>
      </c>
    </row>
    <row r="1143" spans="1:12" s="29" customFormat="1" ht="23.95" customHeight="1" x14ac:dyDescent="0.3">
      <c r="A1143" s="31"/>
      <c r="B1143" s="24">
        <v>1130</v>
      </c>
      <c r="C1143" s="24" t="s">
        <v>1224</v>
      </c>
      <c r="D1143" s="24" t="s">
        <v>333</v>
      </c>
      <c r="E1143" s="24" t="s">
        <v>9</v>
      </c>
      <c r="F1143" s="24">
        <v>13588</v>
      </c>
      <c r="G1143" s="25">
        <v>43630</v>
      </c>
      <c r="H1143" s="25">
        <v>44361</v>
      </c>
      <c r="I1143" s="24" t="s">
        <v>16</v>
      </c>
      <c r="J1143" s="24" t="s">
        <v>11</v>
      </c>
      <c r="K1143" s="24" t="str">
        <f>IF(certifications[[#This Row],[ISSUE DATE]]="", "", TEXT(certifications[[#This Row],[ISSUE DATE]], "MMM"))</f>
        <v>Jun</v>
      </c>
      <c r="L1143" s="35" t="str">
        <f>IF(certifications[[#This Row],[ISSUE DATE]]="", "", TEXT(certifications[[#This Row],[ISSUE DATE]], "YYYY"))</f>
        <v>2019</v>
      </c>
    </row>
    <row r="1144" spans="1:12" s="29" customFormat="1" ht="23.95" customHeight="1" x14ac:dyDescent="0.3">
      <c r="A1144" s="31"/>
      <c r="B1144" s="24">
        <v>1131</v>
      </c>
      <c r="C1144" s="24" t="s">
        <v>1225</v>
      </c>
      <c r="D1144" s="24" t="s">
        <v>32</v>
      </c>
      <c r="E1144" s="24" t="s">
        <v>9</v>
      </c>
      <c r="F1144" s="24">
        <v>17878</v>
      </c>
      <c r="G1144" s="25">
        <v>44833</v>
      </c>
      <c r="H1144" s="25">
        <v>46294</v>
      </c>
      <c r="I1144" s="24" t="s">
        <v>10</v>
      </c>
      <c r="J1144" s="24" t="s">
        <v>33</v>
      </c>
      <c r="K1144" s="24" t="str">
        <f>IF(certifications[[#This Row],[ISSUE DATE]]="", "", TEXT(certifications[[#This Row],[ISSUE DATE]], "MMM"))</f>
        <v>Sep</v>
      </c>
      <c r="L1144" s="35" t="str">
        <f>IF(certifications[[#This Row],[ISSUE DATE]]="", "", TEXT(certifications[[#This Row],[ISSUE DATE]], "YYYY"))</f>
        <v>2022</v>
      </c>
    </row>
    <row r="1145" spans="1:12" s="29" customFormat="1" ht="23.95" customHeight="1" x14ac:dyDescent="0.3">
      <c r="A1145" s="31"/>
      <c r="B1145" s="24">
        <v>1132</v>
      </c>
      <c r="C1145" s="24" t="s">
        <v>1226</v>
      </c>
      <c r="D1145" s="24" t="s">
        <v>32</v>
      </c>
      <c r="E1145" s="24" t="s">
        <v>9</v>
      </c>
      <c r="F1145" s="24">
        <v>16535</v>
      </c>
      <c r="G1145" s="25">
        <v>44372</v>
      </c>
      <c r="H1145" s="25">
        <v>45833</v>
      </c>
      <c r="I1145" s="24" t="s">
        <v>10</v>
      </c>
      <c r="J1145" s="24" t="s">
        <v>33</v>
      </c>
      <c r="K1145" s="24" t="str">
        <f>IF(certifications[[#This Row],[ISSUE DATE]]="", "", TEXT(certifications[[#This Row],[ISSUE DATE]], "MMM"))</f>
        <v>Jun</v>
      </c>
      <c r="L1145" s="35" t="str">
        <f>IF(certifications[[#This Row],[ISSUE DATE]]="", "", TEXT(certifications[[#This Row],[ISSUE DATE]], "YYYY"))</f>
        <v>2021</v>
      </c>
    </row>
    <row r="1146" spans="1:12" s="29" customFormat="1" ht="23.95" customHeight="1" x14ac:dyDescent="0.3">
      <c r="A1146" s="31"/>
      <c r="B1146" s="24">
        <v>1133</v>
      </c>
      <c r="C1146" s="24" t="s">
        <v>1227</v>
      </c>
      <c r="D1146" s="24" t="s">
        <v>40</v>
      </c>
      <c r="E1146" s="24" t="s">
        <v>9</v>
      </c>
      <c r="F1146" s="24">
        <v>12366</v>
      </c>
      <c r="G1146" s="25">
        <v>43369</v>
      </c>
      <c r="H1146" s="25">
        <v>46291</v>
      </c>
      <c r="I1146" s="24" t="s">
        <v>10</v>
      </c>
      <c r="J1146" s="24" t="s">
        <v>25</v>
      </c>
      <c r="K1146" s="24" t="str">
        <f>IF(certifications[[#This Row],[ISSUE DATE]]="", "", TEXT(certifications[[#This Row],[ISSUE DATE]], "MMM"))</f>
        <v>Sep</v>
      </c>
      <c r="L1146" s="35" t="str">
        <f>IF(certifications[[#This Row],[ISSUE DATE]]="", "", TEXT(certifications[[#This Row],[ISSUE DATE]], "YYYY"))</f>
        <v>2018</v>
      </c>
    </row>
    <row r="1147" spans="1:12" s="29" customFormat="1" ht="23.95" customHeight="1" x14ac:dyDescent="0.3">
      <c r="A1147" s="31"/>
      <c r="B1147" s="24">
        <v>1134</v>
      </c>
      <c r="C1147" s="24" t="s">
        <v>1227</v>
      </c>
      <c r="D1147" s="24" t="s">
        <v>40</v>
      </c>
      <c r="E1147" s="24" t="s">
        <v>26</v>
      </c>
      <c r="F1147" s="24">
        <v>12366</v>
      </c>
      <c r="G1147" s="25">
        <v>44060</v>
      </c>
      <c r="H1147" s="25">
        <v>46251</v>
      </c>
      <c r="I1147" s="24" t="s">
        <v>10</v>
      </c>
      <c r="J1147" s="24" t="s">
        <v>25</v>
      </c>
      <c r="K1147" s="24" t="str">
        <f>IF(certifications[[#This Row],[ISSUE DATE]]="", "", TEXT(certifications[[#This Row],[ISSUE DATE]], "MMM"))</f>
        <v>Aug</v>
      </c>
      <c r="L1147" s="35" t="str">
        <f>IF(certifications[[#This Row],[ISSUE DATE]]="", "", TEXT(certifications[[#This Row],[ISSUE DATE]], "YYYY"))</f>
        <v>2020</v>
      </c>
    </row>
    <row r="1148" spans="1:12" s="29" customFormat="1" ht="23.95" customHeight="1" x14ac:dyDescent="0.3">
      <c r="A1148" s="31"/>
      <c r="B1148" s="24">
        <v>1135</v>
      </c>
      <c r="C1148" s="24" t="s">
        <v>1228</v>
      </c>
      <c r="D1148" s="24" t="s">
        <v>46</v>
      </c>
      <c r="E1148" s="24" t="s">
        <v>9</v>
      </c>
      <c r="F1148" s="24">
        <v>16064</v>
      </c>
      <c r="G1148" s="25">
        <v>44271</v>
      </c>
      <c r="H1148" s="25">
        <v>45001</v>
      </c>
      <c r="I1148" s="24" t="s">
        <v>16</v>
      </c>
      <c r="J1148" s="24" t="s">
        <v>38</v>
      </c>
      <c r="K1148" s="24" t="str">
        <f>IF(certifications[[#This Row],[ISSUE DATE]]="", "", TEXT(certifications[[#This Row],[ISSUE DATE]], "MMM"))</f>
        <v>Mar</v>
      </c>
      <c r="L1148" s="35" t="str">
        <f>IF(certifications[[#This Row],[ISSUE DATE]]="", "", TEXT(certifications[[#This Row],[ISSUE DATE]], "YYYY"))</f>
        <v>2021</v>
      </c>
    </row>
    <row r="1149" spans="1:12" s="29" customFormat="1" ht="23.95" customHeight="1" x14ac:dyDescent="0.3">
      <c r="A1149" s="31"/>
      <c r="B1149" s="24">
        <v>1136</v>
      </c>
      <c r="C1149" s="24" t="s">
        <v>1229</v>
      </c>
      <c r="D1149" s="24" t="s">
        <v>32</v>
      </c>
      <c r="E1149" s="24" t="s">
        <v>9</v>
      </c>
      <c r="F1149" s="24">
        <v>14425</v>
      </c>
      <c r="G1149" s="25">
        <v>43697</v>
      </c>
      <c r="H1149" s="25">
        <v>44428</v>
      </c>
      <c r="I1149" s="24" t="s">
        <v>16</v>
      </c>
      <c r="J1149" s="24" t="s">
        <v>33</v>
      </c>
      <c r="K1149" s="24" t="str">
        <f>IF(certifications[[#This Row],[ISSUE DATE]]="", "", TEXT(certifications[[#This Row],[ISSUE DATE]], "MMM"))</f>
        <v>Aug</v>
      </c>
      <c r="L1149" s="35" t="str">
        <f>IF(certifications[[#This Row],[ISSUE DATE]]="", "", TEXT(certifications[[#This Row],[ISSUE DATE]], "YYYY"))</f>
        <v>2019</v>
      </c>
    </row>
    <row r="1150" spans="1:12" s="29" customFormat="1" ht="23.95" customHeight="1" x14ac:dyDescent="0.3">
      <c r="A1150" s="31"/>
      <c r="B1150" s="24">
        <v>1137</v>
      </c>
      <c r="C1150" s="24" t="s">
        <v>1230</v>
      </c>
      <c r="D1150" s="24" t="s">
        <v>32</v>
      </c>
      <c r="E1150" s="24" t="s">
        <v>9</v>
      </c>
      <c r="F1150" s="24">
        <v>10019</v>
      </c>
      <c r="G1150" s="25">
        <v>42766</v>
      </c>
      <c r="H1150" s="25">
        <v>43496</v>
      </c>
      <c r="I1150" s="24" t="s">
        <v>16</v>
      </c>
      <c r="J1150" s="24" t="s">
        <v>33</v>
      </c>
      <c r="K1150" s="24" t="str">
        <f>IF(certifications[[#This Row],[ISSUE DATE]]="", "", TEXT(certifications[[#This Row],[ISSUE DATE]], "MMM"))</f>
        <v>Jan</v>
      </c>
      <c r="L1150" s="35" t="str">
        <f>IF(certifications[[#This Row],[ISSUE DATE]]="", "", TEXT(certifications[[#This Row],[ISSUE DATE]], "YYYY"))</f>
        <v>2017</v>
      </c>
    </row>
    <row r="1151" spans="1:12" s="29" customFormat="1" ht="23.95" customHeight="1" x14ac:dyDescent="0.3">
      <c r="A1151" s="31"/>
      <c r="B1151" s="24">
        <v>1138</v>
      </c>
      <c r="C1151" s="24" t="s">
        <v>1231</v>
      </c>
      <c r="D1151" s="24" t="s">
        <v>32</v>
      </c>
      <c r="E1151" s="24" t="s">
        <v>9</v>
      </c>
      <c r="F1151" s="24">
        <v>18334</v>
      </c>
      <c r="G1151" s="25">
        <v>45614</v>
      </c>
      <c r="H1151" s="25">
        <v>46344</v>
      </c>
      <c r="I1151" s="24" t="s">
        <v>10</v>
      </c>
      <c r="J1151" s="24" t="s">
        <v>33</v>
      </c>
      <c r="K1151" s="24" t="str">
        <f>IF(certifications[[#This Row],[ISSUE DATE]]="", "", TEXT(certifications[[#This Row],[ISSUE DATE]], "MMM"))</f>
        <v>Nov</v>
      </c>
      <c r="L1151" s="35" t="str">
        <f>IF(certifications[[#This Row],[ISSUE DATE]]="", "", TEXT(certifications[[#This Row],[ISSUE DATE]], "YYYY"))</f>
        <v>2024</v>
      </c>
    </row>
    <row r="1152" spans="1:12" s="29" customFormat="1" ht="23.95" customHeight="1" x14ac:dyDescent="0.3">
      <c r="A1152" s="31"/>
      <c r="B1152" s="24">
        <v>1139</v>
      </c>
      <c r="C1152" s="24" t="s">
        <v>1232</v>
      </c>
      <c r="D1152" s="24" t="s">
        <v>48</v>
      </c>
      <c r="E1152" s="24" t="s">
        <v>9</v>
      </c>
      <c r="F1152" s="24">
        <v>19550</v>
      </c>
      <c r="G1152" s="25">
        <v>45272</v>
      </c>
      <c r="H1152" s="25">
        <v>46003</v>
      </c>
      <c r="I1152" s="24" t="s">
        <v>10</v>
      </c>
      <c r="J1152" s="24" t="s">
        <v>38</v>
      </c>
      <c r="K1152" s="24" t="str">
        <f>IF(certifications[[#This Row],[ISSUE DATE]]="", "", TEXT(certifications[[#This Row],[ISSUE DATE]], "MMM"))</f>
        <v>Dec</v>
      </c>
      <c r="L1152" s="35" t="str">
        <f>IF(certifications[[#This Row],[ISSUE DATE]]="", "", TEXT(certifications[[#This Row],[ISSUE DATE]], "YYYY"))</f>
        <v>2023</v>
      </c>
    </row>
    <row r="1153" spans="1:12" s="29" customFormat="1" ht="23.95" customHeight="1" x14ac:dyDescent="0.3">
      <c r="A1153" s="31"/>
      <c r="B1153" s="24">
        <v>1140</v>
      </c>
      <c r="C1153" s="24" t="s">
        <v>1233</v>
      </c>
      <c r="D1153" s="24" t="s">
        <v>235</v>
      </c>
      <c r="E1153" s="24" t="s">
        <v>9</v>
      </c>
      <c r="F1153" s="24">
        <v>14020</v>
      </c>
      <c r="G1153" s="25">
        <v>43670</v>
      </c>
      <c r="H1153" s="25">
        <v>44401</v>
      </c>
      <c r="I1153" s="24" t="s">
        <v>16</v>
      </c>
      <c r="J1153" s="24" t="s">
        <v>22</v>
      </c>
      <c r="K1153" s="24" t="str">
        <f>IF(certifications[[#This Row],[ISSUE DATE]]="", "", TEXT(certifications[[#This Row],[ISSUE DATE]], "MMM"))</f>
        <v>Jul</v>
      </c>
      <c r="L1153" s="35" t="str">
        <f>IF(certifications[[#This Row],[ISSUE DATE]]="", "", TEXT(certifications[[#This Row],[ISSUE DATE]], "YYYY"))</f>
        <v>2019</v>
      </c>
    </row>
    <row r="1154" spans="1:12" s="29" customFormat="1" ht="23.95" customHeight="1" x14ac:dyDescent="0.3">
      <c r="A1154" s="31"/>
      <c r="B1154" s="24">
        <v>1141</v>
      </c>
      <c r="C1154" s="24" t="s">
        <v>1234</v>
      </c>
      <c r="D1154" s="24" t="s">
        <v>32</v>
      </c>
      <c r="E1154" s="24" t="s">
        <v>9</v>
      </c>
      <c r="F1154" s="24">
        <v>14021</v>
      </c>
      <c r="G1154" s="25">
        <v>43670</v>
      </c>
      <c r="H1154" s="25">
        <v>44401</v>
      </c>
      <c r="I1154" s="24" t="s">
        <v>16</v>
      </c>
      <c r="J1154" s="24" t="s">
        <v>33</v>
      </c>
      <c r="K1154" s="24" t="str">
        <f>IF(certifications[[#This Row],[ISSUE DATE]]="", "", TEXT(certifications[[#This Row],[ISSUE DATE]], "MMM"))</f>
        <v>Jul</v>
      </c>
      <c r="L1154" s="35" t="str">
        <f>IF(certifications[[#This Row],[ISSUE DATE]]="", "", TEXT(certifications[[#This Row],[ISSUE DATE]], "YYYY"))</f>
        <v>2019</v>
      </c>
    </row>
    <row r="1155" spans="1:12" s="29" customFormat="1" ht="23.95" customHeight="1" x14ac:dyDescent="0.3">
      <c r="A1155" s="31"/>
      <c r="B1155" s="24">
        <v>1142</v>
      </c>
      <c r="C1155" s="24" t="s">
        <v>1235</v>
      </c>
      <c r="D1155" s="24" t="s">
        <v>402</v>
      </c>
      <c r="E1155" s="24" t="s">
        <v>9</v>
      </c>
      <c r="F1155" s="24">
        <v>20157</v>
      </c>
      <c r="G1155" s="25">
        <v>45400</v>
      </c>
      <c r="H1155" s="25">
        <v>46130</v>
      </c>
      <c r="I1155" s="24" t="s">
        <v>10</v>
      </c>
      <c r="J1155" s="24" t="s">
        <v>19</v>
      </c>
      <c r="K1155" s="24" t="str">
        <f>IF(certifications[[#This Row],[ISSUE DATE]]="", "", TEXT(certifications[[#This Row],[ISSUE DATE]], "MMM"))</f>
        <v>Apr</v>
      </c>
      <c r="L1155" s="35" t="str">
        <f>IF(certifications[[#This Row],[ISSUE DATE]]="", "", TEXT(certifications[[#This Row],[ISSUE DATE]], "YYYY"))</f>
        <v>2024</v>
      </c>
    </row>
    <row r="1156" spans="1:12" s="29" customFormat="1" ht="23.95" customHeight="1" x14ac:dyDescent="0.3">
      <c r="A1156" s="31"/>
      <c r="B1156" s="24">
        <v>1143</v>
      </c>
      <c r="C1156" s="24" t="s">
        <v>1236</v>
      </c>
      <c r="D1156" s="24" t="s">
        <v>1237</v>
      </c>
      <c r="E1156" s="24" t="s">
        <v>9</v>
      </c>
      <c r="F1156" s="24">
        <v>19621</v>
      </c>
      <c r="G1156" s="25">
        <v>45281</v>
      </c>
      <c r="H1156" s="25">
        <v>46012</v>
      </c>
      <c r="I1156" s="24" t="s">
        <v>10</v>
      </c>
      <c r="J1156" s="24" t="s">
        <v>30</v>
      </c>
      <c r="K1156" s="24" t="str">
        <f>IF(certifications[[#This Row],[ISSUE DATE]]="", "", TEXT(certifications[[#This Row],[ISSUE DATE]], "MMM"))</f>
        <v>Dec</v>
      </c>
      <c r="L1156" s="35" t="str">
        <f>IF(certifications[[#This Row],[ISSUE DATE]]="", "", TEXT(certifications[[#This Row],[ISSUE DATE]], "YYYY"))</f>
        <v>2023</v>
      </c>
    </row>
    <row r="1157" spans="1:12" s="29" customFormat="1" ht="23.95" customHeight="1" x14ac:dyDescent="0.3">
      <c r="A1157" s="31"/>
      <c r="B1157" s="24">
        <v>1144</v>
      </c>
      <c r="C1157" s="24" t="s">
        <v>1236</v>
      </c>
      <c r="D1157" s="24" t="s">
        <v>1237</v>
      </c>
      <c r="E1157" s="24" t="s">
        <v>26</v>
      </c>
      <c r="F1157" s="24">
        <v>19621</v>
      </c>
      <c r="G1157" s="25">
        <v>45296</v>
      </c>
      <c r="H1157" s="25">
        <v>46027</v>
      </c>
      <c r="I1157" s="24" t="s">
        <v>10</v>
      </c>
      <c r="J1157" s="24" t="s">
        <v>30</v>
      </c>
      <c r="K1157" s="24" t="str">
        <f>IF(certifications[[#This Row],[ISSUE DATE]]="", "", TEXT(certifications[[#This Row],[ISSUE DATE]], "MMM"))</f>
        <v>Jan</v>
      </c>
      <c r="L1157" s="35" t="str">
        <f>IF(certifications[[#This Row],[ISSUE DATE]]="", "", TEXT(certifications[[#This Row],[ISSUE DATE]], "YYYY"))</f>
        <v>2024</v>
      </c>
    </row>
    <row r="1158" spans="1:12" s="29" customFormat="1" ht="23.95" customHeight="1" x14ac:dyDescent="0.3">
      <c r="A1158" s="31"/>
      <c r="B1158" s="24">
        <v>1145</v>
      </c>
      <c r="C1158" s="24" t="s">
        <v>1238</v>
      </c>
      <c r="D1158" s="24" t="s">
        <v>160</v>
      </c>
      <c r="E1158" s="24" t="s">
        <v>9</v>
      </c>
      <c r="F1158" s="24">
        <v>16165</v>
      </c>
      <c r="G1158" s="25">
        <v>44293</v>
      </c>
      <c r="H1158" s="25">
        <v>46484</v>
      </c>
      <c r="I1158" s="24" t="s">
        <v>10</v>
      </c>
      <c r="J1158" s="24" t="s">
        <v>14</v>
      </c>
      <c r="K1158" s="24" t="str">
        <f>IF(certifications[[#This Row],[ISSUE DATE]]="", "", TEXT(certifications[[#This Row],[ISSUE DATE]], "MMM"))</f>
        <v>Apr</v>
      </c>
      <c r="L1158" s="35" t="str">
        <f>IF(certifications[[#This Row],[ISSUE DATE]]="", "", TEXT(certifications[[#This Row],[ISSUE DATE]], "YYYY"))</f>
        <v>2021</v>
      </c>
    </row>
    <row r="1159" spans="1:12" s="29" customFormat="1" ht="23.95" customHeight="1" x14ac:dyDescent="0.3">
      <c r="A1159" s="31"/>
      <c r="B1159" s="24">
        <v>1146</v>
      </c>
      <c r="C1159" s="24" t="s">
        <v>1239</v>
      </c>
      <c r="D1159" s="24" t="s">
        <v>235</v>
      </c>
      <c r="E1159" s="24" t="s">
        <v>9</v>
      </c>
      <c r="F1159" s="24">
        <v>22052</v>
      </c>
      <c r="G1159" s="25">
        <v>45806</v>
      </c>
      <c r="H1159" s="25">
        <v>46536</v>
      </c>
      <c r="I1159" s="24" t="s">
        <v>10</v>
      </c>
      <c r="J1159" s="24" t="s">
        <v>22</v>
      </c>
      <c r="K1159" s="24" t="str">
        <f>IF(certifications[[#This Row],[ISSUE DATE]]="", "", TEXT(certifications[[#This Row],[ISSUE DATE]], "MMM"))</f>
        <v>May</v>
      </c>
      <c r="L1159" s="35" t="str">
        <f>IF(certifications[[#This Row],[ISSUE DATE]]="", "", TEXT(certifications[[#This Row],[ISSUE DATE]], "YYYY"))</f>
        <v>2025</v>
      </c>
    </row>
    <row r="1160" spans="1:12" s="29" customFormat="1" ht="23.95" customHeight="1" x14ac:dyDescent="0.3">
      <c r="A1160" s="31"/>
      <c r="B1160" s="24">
        <v>1147</v>
      </c>
      <c r="C1160" s="24" t="s">
        <v>1240</v>
      </c>
      <c r="D1160" s="24" t="s">
        <v>256</v>
      </c>
      <c r="E1160" s="24" t="s">
        <v>9</v>
      </c>
      <c r="F1160" s="24">
        <v>21571</v>
      </c>
      <c r="G1160" s="25">
        <v>45707</v>
      </c>
      <c r="H1160" s="25">
        <v>46437</v>
      </c>
      <c r="I1160" s="24" t="s">
        <v>10</v>
      </c>
      <c r="J1160" s="24" t="s">
        <v>14</v>
      </c>
      <c r="K1160" s="24" t="str">
        <f>IF(certifications[[#This Row],[ISSUE DATE]]="", "", TEXT(certifications[[#This Row],[ISSUE DATE]], "MMM"))</f>
        <v>Feb</v>
      </c>
      <c r="L1160" s="35" t="str">
        <f>IF(certifications[[#This Row],[ISSUE DATE]]="", "", TEXT(certifications[[#This Row],[ISSUE DATE]], "YYYY"))</f>
        <v>2025</v>
      </c>
    </row>
    <row r="1161" spans="1:12" s="29" customFormat="1" ht="23.95" customHeight="1" x14ac:dyDescent="0.3">
      <c r="A1161" s="31"/>
      <c r="B1161" s="24">
        <v>1148</v>
      </c>
      <c r="C1161" s="24" t="s">
        <v>1241</v>
      </c>
      <c r="D1161" s="24" t="s">
        <v>32</v>
      </c>
      <c r="E1161" s="24" t="s">
        <v>26</v>
      </c>
      <c r="F1161" s="24">
        <v>16142</v>
      </c>
      <c r="G1161" s="25">
        <v>44286</v>
      </c>
      <c r="H1161" s="25">
        <v>46477</v>
      </c>
      <c r="I1161" s="24" t="s">
        <v>10</v>
      </c>
      <c r="J1161" s="24" t="s">
        <v>33</v>
      </c>
      <c r="K1161" s="24" t="str">
        <f>IF(certifications[[#This Row],[ISSUE DATE]]="", "", TEXT(certifications[[#This Row],[ISSUE DATE]], "MMM"))</f>
        <v>Mar</v>
      </c>
      <c r="L1161" s="35" t="str">
        <f>IF(certifications[[#This Row],[ISSUE DATE]]="", "", TEXT(certifications[[#This Row],[ISSUE DATE]], "YYYY"))</f>
        <v>2021</v>
      </c>
    </row>
    <row r="1162" spans="1:12" s="29" customFormat="1" ht="23.95" customHeight="1" x14ac:dyDescent="0.3">
      <c r="A1162" s="31"/>
      <c r="B1162" s="24">
        <v>1149</v>
      </c>
      <c r="C1162" s="24" t="s">
        <v>1242</v>
      </c>
      <c r="D1162" s="24" t="s">
        <v>88</v>
      </c>
      <c r="E1162" s="24" t="s">
        <v>9</v>
      </c>
      <c r="F1162" s="24">
        <v>10597</v>
      </c>
      <c r="G1162" s="25">
        <v>43081</v>
      </c>
      <c r="H1162" s="25">
        <v>43811</v>
      </c>
      <c r="I1162" s="24" t="s">
        <v>16</v>
      </c>
      <c r="J1162" s="24" t="s">
        <v>19</v>
      </c>
      <c r="K1162" s="24" t="str">
        <f>IF(certifications[[#This Row],[ISSUE DATE]]="", "", TEXT(certifications[[#This Row],[ISSUE DATE]], "MMM"))</f>
        <v>Dec</v>
      </c>
      <c r="L1162" s="35" t="str">
        <f>IF(certifications[[#This Row],[ISSUE DATE]]="", "", TEXT(certifications[[#This Row],[ISSUE DATE]], "YYYY"))</f>
        <v>2017</v>
      </c>
    </row>
    <row r="1163" spans="1:12" s="29" customFormat="1" ht="23.95" customHeight="1" x14ac:dyDescent="0.3">
      <c r="A1163" s="31"/>
      <c r="B1163" s="24">
        <v>1150</v>
      </c>
      <c r="C1163" s="24" t="s">
        <v>1243</v>
      </c>
      <c r="D1163" s="24" t="s">
        <v>337</v>
      </c>
      <c r="E1163" s="24" t="s">
        <v>9</v>
      </c>
      <c r="F1163" s="24">
        <v>8713</v>
      </c>
      <c r="G1163" s="25">
        <v>41620</v>
      </c>
      <c r="H1163" s="25">
        <v>44542</v>
      </c>
      <c r="I1163" s="24" t="s">
        <v>16</v>
      </c>
      <c r="J1163" s="24" t="s">
        <v>30</v>
      </c>
      <c r="K1163" s="24" t="str">
        <f>IF(certifications[[#This Row],[ISSUE DATE]]="", "", TEXT(certifications[[#This Row],[ISSUE DATE]], "MMM"))</f>
        <v>Dec</v>
      </c>
      <c r="L1163" s="35" t="str">
        <f>IF(certifications[[#This Row],[ISSUE DATE]]="", "", TEXT(certifications[[#This Row],[ISSUE DATE]], "YYYY"))</f>
        <v>2013</v>
      </c>
    </row>
    <row r="1164" spans="1:12" s="29" customFormat="1" ht="23.95" customHeight="1" x14ac:dyDescent="0.3">
      <c r="A1164" s="31"/>
      <c r="B1164" s="24">
        <v>1151</v>
      </c>
      <c r="C1164" s="24" t="s">
        <v>1244</v>
      </c>
      <c r="D1164" s="24" t="s">
        <v>32</v>
      </c>
      <c r="E1164" s="24" t="s">
        <v>9</v>
      </c>
      <c r="F1164" s="24">
        <v>9999</v>
      </c>
      <c r="G1164" s="25">
        <v>42753</v>
      </c>
      <c r="H1164" s="25">
        <v>43483</v>
      </c>
      <c r="I1164" s="24" t="s">
        <v>16</v>
      </c>
      <c r="J1164" s="24" t="s">
        <v>33</v>
      </c>
      <c r="K1164" s="24" t="str">
        <f>IF(certifications[[#This Row],[ISSUE DATE]]="", "", TEXT(certifications[[#This Row],[ISSUE DATE]], "MMM"))</f>
        <v>Jan</v>
      </c>
      <c r="L1164" s="35" t="str">
        <f>IF(certifications[[#This Row],[ISSUE DATE]]="", "", TEXT(certifications[[#This Row],[ISSUE DATE]], "YYYY"))</f>
        <v>2017</v>
      </c>
    </row>
    <row r="1165" spans="1:12" s="29" customFormat="1" ht="23.95" customHeight="1" x14ac:dyDescent="0.3">
      <c r="A1165" s="31"/>
      <c r="B1165" s="24">
        <v>1152</v>
      </c>
      <c r="C1165" s="24" t="s">
        <v>1245</v>
      </c>
      <c r="D1165" s="24" t="s">
        <v>32</v>
      </c>
      <c r="E1165" s="24" t="s">
        <v>9</v>
      </c>
      <c r="F1165" s="24">
        <v>11598</v>
      </c>
      <c r="G1165" s="25">
        <v>44747</v>
      </c>
      <c r="H1165" s="25">
        <v>46208</v>
      </c>
      <c r="I1165" s="24" t="s">
        <v>10</v>
      </c>
      <c r="J1165" s="24" t="s">
        <v>33</v>
      </c>
      <c r="K1165" s="24" t="str">
        <f>IF(certifications[[#This Row],[ISSUE DATE]]="", "", TEXT(certifications[[#This Row],[ISSUE DATE]], "MMM"))</f>
        <v>Jul</v>
      </c>
      <c r="L1165" s="35" t="str">
        <f>IF(certifications[[#This Row],[ISSUE DATE]]="", "", TEXT(certifications[[#This Row],[ISSUE DATE]], "YYYY"))</f>
        <v>2022</v>
      </c>
    </row>
    <row r="1166" spans="1:12" s="29" customFormat="1" ht="23.95" customHeight="1" x14ac:dyDescent="0.3">
      <c r="A1166" s="31"/>
      <c r="B1166" s="24">
        <v>1153</v>
      </c>
      <c r="C1166" s="3" t="s">
        <v>1245</v>
      </c>
      <c r="D1166" s="3" t="s">
        <v>32</v>
      </c>
      <c r="E1166" s="3" t="s">
        <v>27</v>
      </c>
      <c r="F1166" s="3">
        <v>11598</v>
      </c>
      <c r="G1166" s="4">
        <v>45645</v>
      </c>
      <c r="H1166" s="4">
        <v>46375</v>
      </c>
      <c r="I1166" s="3" t="s">
        <v>10</v>
      </c>
      <c r="J1166" s="3" t="s">
        <v>33</v>
      </c>
      <c r="K1166" s="3" t="str">
        <f>IF(certifications[[#This Row],[ISSUE DATE]]="", "", TEXT(certifications[[#This Row],[ISSUE DATE]], "MMM"))</f>
        <v>Dec</v>
      </c>
      <c r="L1166" s="36" t="str">
        <f>IF(certifications[[#This Row],[ISSUE DATE]]="", "", TEXT(certifications[[#This Row],[ISSUE DATE]], "YYYY"))</f>
        <v>2024</v>
      </c>
    </row>
    <row r="1167" spans="1:12" s="29" customFormat="1" ht="23.95" customHeight="1" x14ac:dyDescent="0.3">
      <c r="A1167" s="31"/>
      <c r="B1167" s="24">
        <v>1154</v>
      </c>
      <c r="C1167" s="24" t="s">
        <v>1246</v>
      </c>
      <c r="D1167" s="24" t="s">
        <v>515</v>
      </c>
      <c r="E1167" s="24" t="s">
        <v>9</v>
      </c>
      <c r="F1167" s="24">
        <v>15011</v>
      </c>
      <c r="G1167" s="25">
        <v>43840</v>
      </c>
      <c r="H1167" s="25">
        <v>45301</v>
      </c>
      <c r="I1167" s="24" t="s">
        <v>16</v>
      </c>
      <c r="J1167" s="24" t="s">
        <v>14</v>
      </c>
      <c r="K1167" s="24" t="str">
        <f>IF(certifications[[#This Row],[ISSUE DATE]]="", "", TEXT(certifications[[#This Row],[ISSUE DATE]], "MMM"))</f>
        <v>Jan</v>
      </c>
      <c r="L1167" s="35" t="str">
        <f>IF(certifications[[#This Row],[ISSUE DATE]]="", "", TEXT(certifications[[#This Row],[ISSUE DATE]], "YYYY"))</f>
        <v>2020</v>
      </c>
    </row>
    <row r="1168" spans="1:12" s="29" customFormat="1" ht="23.95" customHeight="1" x14ac:dyDescent="0.3">
      <c r="A1168" s="31"/>
      <c r="B1168" s="24">
        <v>1155</v>
      </c>
      <c r="C1168" s="24" t="s">
        <v>1247</v>
      </c>
      <c r="D1168" s="24" t="s">
        <v>13</v>
      </c>
      <c r="E1168" s="24" t="s">
        <v>9</v>
      </c>
      <c r="F1168" s="24">
        <v>8295</v>
      </c>
      <c r="G1168" s="25">
        <v>43606</v>
      </c>
      <c r="H1168" s="25">
        <v>44337</v>
      </c>
      <c r="I1168" s="24" t="s">
        <v>16</v>
      </c>
      <c r="J1168" s="24" t="s">
        <v>14</v>
      </c>
      <c r="K1168" s="24" t="str">
        <f>IF(certifications[[#This Row],[ISSUE DATE]]="", "", TEXT(certifications[[#This Row],[ISSUE DATE]], "MMM"))</f>
        <v>May</v>
      </c>
      <c r="L1168" s="35" t="str">
        <f>IF(certifications[[#This Row],[ISSUE DATE]]="", "", TEXT(certifications[[#This Row],[ISSUE DATE]], "YYYY"))</f>
        <v>2019</v>
      </c>
    </row>
    <row r="1169" spans="1:12" s="29" customFormat="1" ht="23.95" customHeight="1" x14ac:dyDescent="0.3">
      <c r="A1169" s="31"/>
      <c r="B1169" s="24">
        <v>1156</v>
      </c>
      <c r="C1169" s="24" t="s">
        <v>1248</v>
      </c>
      <c r="D1169" s="24" t="s">
        <v>46</v>
      </c>
      <c r="E1169" s="24" t="s">
        <v>9</v>
      </c>
      <c r="F1169" s="24">
        <v>15520</v>
      </c>
      <c r="G1169" s="25">
        <v>44096</v>
      </c>
      <c r="H1169" s="25">
        <v>46287</v>
      </c>
      <c r="I1169" s="24" t="s">
        <v>10</v>
      </c>
      <c r="J1169" s="24" t="s">
        <v>38</v>
      </c>
      <c r="K1169" s="24" t="str">
        <f>IF(certifications[[#This Row],[ISSUE DATE]]="", "", TEXT(certifications[[#This Row],[ISSUE DATE]], "MMM"))</f>
        <v>Sep</v>
      </c>
      <c r="L1169" s="35" t="str">
        <f>IF(certifications[[#This Row],[ISSUE DATE]]="", "", TEXT(certifications[[#This Row],[ISSUE DATE]], "YYYY"))</f>
        <v>2020</v>
      </c>
    </row>
    <row r="1170" spans="1:12" s="29" customFormat="1" ht="23.95" customHeight="1" x14ac:dyDescent="0.3">
      <c r="A1170" s="31"/>
      <c r="B1170" s="24">
        <v>1157</v>
      </c>
      <c r="C1170" s="24" t="s">
        <v>1249</v>
      </c>
      <c r="D1170" s="24" t="s">
        <v>1250</v>
      </c>
      <c r="E1170" s="24" t="s">
        <v>9</v>
      </c>
      <c r="F1170" s="24">
        <v>13580</v>
      </c>
      <c r="G1170" s="25">
        <v>43630</v>
      </c>
      <c r="H1170" s="25">
        <v>46552</v>
      </c>
      <c r="I1170" s="24" t="s">
        <v>10</v>
      </c>
      <c r="J1170" s="24" t="s">
        <v>11</v>
      </c>
      <c r="K1170" s="24" t="str">
        <f>IF(certifications[[#This Row],[ISSUE DATE]]="", "", TEXT(certifications[[#This Row],[ISSUE DATE]], "MMM"))</f>
        <v>Jun</v>
      </c>
      <c r="L1170" s="35" t="str">
        <f>IF(certifications[[#This Row],[ISSUE DATE]]="", "", TEXT(certifications[[#This Row],[ISSUE DATE]], "YYYY"))</f>
        <v>2019</v>
      </c>
    </row>
    <row r="1171" spans="1:12" s="29" customFormat="1" ht="23.95" customHeight="1" x14ac:dyDescent="0.3">
      <c r="A1171" s="31"/>
      <c r="B1171" s="24">
        <v>1158</v>
      </c>
      <c r="C1171" s="24" t="s">
        <v>1249</v>
      </c>
      <c r="D1171" s="24" t="s">
        <v>1250</v>
      </c>
      <c r="E1171" s="24" t="s">
        <v>26</v>
      </c>
      <c r="F1171" s="24">
        <v>13580</v>
      </c>
      <c r="G1171" s="25">
        <v>44195</v>
      </c>
      <c r="H1171" s="25">
        <v>45656</v>
      </c>
      <c r="I1171" s="24" t="s">
        <v>82</v>
      </c>
      <c r="J1171" s="24" t="s">
        <v>11</v>
      </c>
      <c r="K1171" s="24" t="str">
        <f>IF(certifications[[#This Row],[ISSUE DATE]]="", "", TEXT(certifications[[#This Row],[ISSUE DATE]], "MMM"))</f>
        <v>Dec</v>
      </c>
      <c r="L1171" s="35" t="str">
        <f>IF(certifications[[#This Row],[ISSUE DATE]]="", "", TEXT(certifications[[#This Row],[ISSUE DATE]], "YYYY"))</f>
        <v>2020</v>
      </c>
    </row>
    <row r="1172" spans="1:12" s="29" customFormat="1" ht="23.95" customHeight="1" x14ac:dyDescent="0.3">
      <c r="A1172" s="31"/>
      <c r="B1172" s="24">
        <v>1159</v>
      </c>
      <c r="C1172" s="24" t="s">
        <v>1251</v>
      </c>
      <c r="D1172" s="24" t="s">
        <v>13</v>
      </c>
      <c r="E1172" s="24" t="s">
        <v>9</v>
      </c>
      <c r="F1172" s="24">
        <v>15029</v>
      </c>
      <c r="G1172" s="25">
        <v>43840</v>
      </c>
      <c r="H1172" s="25">
        <v>44571</v>
      </c>
      <c r="I1172" s="24" t="s">
        <v>16</v>
      </c>
      <c r="J1172" s="24" t="s">
        <v>14</v>
      </c>
      <c r="K1172" s="24" t="str">
        <f>IF(certifications[[#This Row],[ISSUE DATE]]="", "", TEXT(certifications[[#This Row],[ISSUE DATE]], "MMM"))</f>
        <v>Jan</v>
      </c>
      <c r="L1172" s="35" t="str">
        <f>IF(certifications[[#This Row],[ISSUE DATE]]="", "", TEXT(certifications[[#This Row],[ISSUE DATE]], "YYYY"))</f>
        <v>2020</v>
      </c>
    </row>
    <row r="1173" spans="1:12" s="29" customFormat="1" ht="23.95" customHeight="1" x14ac:dyDescent="0.3">
      <c r="A1173" s="31"/>
      <c r="B1173" s="24">
        <v>1160</v>
      </c>
      <c r="C1173" s="24" t="s">
        <v>1252</v>
      </c>
      <c r="D1173" s="24" t="s">
        <v>13</v>
      </c>
      <c r="E1173" s="24" t="s">
        <v>9</v>
      </c>
      <c r="F1173" s="24">
        <v>20149</v>
      </c>
      <c r="G1173" s="25">
        <v>45394</v>
      </c>
      <c r="H1173" s="25">
        <v>46124</v>
      </c>
      <c r="I1173" s="24" t="s">
        <v>10</v>
      </c>
      <c r="J1173" s="24" t="s">
        <v>14</v>
      </c>
      <c r="K1173" s="24" t="str">
        <f>IF(certifications[[#This Row],[ISSUE DATE]]="", "", TEXT(certifications[[#This Row],[ISSUE DATE]], "MMM"))</f>
        <v>Apr</v>
      </c>
      <c r="L1173" s="35" t="str">
        <f>IF(certifications[[#This Row],[ISSUE DATE]]="", "", TEXT(certifications[[#This Row],[ISSUE DATE]], "YYYY"))</f>
        <v>2024</v>
      </c>
    </row>
    <row r="1174" spans="1:12" s="29" customFormat="1" ht="23.95" customHeight="1" x14ac:dyDescent="0.3">
      <c r="A1174" s="31"/>
      <c r="B1174" s="24">
        <v>1161</v>
      </c>
      <c r="C1174" s="24" t="s">
        <v>1252</v>
      </c>
      <c r="D1174" s="24" t="s">
        <v>13</v>
      </c>
      <c r="E1174" s="24" t="s">
        <v>26</v>
      </c>
      <c r="F1174" s="24">
        <v>20149</v>
      </c>
      <c r="G1174" s="25">
        <v>45493</v>
      </c>
      <c r="H1174" s="25">
        <v>46223</v>
      </c>
      <c r="I1174" s="24" t="s">
        <v>10</v>
      </c>
      <c r="J1174" s="24" t="s">
        <v>14</v>
      </c>
      <c r="K1174" s="24" t="str">
        <f>IF(certifications[[#This Row],[ISSUE DATE]]="", "", TEXT(certifications[[#This Row],[ISSUE DATE]], "MMM"))</f>
        <v>Jul</v>
      </c>
      <c r="L1174" s="35" t="str">
        <f>IF(certifications[[#This Row],[ISSUE DATE]]="", "", TEXT(certifications[[#This Row],[ISSUE DATE]], "YYYY"))</f>
        <v>2024</v>
      </c>
    </row>
    <row r="1175" spans="1:12" s="29" customFormat="1" ht="23.95" customHeight="1" x14ac:dyDescent="0.3">
      <c r="A1175" s="31"/>
      <c r="B1175" s="24">
        <v>1162</v>
      </c>
      <c r="C1175" s="24" t="s">
        <v>1253</v>
      </c>
      <c r="D1175" s="24" t="s">
        <v>737</v>
      </c>
      <c r="E1175" s="24" t="s">
        <v>26</v>
      </c>
      <c r="F1175" s="24">
        <v>21891</v>
      </c>
      <c r="G1175" s="25">
        <v>45777</v>
      </c>
      <c r="H1175" s="25">
        <v>46507</v>
      </c>
      <c r="I1175" s="24" t="s">
        <v>10</v>
      </c>
      <c r="J1175" s="24" t="s">
        <v>30</v>
      </c>
      <c r="K1175" s="24" t="str">
        <f>IF(certifications[[#This Row],[ISSUE DATE]]="", "", TEXT(certifications[[#This Row],[ISSUE DATE]], "MMM"))</f>
        <v>Apr</v>
      </c>
      <c r="L1175" s="35" t="str">
        <f>IF(certifications[[#This Row],[ISSUE DATE]]="", "", TEXT(certifications[[#This Row],[ISSUE DATE]], "YYYY"))</f>
        <v>2025</v>
      </c>
    </row>
    <row r="1176" spans="1:12" s="29" customFormat="1" ht="23.95" customHeight="1" x14ac:dyDescent="0.3">
      <c r="A1176" s="31"/>
      <c r="B1176" s="24">
        <v>1163</v>
      </c>
      <c r="C1176" s="24" t="s">
        <v>1254</v>
      </c>
      <c r="D1176" s="24" t="s">
        <v>32</v>
      </c>
      <c r="E1176" s="24" t="s">
        <v>9</v>
      </c>
      <c r="F1176" s="24">
        <v>18915</v>
      </c>
      <c r="G1176" s="25">
        <v>45131</v>
      </c>
      <c r="H1176" s="25">
        <v>45862</v>
      </c>
      <c r="I1176" s="24" t="s">
        <v>10</v>
      </c>
      <c r="J1176" s="24" t="s">
        <v>33</v>
      </c>
      <c r="K1176" s="24" t="str">
        <f>IF(certifications[[#This Row],[ISSUE DATE]]="", "", TEXT(certifications[[#This Row],[ISSUE DATE]], "MMM"))</f>
        <v>Jul</v>
      </c>
      <c r="L1176" s="35" t="str">
        <f>IF(certifications[[#This Row],[ISSUE DATE]]="", "", TEXT(certifications[[#This Row],[ISSUE DATE]], "YYYY"))</f>
        <v>2023</v>
      </c>
    </row>
    <row r="1177" spans="1:12" s="29" customFormat="1" ht="23.95" customHeight="1" x14ac:dyDescent="0.3">
      <c r="A1177" s="31"/>
      <c r="B1177" s="24">
        <v>1164</v>
      </c>
      <c r="C1177" s="24" t="s">
        <v>1254</v>
      </c>
      <c r="D1177" s="24" t="s">
        <v>32</v>
      </c>
      <c r="E1177" s="24" t="s">
        <v>26</v>
      </c>
      <c r="F1177" s="24">
        <v>18915</v>
      </c>
      <c r="G1177" s="25">
        <v>45756</v>
      </c>
      <c r="H1177" s="25">
        <v>46486</v>
      </c>
      <c r="I1177" s="24" t="s">
        <v>10</v>
      </c>
      <c r="J1177" s="24" t="s">
        <v>33</v>
      </c>
      <c r="K1177" s="24" t="str">
        <f>IF(certifications[[#This Row],[ISSUE DATE]]="", "", TEXT(certifications[[#This Row],[ISSUE DATE]], "MMM"))</f>
        <v>Apr</v>
      </c>
      <c r="L1177" s="35" t="str">
        <f>IF(certifications[[#This Row],[ISSUE DATE]]="", "", TEXT(certifications[[#This Row],[ISSUE DATE]], "YYYY"))</f>
        <v>2025</v>
      </c>
    </row>
    <row r="1178" spans="1:12" s="29" customFormat="1" ht="23.95" customHeight="1" x14ac:dyDescent="0.3">
      <c r="A1178" s="31"/>
      <c r="B1178" s="24">
        <v>1165</v>
      </c>
      <c r="C1178" s="24" t="s">
        <v>1255</v>
      </c>
      <c r="D1178" s="24" t="s">
        <v>327</v>
      </c>
      <c r="E1178" s="24" t="s">
        <v>9</v>
      </c>
      <c r="F1178" s="24">
        <v>9609</v>
      </c>
      <c r="G1178" s="25">
        <v>42513</v>
      </c>
      <c r="H1178" s="25">
        <v>43243</v>
      </c>
      <c r="I1178" s="24" t="s">
        <v>16</v>
      </c>
      <c r="J1178" s="24" t="s">
        <v>22</v>
      </c>
      <c r="K1178" s="24" t="str">
        <f>IF(certifications[[#This Row],[ISSUE DATE]]="", "", TEXT(certifications[[#This Row],[ISSUE DATE]], "MMM"))</f>
        <v>May</v>
      </c>
      <c r="L1178" s="35" t="str">
        <f>IF(certifications[[#This Row],[ISSUE DATE]]="", "", TEXT(certifications[[#This Row],[ISSUE DATE]], "YYYY"))</f>
        <v>2016</v>
      </c>
    </row>
    <row r="1179" spans="1:12" s="29" customFormat="1" ht="23.95" customHeight="1" x14ac:dyDescent="0.3">
      <c r="A1179" s="31"/>
      <c r="B1179" s="24">
        <v>1166</v>
      </c>
      <c r="C1179" s="24" t="s">
        <v>1256</v>
      </c>
      <c r="D1179" s="24" t="s">
        <v>1257</v>
      </c>
      <c r="E1179" s="24" t="s">
        <v>9</v>
      </c>
      <c r="F1179" s="24">
        <v>21577</v>
      </c>
      <c r="G1179" s="25">
        <v>45707</v>
      </c>
      <c r="H1179" s="25">
        <v>46437</v>
      </c>
      <c r="I1179" s="24" t="s">
        <v>10</v>
      </c>
      <c r="J1179" s="24" t="s">
        <v>22</v>
      </c>
      <c r="K1179" s="24" t="str">
        <f>IF(certifications[[#This Row],[ISSUE DATE]]="", "", TEXT(certifications[[#This Row],[ISSUE DATE]], "MMM"))</f>
        <v>Feb</v>
      </c>
      <c r="L1179" s="35" t="str">
        <f>IF(certifications[[#This Row],[ISSUE DATE]]="", "", TEXT(certifications[[#This Row],[ISSUE DATE]], "YYYY"))</f>
        <v>2025</v>
      </c>
    </row>
    <row r="1180" spans="1:12" s="29" customFormat="1" ht="23.95" customHeight="1" x14ac:dyDescent="0.3">
      <c r="A1180" s="31"/>
      <c r="B1180" s="24">
        <v>1167</v>
      </c>
      <c r="C1180" s="24" t="s">
        <v>1258</v>
      </c>
      <c r="D1180" s="24" t="s">
        <v>363</v>
      </c>
      <c r="E1180" s="24" t="s">
        <v>9</v>
      </c>
      <c r="F1180" s="24">
        <v>11832</v>
      </c>
      <c r="G1180" s="25">
        <v>43279</v>
      </c>
      <c r="H1180" s="25">
        <v>44010</v>
      </c>
      <c r="I1180" s="24" t="s">
        <v>16</v>
      </c>
      <c r="J1180" s="24" t="s">
        <v>19</v>
      </c>
      <c r="K1180" s="24" t="str">
        <f>IF(certifications[[#This Row],[ISSUE DATE]]="", "", TEXT(certifications[[#This Row],[ISSUE DATE]], "MMM"))</f>
        <v>Jun</v>
      </c>
      <c r="L1180" s="35" t="str">
        <f>IF(certifications[[#This Row],[ISSUE DATE]]="", "", TEXT(certifications[[#This Row],[ISSUE DATE]], "YYYY"))</f>
        <v>2018</v>
      </c>
    </row>
    <row r="1181" spans="1:12" s="29" customFormat="1" ht="23.95" customHeight="1" x14ac:dyDescent="0.3">
      <c r="A1181" s="31"/>
      <c r="B1181" s="24">
        <v>1168</v>
      </c>
      <c r="C1181" s="24" t="s">
        <v>1259</v>
      </c>
      <c r="D1181" s="24" t="s">
        <v>363</v>
      </c>
      <c r="E1181" s="24" t="s">
        <v>9</v>
      </c>
      <c r="F1181" s="24">
        <v>13711</v>
      </c>
      <c r="G1181" s="25">
        <v>43640</v>
      </c>
      <c r="H1181" s="25">
        <v>44371</v>
      </c>
      <c r="I1181" s="24" t="s">
        <v>16</v>
      </c>
      <c r="J1181" s="24" t="s">
        <v>19</v>
      </c>
      <c r="K1181" s="24" t="str">
        <f>IF(certifications[[#This Row],[ISSUE DATE]]="", "", TEXT(certifications[[#This Row],[ISSUE DATE]], "MMM"))</f>
        <v>Jun</v>
      </c>
      <c r="L1181" s="35" t="str">
        <f>IF(certifications[[#This Row],[ISSUE DATE]]="", "", TEXT(certifications[[#This Row],[ISSUE DATE]], "YYYY"))</f>
        <v>2019</v>
      </c>
    </row>
    <row r="1182" spans="1:12" s="29" customFormat="1" ht="23.95" customHeight="1" x14ac:dyDescent="0.3">
      <c r="A1182" s="31"/>
      <c r="B1182" s="24">
        <v>1169</v>
      </c>
      <c r="C1182" s="24" t="s">
        <v>1260</v>
      </c>
      <c r="D1182" s="24" t="s">
        <v>402</v>
      </c>
      <c r="E1182" s="24" t="s">
        <v>9</v>
      </c>
      <c r="F1182" s="24">
        <v>17005</v>
      </c>
      <c r="G1182" s="25">
        <v>44523</v>
      </c>
      <c r="H1182" s="25">
        <v>45253</v>
      </c>
      <c r="I1182" s="24" t="s">
        <v>16</v>
      </c>
      <c r="J1182" s="24" t="s">
        <v>19</v>
      </c>
      <c r="K1182" s="24" t="str">
        <f>IF(certifications[[#This Row],[ISSUE DATE]]="", "", TEXT(certifications[[#This Row],[ISSUE DATE]], "MMM"))</f>
        <v>Nov</v>
      </c>
      <c r="L1182" s="35" t="str">
        <f>IF(certifications[[#This Row],[ISSUE DATE]]="", "", TEXT(certifications[[#This Row],[ISSUE DATE]], "YYYY"))</f>
        <v>2021</v>
      </c>
    </row>
    <row r="1183" spans="1:12" s="29" customFormat="1" ht="23.95" customHeight="1" x14ac:dyDescent="0.3">
      <c r="A1183" s="31"/>
      <c r="B1183" s="24">
        <v>1170</v>
      </c>
      <c r="C1183" s="24" t="s">
        <v>1261</v>
      </c>
      <c r="D1183" s="24" t="s">
        <v>53</v>
      </c>
      <c r="E1183" s="24" t="s">
        <v>9</v>
      </c>
      <c r="F1183" s="24">
        <v>17161</v>
      </c>
      <c r="G1183" s="25">
        <v>44603</v>
      </c>
      <c r="H1183" s="25">
        <v>46064</v>
      </c>
      <c r="I1183" s="24" t="s">
        <v>10</v>
      </c>
      <c r="J1183" s="24" t="s">
        <v>25</v>
      </c>
      <c r="K1183" s="24" t="str">
        <f>IF(certifications[[#This Row],[ISSUE DATE]]="", "", TEXT(certifications[[#This Row],[ISSUE DATE]], "MMM"))</f>
        <v>Feb</v>
      </c>
      <c r="L1183" s="35" t="str">
        <f>IF(certifications[[#This Row],[ISSUE DATE]]="", "", TEXT(certifications[[#This Row],[ISSUE DATE]], "YYYY"))</f>
        <v>2022</v>
      </c>
    </row>
    <row r="1184" spans="1:12" s="29" customFormat="1" ht="23.95" customHeight="1" x14ac:dyDescent="0.3">
      <c r="A1184" s="31"/>
      <c r="B1184" s="24">
        <v>1171</v>
      </c>
      <c r="C1184" s="24" t="s">
        <v>1262</v>
      </c>
      <c r="D1184" s="24" t="s">
        <v>61</v>
      </c>
      <c r="E1184" s="24" t="s">
        <v>9</v>
      </c>
      <c r="F1184" s="24">
        <v>13708</v>
      </c>
      <c r="G1184" s="25">
        <v>43640</v>
      </c>
      <c r="H1184" s="25">
        <v>46562</v>
      </c>
      <c r="I1184" s="24" t="s">
        <v>10</v>
      </c>
      <c r="J1184" s="24" t="s">
        <v>19</v>
      </c>
      <c r="K1184" s="24" t="str">
        <f>IF(certifications[[#This Row],[ISSUE DATE]]="", "", TEXT(certifications[[#This Row],[ISSUE DATE]], "MMM"))</f>
        <v>Jun</v>
      </c>
      <c r="L1184" s="35" t="str">
        <f>IF(certifications[[#This Row],[ISSUE DATE]]="", "", TEXT(certifications[[#This Row],[ISSUE DATE]], "YYYY"))</f>
        <v>2019</v>
      </c>
    </row>
    <row r="1185" spans="1:12" s="29" customFormat="1" ht="23.95" customHeight="1" x14ac:dyDescent="0.3">
      <c r="A1185" s="31"/>
      <c r="B1185" s="24">
        <v>1172</v>
      </c>
      <c r="C1185" s="24" t="s">
        <v>1263</v>
      </c>
      <c r="D1185" s="24" t="s">
        <v>29</v>
      </c>
      <c r="E1185" s="24" t="s">
        <v>9</v>
      </c>
      <c r="F1185" s="24">
        <v>13465</v>
      </c>
      <c r="G1185" s="25">
        <v>43616</v>
      </c>
      <c r="H1185" s="25">
        <v>46538</v>
      </c>
      <c r="I1185" s="24" t="s">
        <v>10</v>
      </c>
      <c r="J1185" s="24" t="s">
        <v>30</v>
      </c>
      <c r="K1185" s="24" t="str">
        <f>IF(certifications[[#This Row],[ISSUE DATE]]="", "", TEXT(certifications[[#This Row],[ISSUE DATE]], "MMM"))</f>
        <v>May</v>
      </c>
      <c r="L1185" s="35" t="str">
        <f>IF(certifications[[#This Row],[ISSUE DATE]]="", "", TEXT(certifications[[#This Row],[ISSUE DATE]], "YYYY"))</f>
        <v>2019</v>
      </c>
    </row>
    <row r="1186" spans="1:12" s="29" customFormat="1" ht="23.95" customHeight="1" x14ac:dyDescent="0.3">
      <c r="A1186" s="31"/>
      <c r="B1186" s="24">
        <v>1173</v>
      </c>
      <c r="C1186" s="24" t="s">
        <v>1264</v>
      </c>
      <c r="D1186" s="24" t="s">
        <v>155</v>
      </c>
      <c r="E1186" s="24" t="s">
        <v>9</v>
      </c>
      <c r="F1186" s="24">
        <v>10154</v>
      </c>
      <c r="G1186" s="25">
        <v>42896</v>
      </c>
      <c r="H1186" s="25">
        <v>46548</v>
      </c>
      <c r="I1186" s="24" t="s">
        <v>10</v>
      </c>
      <c r="J1186" s="24" t="s">
        <v>11</v>
      </c>
      <c r="K1186" s="24" t="str">
        <f>IF(certifications[[#This Row],[ISSUE DATE]]="", "", TEXT(certifications[[#This Row],[ISSUE DATE]], "MMM"))</f>
        <v>Jun</v>
      </c>
      <c r="L1186" s="35" t="str">
        <f>IF(certifications[[#This Row],[ISSUE DATE]]="", "", TEXT(certifications[[#This Row],[ISSUE DATE]], "YYYY"))</f>
        <v>2017</v>
      </c>
    </row>
    <row r="1187" spans="1:12" s="29" customFormat="1" ht="23.95" customHeight="1" x14ac:dyDescent="0.3">
      <c r="A1187" s="31"/>
      <c r="B1187" s="24">
        <v>1174</v>
      </c>
      <c r="C1187" s="24" t="s">
        <v>1264</v>
      </c>
      <c r="D1187" s="24" t="s">
        <v>155</v>
      </c>
      <c r="E1187" s="24" t="s">
        <v>26</v>
      </c>
      <c r="F1187" s="24">
        <v>10154</v>
      </c>
      <c r="G1187" s="25">
        <v>44364</v>
      </c>
      <c r="H1187" s="25">
        <v>46555</v>
      </c>
      <c r="I1187" s="24" t="s">
        <v>10</v>
      </c>
      <c r="J1187" s="24" t="s">
        <v>11</v>
      </c>
      <c r="K1187" s="24" t="str">
        <f>IF(certifications[[#This Row],[ISSUE DATE]]="", "", TEXT(certifications[[#This Row],[ISSUE DATE]], "MMM"))</f>
        <v>Jun</v>
      </c>
      <c r="L1187" s="35" t="str">
        <f>IF(certifications[[#This Row],[ISSUE DATE]]="", "", TEXT(certifications[[#This Row],[ISSUE DATE]], "YYYY"))</f>
        <v>2021</v>
      </c>
    </row>
    <row r="1188" spans="1:12" s="29" customFormat="1" ht="23.95" customHeight="1" x14ac:dyDescent="0.3">
      <c r="A1188" s="31"/>
      <c r="B1188" s="24">
        <v>1175</v>
      </c>
      <c r="C1188" s="24" t="s">
        <v>1265</v>
      </c>
      <c r="D1188" s="24" t="s">
        <v>80</v>
      </c>
      <c r="E1188" s="24" t="s">
        <v>26</v>
      </c>
      <c r="F1188" s="24">
        <v>13452</v>
      </c>
      <c r="G1188" s="25">
        <v>43613</v>
      </c>
      <c r="H1188" s="25">
        <v>44344</v>
      </c>
      <c r="I1188" s="24" t="s">
        <v>16</v>
      </c>
      <c r="J1188" s="24" t="s">
        <v>38</v>
      </c>
      <c r="K1188" s="24" t="str">
        <f>IF(certifications[[#This Row],[ISSUE DATE]]="", "", TEXT(certifications[[#This Row],[ISSUE DATE]], "MMM"))</f>
        <v>May</v>
      </c>
      <c r="L1188" s="35" t="str">
        <f>IF(certifications[[#This Row],[ISSUE DATE]]="", "", TEXT(certifications[[#This Row],[ISSUE DATE]], "YYYY"))</f>
        <v>2019</v>
      </c>
    </row>
    <row r="1189" spans="1:12" s="29" customFormat="1" ht="23.95" customHeight="1" x14ac:dyDescent="0.3">
      <c r="A1189" s="31"/>
      <c r="B1189" s="24">
        <v>1176</v>
      </c>
      <c r="C1189" s="24" t="s">
        <v>1266</v>
      </c>
      <c r="D1189" s="24" t="s">
        <v>708</v>
      </c>
      <c r="E1189" s="24" t="s">
        <v>26</v>
      </c>
      <c r="F1189" s="24">
        <v>12476</v>
      </c>
      <c r="G1189" s="25">
        <v>45279</v>
      </c>
      <c r="H1189" s="25">
        <v>46010</v>
      </c>
      <c r="I1189" s="24" t="s">
        <v>10</v>
      </c>
      <c r="J1189" s="24" t="s">
        <v>38</v>
      </c>
      <c r="K1189" s="24" t="str">
        <f>IF(certifications[[#This Row],[ISSUE DATE]]="", "", TEXT(certifications[[#This Row],[ISSUE DATE]], "MMM"))</f>
        <v>Dec</v>
      </c>
      <c r="L1189" s="35" t="str">
        <f>IF(certifications[[#This Row],[ISSUE DATE]]="", "", TEXT(certifications[[#This Row],[ISSUE DATE]], "YYYY"))</f>
        <v>2023</v>
      </c>
    </row>
    <row r="1190" spans="1:12" s="29" customFormat="1" ht="23.95" customHeight="1" x14ac:dyDescent="0.3">
      <c r="A1190" s="31"/>
      <c r="B1190" s="24">
        <v>1177</v>
      </c>
      <c r="C1190" s="24" t="s">
        <v>1267</v>
      </c>
      <c r="D1190" s="24" t="s">
        <v>13</v>
      </c>
      <c r="E1190" s="24" t="s">
        <v>9</v>
      </c>
      <c r="F1190" s="24">
        <v>9654</v>
      </c>
      <c r="G1190" s="25">
        <v>42537</v>
      </c>
      <c r="H1190" s="25">
        <v>45459</v>
      </c>
      <c r="I1190" s="24" t="s">
        <v>16</v>
      </c>
      <c r="J1190" s="24" t="s">
        <v>14</v>
      </c>
      <c r="K1190" s="24" t="str">
        <f>IF(certifications[[#This Row],[ISSUE DATE]]="", "", TEXT(certifications[[#This Row],[ISSUE DATE]], "MMM"))</f>
        <v>Jun</v>
      </c>
      <c r="L1190" s="35" t="str">
        <f>IF(certifications[[#This Row],[ISSUE DATE]]="", "", TEXT(certifications[[#This Row],[ISSUE DATE]], "YYYY"))</f>
        <v>2016</v>
      </c>
    </row>
    <row r="1191" spans="1:12" s="29" customFormat="1" ht="23.95" customHeight="1" x14ac:dyDescent="0.3">
      <c r="A1191" s="31"/>
      <c r="B1191" s="24">
        <v>1178</v>
      </c>
      <c r="C1191" s="24" t="s">
        <v>1268</v>
      </c>
      <c r="D1191" s="24" t="s">
        <v>32</v>
      </c>
      <c r="E1191" s="24" t="s">
        <v>9</v>
      </c>
      <c r="F1191" s="24">
        <v>14414</v>
      </c>
      <c r="G1191" s="25">
        <v>43697</v>
      </c>
      <c r="H1191" s="25">
        <v>44428</v>
      </c>
      <c r="I1191" s="24" t="s">
        <v>16</v>
      </c>
      <c r="J1191" s="24" t="s">
        <v>33</v>
      </c>
      <c r="K1191" s="24" t="str">
        <f>IF(certifications[[#This Row],[ISSUE DATE]]="", "", TEXT(certifications[[#This Row],[ISSUE DATE]], "MMM"))</f>
        <v>Aug</v>
      </c>
      <c r="L1191" s="35" t="str">
        <f>IF(certifications[[#This Row],[ISSUE DATE]]="", "", TEXT(certifications[[#This Row],[ISSUE DATE]], "YYYY"))</f>
        <v>2019</v>
      </c>
    </row>
    <row r="1192" spans="1:12" s="29" customFormat="1" ht="23.95" customHeight="1" x14ac:dyDescent="0.3">
      <c r="A1192" s="31"/>
      <c r="B1192" s="24">
        <v>1179</v>
      </c>
      <c r="C1192" s="24" t="s">
        <v>1269</v>
      </c>
      <c r="D1192" s="24" t="s">
        <v>32</v>
      </c>
      <c r="E1192" s="24" t="s">
        <v>9</v>
      </c>
      <c r="F1192" s="24">
        <v>13920</v>
      </c>
      <c r="G1192" s="25">
        <v>44461</v>
      </c>
      <c r="H1192" s="25">
        <v>45922</v>
      </c>
      <c r="I1192" s="24" t="s">
        <v>10</v>
      </c>
      <c r="J1192" s="24" t="s">
        <v>33</v>
      </c>
      <c r="K1192" s="24" t="str">
        <f>IF(certifications[[#This Row],[ISSUE DATE]]="", "", TEXT(certifications[[#This Row],[ISSUE DATE]], "MMM"))</f>
        <v>Sep</v>
      </c>
      <c r="L1192" s="35" t="str">
        <f>IF(certifications[[#This Row],[ISSUE DATE]]="", "", TEXT(certifications[[#This Row],[ISSUE DATE]], "YYYY"))</f>
        <v>2021</v>
      </c>
    </row>
    <row r="1193" spans="1:12" s="29" customFormat="1" ht="23.95" customHeight="1" x14ac:dyDescent="0.3">
      <c r="A1193" s="31"/>
      <c r="B1193" s="24">
        <v>1180</v>
      </c>
      <c r="C1193" s="24" t="s">
        <v>1270</v>
      </c>
      <c r="D1193" s="24" t="s">
        <v>126</v>
      </c>
      <c r="E1193" s="24" t="s">
        <v>9</v>
      </c>
      <c r="F1193" s="24">
        <v>12691</v>
      </c>
      <c r="G1193" s="25">
        <v>43474</v>
      </c>
      <c r="H1193" s="25">
        <v>44935</v>
      </c>
      <c r="I1193" s="24" t="s">
        <v>16</v>
      </c>
      <c r="J1193" s="24" t="s">
        <v>38</v>
      </c>
      <c r="K1193" s="24" t="str">
        <f>IF(certifications[[#This Row],[ISSUE DATE]]="", "", TEXT(certifications[[#This Row],[ISSUE DATE]], "MMM"))</f>
        <v>Jan</v>
      </c>
      <c r="L1193" s="35" t="str">
        <f>IF(certifications[[#This Row],[ISSUE DATE]]="", "", TEXT(certifications[[#This Row],[ISSUE DATE]], "YYYY"))</f>
        <v>2019</v>
      </c>
    </row>
    <row r="1194" spans="1:12" s="29" customFormat="1" ht="23.95" customHeight="1" x14ac:dyDescent="0.3">
      <c r="A1194" s="31"/>
      <c r="B1194" s="24">
        <v>1181</v>
      </c>
      <c r="C1194" s="24" t="s">
        <v>1271</v>
      </c>
      <c r="D1194" s="24" t="s">
        <v>1272</v>
      </c>
      <c r="E1194" s="24" t="s">
        <v>9</v>
      </c>
      <c r="F1194" s="24">
        <v>21866</v>
      </c>
      <c r="G1194" s="25">
        <v>45769</v>
      </c>
      <c r="H1194" s="25">
        <v>46499</v>
      </c>
      <c r="I1194" s="24" t="s">
        <v>10</v>
      </c>
      <c r="J1194" s="24" t="s">
        <v>38</v>
      </c>
      <c r="K1194" s="24" t="str">
        <f>IF(certifications[[#This Row],[ISSUE DATE]]="", "", TEXT(certifications[[#This Row],[ISSUE DATE]], "MMM"))</f>
        <v>Apr</v>
      </c>
      <c r="L1194" s="35" t="str">
        <f>IF(certifications[[#This Row],[ISSUE DATE]]="", "", TEXT(certifications[[#This Row],[ISSUE DATE]], "YYYY"))</f>
        <v>2025</v>
      </c>
    </row>
    <row r="1195" spans="1:12" s="29" customFormat="1" ht="23.95" customHeight="1" x14ac:dyDescent="0.3">
      <c r="A1195" s="31"/>
      <c r="B1195" s="24">
        <v>1182</v>
      </c>
      <c r="C1195" s="24" t="s">
        <v>1273</v>
      </c>
      <c r="D1195" s="24" t="s">
        <v>1274</v>
      </c>
      <c r="E1195" s="24" t="s">
        <v>9</v>
      </c>
      <c r="F1195" s="24">
        <v>15347</v>
      </c>
      <c r="G1195" s="25">
        <v>44041</v>
      </c>
      <c r="H1195" s="25">
        <v>46232</v>
      </c>
      <c r="I1195" s="24" t="s">
        <v>10</v>
      </c>
      <c r="J1195" s="24" t="s">
        <v>30</v>
      </c>
      <c r="K1195" s="24" t="str">
        <f>IF(certifications[[#This Row],[ISSUE DATE]]="", "", TEXT(certifications[[#This Row],[ISSUE DATE]], "MMM"))</f>
        <v>Jul</v>
      </c>
      <c r="L1195" s="35" t="str">
        <f>IF(certifications[[#This Row],[ISSUE DATE]]="", "", TEXT(certifications[[#This Row],[ISSUE DATE]], "YYYY"))</f>
        <v>2020</v>
      </c>
    </row>
    <row r="1196" spans="1:12" s="29" customFormat="1" ht="23.95" customHeight="1" x14ac:dyDescent="0.3">
      <c r="A1196" s="31"/>
      <c r="B1196" s="24">
        <v>1183</v>
      </c>
      <c r="C1196" s="24" t="s">
        <v>1275</v>
      </c>
      <c r="D1196" s="24" t="s">
        <v>102</v>
      </c>
      <c r="E1196" s="24" t="s">
        <v>9</v>
      </c>
      <c r="F1196" s="24">
        <v>19131</v>
      </c>
      <c r="G1196" s="25">
        <v>45177</v>
      </c>
      <c r="H1196" s="25">
        <v>45908</v>
      </c>
      <c r="I1196" s="24" t="s">
        <v>10</v>
      </c>
      <c r="J1196" s="24" t="s">
        <v>38</v>
      </c>
      <c r="K1196" s="24" t="str">
        <f>IF(certifications[[#This Row],[ISSUE DATE]]="", "", TEXT(certifications[[#This Row],[ISSUE DATE]], "MMM"))</f>
        <v>Sep</v>
      </c>
      <c r="L1196" s="35" t="str">
        <f>IF(certifications[[#This Row],[ISSUE DATE]]="", "", TEXT(certifications[[#This Row],[ISSUE DATE]], "YYYY"))</f>
        <v>2023</v>
      </c>
    </row>
    <row r="1197" spans="1:12" s="29" customFormat="1" ht="23.95" customHeight="1" x14ac:dyDescent="0.3">
      <c r="A1197" s="31"/>
      <c r="B1197" s="24">
        <v>1184</v>
      </c>
      <c r="C1197" s="24" t="s">
        <v>1276</v>
      </c>
      <c r="D1197" s="24" t="s">
        <v>32</v>
      </c>
      <c r="E1197" s="24" t="s">
        <v>9</v>
      </c>
      <c r="F1197" s="24">
        <v>21851</v>
      </c>
      <c r="G1197" s="25">
        <v>45762</v>
      </c>
      <c r="H1197" s="25">
        <v>46492</v>
      </c>
      <c r="I1197" s="24" t="s">
        <v>10</v>
      </c>
      <c r="J1197" s="24" t="s">
        <v>33</v>
      </c>
      <c r="K1197" s="24" t="str">
        <f>IF(certifications[[#This Row],[ISSUE DATE]]="", "", TEXT(certifications[[#This Row],[ISSUE DATE]], "MMM"))</f>
        <v>Apr</v>
      </c>
      <c r="L1197" s="35" t="str">
        <f>IF(certifications[[#This Row],[ISSUE DATE]]="", "", TEXT(certifications[[#This Row],[ISSUE DATE]], "YYYY"))</f>
        <v>2025</v>
      </c>
    </row>
    <row r="1198" spans="1:12" s="29" customFormat="1" ht="23.95" customHeight="1" x14ac:dyDescent="0.3">
      <c r="A1198" s="31"/>
      <c r="B1198" s="24">
        <v>1185</v>
      </c>
      <c r="C1198" s="24" t="s">
        <v>1277</v>
      </c>
      <c r="D1198" s="24" t="s">
        <v>32</v>
      </c>
      <c r="E1198" s="24" t="s">
        <v>26</v>
      </c>
      <c r="F1198" s="24">
        <v>18595</v>
      </c>
      <c r="G1198" s="25">
        <v>45056</v>
      </c>
      <c r="H1198" s="25">
        <v>46517</v>
      </c>
      <c r="I1198" s="24" t="s">
        <v>10</v>
      </c>
      <c r="J1198" s="24" t="s">
        <v>33</v>
      </c>
      <c r="K1198" s="24" t="str">
        <f>IF(certifications[[#This Row],[ISSUE DATE]]="", "", TEXT(certifications[[#This Row],[ISSUE DATE]], "MMM"))</f>
        <v>May</v>
      </c>
      <c r="L1198" s="35" t="str">
        <f>IF(certifications[[#This Row],[ISSUE DATE]]="", "", TEXT(certifications[[#This Row],[ISSUE DATE]], "YYYY"))</f>
        <v>2023</v>
      </c>
    </row>
    <row r="1199" spans="1:12" s="29" customFormat="1" ht="23.95" customHeight="1" x14ac:dyDescent="0.3">
      <c r="A1199" s="31"/>
      <c r="B1199" s="24">
        <v>1186</v>
      </c>
      <c r="C1199" s="24" t="s">
        <v>1278</v>
      </c>
      <c r="D1199" s="24" t="s">
        <v>32</v>
      </c>
      <c r="E1199" s="24" t="s">
        <v>9</v>
      </c>
      <c r="F1199" s="24">
        <v>17303</v>
      </c>
      <c r="G1199" s="25">
        <v>44656</v>
      </c>
      <c r="H1199" s="25">
        <v>45387</v>
      </c>
      <c r="I1199" s="24" t="s">
        <v>16</v>
      </c>
      <c r="J1199" s="24" t="s">
        <v>33</v>
      </c>
      <c r="K1199" s="24" t="str">
        <f>IF(certifications[[#This Row],[ISSUE DATE]]="", "", TEXT(certifications[[#This Row],[ISSUE DATE]], "MMM"))</f>
        <v>Apr</v>
      </c>
      <c r="L1199" s="35" t="str">
        <f>IF(certifications[[#This Row],[ISSUE DATE]]="", "", TEXT(certifications[[#This Row],[ISSUE DATE]], "YYYY"))</f>
        <v>2022</v>
      </c>
    </row>
    <row r="1200" spans="1:12" s="29" customFormat="1" ht="23.95" customHeight="1" x14ac:dyDescent="0.3">
      <c r="A1200" s="31"/>
      <c r="B1200" s="24">
        <v>1187</v>
      </c>
      <c r="C1200" s="24" t="s">
        <v>1279</v>
      </c>
      <c r="D1200" s="24" t="s">
        <v>32</v>
      </c>
      <c r="E1200" s="24" t="s">
        <v>9</v>
      </c>
      <c r="F1200" s="24">
        <v>11041</v>
      </c>
      <c r="G1200" s="25">
        <v>43203</v>
      </c>
      <c r="H1200" s="25">
        <v>43934</v>
      </c>
      <c r="I1200" s="24" t="s">
        <v>16</v>
      </c>
      <c r="J1200" s="24" t="s">
        <v>33</v>
      </c>
      <c r="K1200" s="24" t="str">
        <f>IF(certifications[[#This Row],[ISSUE DATE]]="", "", TEXT(certifications[[#This Row],[ISSUE DATE]], "MMM"))</f>
        <v>Apr</v>
      </c>
      <c r="L1200" s="35" t="str">
        <f>IF(certifications[[#This Row],[ISSUE DATE]]="", "", TEXT(certifications[[#This Row],[ISSUE DATE]], "YYYY"))</f>
        <v>2018</v>
      </c>
    </row>
    <row r="1201" spans="1:12" s="29" customFormat="1" ht="23.95" customHeight="1" x14ac:dyDescent="0.3">
      <c r="A1201" s="31"/>
      <c r="B1201" s="24">
        <v>1188</v>
      </c>
      <c r="C1201" s="24" t="s">
        <v>1280</v>
      </c>
      <c r="D1201" s="24" t="s">
        <v>32</v>
      </c>
      <c r="E1201" s="24" t="s">
        <v>9</v>
      </c>
      <c r="F1201" s="24">
        <v>8687</v>
      </c>
      <c r="G1201" s="25">
        <v>41603</v>
      </c>
      <c r="H1201" s="25">
        <v>42333</v>
      </c>
      <c r="I1201" s="24" t="s">
        <v>16</v>
      </c>
      <c r="J1201" s="24" t="s">
        <v>33</v>
      </c>
      <c r="K1201" s="24" t="str">
        <f>IF(certifications[[#This Row],[ISSUE DATE]]="", "", TEXT(certifications[[#This Row],[ISSUE DATE]], "MMM"))</f>
        <v>Nov</v>
      </c>
      <c r="L1201" s="35" t="str">
        <f>IF(certifications[[#This Row],[ISSUE DATE]]="", "", TEXT(certifications[[#This Row],[ISSUE DATE]], "YYYY"))</f>
        <v>2013</v>
      </c>
    </row>
    <row r="1202" spans="1:12" s="29" customFormat="1" ht="23.95" customHeight="1" x14ac:dyDescent="0.3">
      <c r="A1202" s="31"/>
      <c r="B1202" s="24">
        <v>1189</v>
      </c>
      <c r="C1202" s="24" t="s">
        <v>1281</v>
      </c>
      <c r="D1202" s="24" t="s">
        <v>32</v>
      </c>
      <c r="E1202" s="24" t="s">
        <v>9</v>
      </c>
      <c r="F1202" s="24">
        <v>17854</v>
      </c>
      <c r="G1202" s="25">
        <v>44829</v>
      </c>
      <c r="H1202" s="25">
        <v>45560</v>
      </c>
      <c r="I1202" s="24" t="s">
        <v>82</v>
      </c>
      <c r="J1202" s="24" t="s">
        <v>33</v>
      </c>
      <c r="K1202" s="24" t="str">
        <f>IF(certifications[[#This Row],[ISSUE DATE]]="", "", TEXT(certifications[[#This Row],[ISSUE DATE]], "MMM"))</f>
        <v>Sep</v>
      </c>
      <c r="L1202" s="35" t="str">
        <f>IF(certifications[[#This Row],[ISSUE DATE]]="", "", TEXT(certifications[[#This Row],[ISSUE DATE]], "YYYY"))</f>
        <v>2022</v>
      </c>
    </row>
    <row r="1203" spans="1:12" s="29" customFormat="1" ht="23.95" customHeight="1" x14ac:dyDescent="0.3">
      <c r="A1203" s="31"/>
      <c r="B1203" s="24">
        <v>1190</v>
      </c>
      <c r="C1203" s="24" t="s">
        <v>1281</v>
      </c>
      <c r="D1203" s="24" t="s">
        <v>32</v>
      </c>
      <c r="E1203" s="24" t="s">
        <v>26</v>
      </c>
      <c r="F1203" s="24">
        <v>17854</v>
      </c>
      <c r="G1203" s="25">
        <v>44832</v>
      </c>
      <c r="H1203" s="25">
        <v>45563</v>
      </c>
      <c r="I1203" s="24" t="s">
        <v>82</v>
      </c>
      <c r="J1203" s="24" t="s">
        <v>33</v>
      </c>
      <c r="K1203" s="24" t="str">
        <f>IF(certifications[[#This Row],[ISSUE DATE]]="", "", TEXT(certifications[[#This Row],[ISSUE DATE]], "MMM"))</f>
        <v>Sep</v>
      </c>
      <c r="L1203" s="35" t="str">
        <f>IF(certifications[[#This Row],[ISSUE DATE]]="", "", TEXT(certifications[[#This Row],[ISSUE DATE]], "YYYY"))</f>
        <v>2022</v>
      </c>
    </row>
    <row r="1204" spans="1:12" s="29" customFormat="1" ht="23.95" customHeight="1" x14ac:dyDescent="0.3">
      <c r="A1204" s="31"/>
      <c r="B1204" s="24">
        <v>1191</v>
      </c>
      <c r="C1204" s="24" t="s">
        <v>1282</v>
      </c>
      <c r="D1204" s="24" t="s">
        <v>53</v>
      </c>
      <c r="E1204" s="24" t="s">
        <v>26</v>
      </c>
      <c r="F1204" s="24">
        <v>20066</v>
      </c>
      <c r="G1204" s="25">
        <v>45382</v>
      </c>
      <c r="H1204" s="25">
        <v>46112</v>
      </c>
      <c r="I1204" s="24" t="s">
        <v>10</v>
      </c>
      <c r="J1204" s="24" t="s">
        <v>25</v>
      </c>
      <c r="K1204" s="24" t="str">
        <f>IF(certifications[[#This Row],[ISSUE DATE]]="", "", TEXT(certifications[[#This Row],[ISSUE DATE]], "MMM"))</f>
        <v>Mar</v>
      </c>
      <c r="L1204" s="35" t="str">
        <f>IF(certifications[[#This Row],[ISSUE DATE]]="", "", TEXT(certifications[[#This Row],[ISSUE DATE]], "YYYY"))</f>
        <v>2024</v>
      </c>
    </row>
    <row r="1205" spans="1:12" s="29" customFormat="1" ht="23.95" customHeight="1" x14ac:dyDescent="0.3">
      <c r="A1205" s="31"/>
      <c r="B1205" s="24">
        <v>1192</v>
      </c>
      <c r="C1205" s="24" t="s">
        <v>1283</v>
      </c>
      <c r="D1205" s="24" t="s">
        <v>202</v>
      </c>
      <c r="E1205" s="24" t="s">
        <v>9</v>
      </c>
      <c r="F1205" s="24">
        <v>10349</v>
      </c>
      <c r="G1205" s="25">
        <v>42975</v>
      </c>
      <c r="H1205" s="25">
        <v>45897</v>
      </c>
      <c r="I1205" s="24" t="s">
        <v>10</v>
      </c>
      <c r="J1205" s="24" t="s">
        <v>19</v>
      </c>
      <c r="K1205" s="24" t="str">
        <f>IF(certifications[[#This Row],[ISSUE DATE]]="", "", TEXT(certifications[[#This Row],[ISSUE DATE]], "MMM"))</f>
        <v>Aug</v>
      </c>
      <c r="L1205" s="35" t="str">
        <f>IF(certifications[[#This Row],[ISSUE DATE]]="", "", TEXT(certifications[[#This Row],[ISSUE DATE]], "YYYY"))</f>
        <v>2017</v>
      </c>
    </row>
    <row r="1206" spans="1:12" s="29" customFormat="1" ht="23.95" customHeight="1" x14ac:dyDescent="0.3">
      <c r="A1206" s="31"/>
      <c r="B1206" s="24">
        <v>1193</v>
      </c>
      <c r="C1206" s="24" t="s">
        <v>1284</v>
      </c>
      <c r="D1206" s="24" t="s">
        <v>59</v>
      </c>
      <c r="E1206" s="24" t="s">
        <v>9</v>
      </c>
      <c r="F1206" s="24">
        <v>7621</v>
      </c>
      <c r="G1206" s="25">
        <v>40431</v>
      </c>
      <c r="H1206" s="25">
        <v>41892</v>
      </c>
      <c r="I1206" s="24" t="s">
        <v>16</v>
      </c>
      <c r="J1206" s="24" t="s">
        <v>30</v>
      </c>
      <c r="K1206" s="24" t="str">
        <f>IF(certifications[[#This Row],[ISSUE DATE]]="", "", TEXT(certifications[[#This Row],[ISSUE DATE]], "MMM"))</f>
        <v>Sep</v>
      </c>
      <c r="L1206" s="35" t="str">
        <f>IF(certifications[[#This Row],[ISSUE DATE]]="", "", TEXT(certifications[[#This Row],[ISSUE DATE]], "YYYY"))</f>
        <v>2010</v>
      </c>
    </row>
    <row r="1207" spans="1:12" s="29" customFormat="1" ht="23.95" customHeight="1" x14ac:dyDescent="0.3">
      <c r="A1207" s="31"/>
      <c r="B1207" s="24">
        <v>1194</v>
      </c>
      <c r="C1207" s="24" t="s">
        <v>1285</v>
      </c>
      <c r="D1207" s="24" t="s">
        <v>150</v>
      </c>
      <c r="E1207" s="24" t="s">
        <v>9</v>
      </c>
      <c r="F1207" s="24">
        <v>9883</v>
      </c>
      <c r="G1207" s="25">
        <v>42670</v>
      </c>
      <c r="H1207" s="25">
        <v>43400</v>
      </c>
      <c r="I1207" s="24" t="s">
        <v>16</v>
      </c>
      <c r="J1207" s="24" t="s">
        <v>14</v>
      </c>
      <c r="K1207" s="24" t="str">
        <f>IF(certifications[[#This Row],[ISSUE DATE]]="", "", TEXT(certifications[[#This Row],[ISSUE DATE]], "MMM"))</f>
        <v>Oct</v>
      </c>
      <c r="L1207" s="35" t="str">
        <f>IF(certifications[[#This Row],[ISSUE DATE]]="", "", TEXT(certifications[[#This Row],[ISSUE DATE]], "YYYY"))</f>
        <v>2016</v>
      </c>
    </row>
    <row r="1208" spans="1:12" s="29" customFormat="1" ht="23.95" customHeight="1" x14ac:dyDescent="0.3">
      <c r="A1208" s="31"/>
      <c r="B1208" s="24">
        <v>1195</v>
      </c>
      <c r="C1208" s="24" t="s">
        <v>1286</v>
      </c>
      <c r="D1208" s="24" t="s">
        <v>32</v>
      </c>
      <c r="E1208" s="24" t="s">
        <v>9</v>
      </c>
      <c r="F1208" s="24">
        <v>19777</v>
      </c>
      <c r="G1208" s="25">
        <v>45320</v>
      </c>
      <c r="H1208" s="25">
        <v>46051</v>
      </c>
      <c r="I1208" s="24" t="s">
        <v>10</v>
      </c>
      <c r="J1208" s="24" t="s">
        <v>33</v>
      </c>
      <c r="K1208" s="24" t="str">
        <f>IF(certifications[[#This Row],[ISSUE DATE]]="", "", TEXT(certifications[[#This Row],[ISSUE DATE]], "MMM"))</f>
        <v>Jan</v>
      </c>
      <c r="L1208" s="35" t="str">
        <f>IF(certifications[[#This Row],[ISSUE DATE]]="", "", TEXT(certifications[[#This Row],[ISSUE DATE]], "YYYY"))</f>
        <v>2024</v>
      </c>
    </row>
    <row r="1209" spans="1:12" s="29" customFormat="1" ht="23.95" customHeight="1" x14ac:dyDescent="0.3">
      <c r="A1209" s="31"/>
      <c r="B1209" s="24">
        <v>1196</v>
      </c>
      <c r="C1209" s="24" t="s">
        <v>1287</v>
      </c>
      <c r="D1209" s="24" t="s">
        <v>32</v>
      </c>
      <c r="E1209" s="24" t="s">
        <v>26</v>
      </c>
      <c r="F1209" s="24">
        <v>21859</v>
      </c>
      <c r="G1209" s="25">
        <v>45764</v>
      </c>
      <c r="H1209" s="25">
        <v>46494</v>
      </c>
      <c r="I1209" s="24" t="s">
        <v>10</v>
      </c>
      <c r="J1209" s="24" t="s">
        <v>33</v>
      </c>
      <c r="K1209" s="24" t="str">
        <f>IF(certifications[[#This Row],[ISSUE DATE]]="", "", TEXT(certifications[[#This Row],[ISSUE DATE]], "MMM"))</f>
        <v>Apr</v>
      </c>
      <c r="L1209" s="35" t="str">
        <f>IF(certifications[[#This Row],[ISSUE DATE]]="", "", TEXT(certifications[[#This Row],[ISSUE DATE]], "YYYY"))</f>
        <v>2025</v>
      </c>
    </row>
    <row r="1210" spans="1:12" s="29" customFormat="1" ht="23.95" customHeight="1" x14ac:dyDescent="0.3">
      <c r="A1210" s="31"/>
      <c r="B1210" s="24">
        <v>1197</v>
      </c>
      <c r="C1210" s="24" t="s">
        <v>1288</v>
      </c>
      <c r="D1210" s="24" t="s">
        <v>32</v>
      </c>
      <c r="E1210" s="24" t="s">
        <v>9</v>
      </c>
      <c r="F1210" s="24">
        <v>14413</v>
      </c>
      <c r="G1210" s="25">
        <v>43697</v>
      </c>
      <c r="H1210" s="25">
        <v>45889</v>
      </c>
      <c r="I1210" s="24" t="s">
        <v>10</v>
      </c>
      <c r="J1210" s="24" t="s">
        <v>33</v>
      </c>
      <c r="K1210" s="24" t="str">
        <f>IF(certifications[[#This Row],[ISSUE DATE]]="", "", TEXT(certifications[[#This Row],[ISSUE DATE]], "MMM"))</f>
        <v>Aug</v>
      </c>
      <c r="L1210" s="35" t="str">
        <f>IF(certifications[[#This Row],[ISSUE DATE]]="", "", TEXT(certifications[[#This Row],[ISSUE DATE]], "YYYY"))</f>
        <v>2019</v>
      </c>
    </row>
    <row r="1211" spans="1:12" s="29" customFormat="1" ht="23.95" customHeight="1" x14ac:dyDescent="0.3">
      <c r="A1211" s="31"/>
      <c r="B1211" s="24">
        <v>1198</v>
      </c>
      <c r="C1211" s="24" t="s">
        <v>1289</v>
      </c>
      <c r="D1211" s="24" t="s">
        <v>32</v>
      </c>
      <c r="E1211" s="24" t="s">
        <v>9</v>
      </c>
      <c r="F1211" s="24">
        <v>14944</v>
      </c>
      <c r="G1211" s="25">
        <v>43818</v>
      </c>
      <c r="H1211" s="25">
        <v>44549</v>
      </c>
      <c r="I1211" s="24" t="s">
        <v>16</v>
      </c>
      <c r="J1211" s="24" t="s">
        <v>33</v>
      </c>
      <c r="K1211" s="24" t="str">
        <f>IF(certifications[[#This Row],[ISSUE DATE]]="", "", TEXT(certifications[[#This Row],[ISSUE DATE]], "MMM"))</f>
        <v>Dec</v>
      </c>
      <c r="L1211" s="35" t="str">
        <f>IF(certifications[[#This Row],[ISSUE DATE]]="", "", TEXT(certifications[[#This Row],[ISSUE DATE]], "YYYY"))</f>
        <v>2019</v>
      </c>
    </row>
    <row r="1212" spans="1:12" s="29" customFormat="1" ht="23.95" customHeight="1" x14ac:dyDescent="0.3">
      <c r="A1212" s="31"/>
      <c r="B1212" s="24">
        <v>1199</v>
      </c>
      <c r="C1212" s="24" t="s">
        <v>1290</v>
      </c>
      <c r="D1212" s="24" t="s">
        <v>32</v>
      </c>
      <c r="E1212" s="24" t="s">
        <v>9</v>
      </c>
      <c r="F1212" s="24">
        <v>17994</v>
      </c>
      <c r="G1212" s="25">
        <v>44866</v>
      </c>
      <c r="H1212" s="25">
        <v>45597</v>
      </c>
      <c r="I1212" s="24" t="s">
        <v>82</v>
      </c>
      <c r="J1212" s="24" t="s">
        <v>33</v>
      </c>
      <c r="K1212" s="24" t="str">
        <f>IF(certifications[[#This Row],[ISSUE DATE]]="", "", TEXT(certifications[[#This Row],[ISSUE DATE]], "MMM"))</f>
        <v>Nov</v>
      </c>
      <c r="L1212" s="35" t="str">
        <f>IF(certifications[[#This Row],[ISSUE DATE]]="", "", TEXT(certifications[[#This Row],[ISSUE DATE]], "YYYY"))</f>
        <v>2022</v>
      </c>
    </row>
    <row r="1213" spans="1:12" s="29" customFormat="1" ht="23.95" customHeight="1" x14ac:dyDescent="0.3">
      <c r="A1213" s="31"/>
      <c r="B1213" s="24">
        <v>1200</v>
      </c>
      <c r="C1213" s="24" t="s">
        <v>1291</v>
      </c>
      <c r="D1213" s="24" t="s">
        <v>46</v>
      </c>
      <c r="E1213" s="24" t="s">
        <v>26</v>
      </c>
      <c r="F1213" s="24">
        <v>21272</v>
      </c>
      <c r="G1213" s="25">
        <v>45643</v>
      </c>
      <c r="H1213" s="25">
        <v>46373</v>
      </c>
      <c r="I1213" s="24" t="s">
        <v>10</v>
      </c>
      <c r="J1213" s="24" t="s">
        <v>38</v>
      </c>
      <c r="K1213" s="24" t="str">
        <f>IF(certifications[[#This Row],[ISSUE DATE]]="", "", TEXT(certifications[[#This Row],[ISSUE DATE]], "MMM"))</f>
        <v>Dec</v>
      </c>
      <c r="L1213" s="35" t="str">
        <f>IF(certifications[[#This Row],[ISSUE DATE]]="", "", TEXT(certifications[[#This Row],[ISSUE DATE]], "YYYY"))</f>
        <v>2024</v>
      </c>
    </row>
    <row r="1214" spans="1:12" s="29" customFormat="1" ht="23.95" customHeight="1" x14ac:dyDescent="0.3">
      <c r="A1214" s="31"/>
      <c r="B1214" s="24">
        <v>1201</v>
      </c>
      <c r="C1214" s="24" t="s">
        <v>1292</v>
      </c>
      <c r="D1214" s="24" t="s">
        <v>32</v>
      </c>
      <c r="E1214" s="24" t="s">
        <v>9</v>
      </c>
      <c r="F1214" s="24">
        <v>11316</v>
      </c>
      <c r="G1214" s="25">
        <v>44664</v>
      </c>
      <c r="H1214" s="25">
        <v>46125</v>
      </c>
      <c r="I1214" s="24" t="s">
        <v>10</v>
      </c>
      <c r="J1214" s="24" t="s">
        <v>33</v>
      </c>
      <c r="K1214" s="24" t="str">
        <f>IF(certifications[[#This Row],[ISSUE DATE]]="", "", TEXT(certifications[[#This Row],[ISSUE DATE]], "MMM"))</f>
        <v>Apr</v>
      </c>
      <c r="L1214" s="35" t="str">
        <f>IF(certifications[[#This Row],[ISSUE DATE]]="", "", TEXT(certifications[[#This Row],[ISSUE DATE]], "YYYY"))</f>
        <v>2022</v>
      </c>
    </row>
    <row r="1215" spans="1:12" s="29" customFormat="1" ht="23.95" customHeight="1" x14ac:dyDescent="0.3">
      <c r="A1215" s="31"/>
      <c r="B1215" s="24">
        <v>1202</v>
      </c>
      <c r="C1215" s="24" t="s">
        <v>1293</v>
      </c>
      <c r="D1215" s="24" t="s">
        <v>13</v>
      </c>
      <c r="E1215" s="24" t="s">
        <v>9</v>
      </c>
      <c r="F1215" s="24">
        <v>12567</v>
      </c>
      <c r="G1215" s="25">
        <v>43445</v>
      </c>
      <c r="H1215" s="25">
        <v>44176</v>
      </c>
      <c r="I1215" s="24" t="s">
        <v>16</v>
      </c>
      <c r="J1215" s="24" t="s">
        <v>14</v>
      </c>
      <c r="K1215" s="24" t="str">
        <f>IF(certifications[[#This Row],[ISSUE DATE]]="", "", TEXT(certifications[[#This Row],[ISSUE DATE]], "MMM"))</f>
        <v>Dec</v>
      </c>
      <c r="L1215" s="35" t="str">
        <f>IF(certifications[[#This Row],[ISSUE DATE]]="", "", TEXT(certifications[[#This Row],[ISSUE DATE]], "YYYY"))</f>
        <v>2018</v>
      </c>
    </row>
    <row r="1216" spans="1:12" s="29" customFormat="1" ht="23.95" customHeight="1" x14ac:dyDescent="0.3">
      <c r="A1216" s="31"/>
      <c r="B1216" s="24">
        <v>1203</v>
      </c>
      <c r="C1216" s="24" t="s">
        <v>1294</v>
      </c>
      <c r="D1216" s="24" t="s">
        <v>32</v>
      </c>
      <c r="E1216" s="24" t="s">
        <v>9</v>
      </c>
      <c r="F1216" s="24">
        <v>21004</v>
      </c>
      <c r="G1216" s="25">
        <v>45587</v>
      </c>
      <c r="H1216" s="25">
        <v>46317</v>
      </c>
      <c r="I1216" s="24" t="s">
        <v>10</v>
      </c>
      <c r="J1216" s="24" t="s">
        <v>33</v>
      </c>
      <c r="K1216" s="24" t="str">
        <f>IF(certifications[[#This Row],[ISSUE DATE]]="", "", TEXT(certifications[[#This Row],[ISSUE DATE]], "MMM"))</f>
        <v>Oct</v>
      </c>
      <c r="L1216" s="35" t="str">
        <f>IF(certifications[[#This Row],[ISSUE DATE]]="", "", TEXT(certifications[[#This Row],[ISSUE DATE]], "YYYY"))</f>
        <v>2024</v>
      </c>
    </row>
    <row r="1217" spans="1:12" s="29" customFormat="1" ht="23.95" customHeight="1" x14ac:dyDescent="0.3">
      <c r="A1217" s="31"/>
      <c r="B1217" s="24">
        <v>1204</v>
      </c>
      <c r="C1217" s="24" t="s">
        <v>1294</v>
      </c>
      <c r="D1217" s="24" t="s">
        <v>32</v>
      </c>
      <c r="E1217" s="24" t="s">
        <v>26</v>
      </c>
      <c r="F1217" s="24">
        <v>21004</v>
      </c>
      <c r="G1217" s="25">
        <v>45581</v>
      </c>
      <c r="H1217" s="25">
        <v>46311</v>
      </c>
      <c r="I1217" s="24" t="s">
        <v>10</v>
      </c>
      <c r="J1217" s="24" t="s">
        <v>33</v>
      </c>
      <c r="K1217" s="24" t="str">
        <f>IF(certifications[[#This Row],[ISSUE DATE]]="", "", TEXT(certifications[[#This Row],[ISSUE DATE]], "MMM"))</f>
        <v>Oct</v>
      </c>
      <c r="L1217" s="35" t="str">
        <f>IF(certifications[[#This Row],[ISSUE DATE]]="", "", TEXT(certifications[[#This Row],[ISSUE DATE]], "YYYY"))</f>
        <v>2024</v>
      </c>
    </row>
    <row r="1218" spans="1:12" s="29" customFormat="1" ht="23.95" customHeight="1" x14ac:dyDescent="0.3">
      <c r="A1218" s="31"/>
      <c r="B1218" s="24">
        <v>1205</v>
      </c>
      <c r="C1218" s="24" t="s">
        <v>1295</v>
      </c>
      <c r="D1218" s="24" t="s">
        <v>32</v>
      </c>
      <c r="E1218" s="24" t="s">
        <v>9</v>
      </c>
      <c r="F1218" s="24">
        <v>13008</v>
      </c>
      <c r="G1218" s="25">
        <v>44119</v>
      </c>
      <c r="H1218" s="25">
        <v>45580</v>
      </c>
      <c r="I1218" s="24" t="s">
        <v>82</v>
      </c>
      <c r="J1218" s="24" t="s">
        <v>33</v>
      </c>
      <c r="K1218" s="24" t="str">
        <f>IF(certifications[[#This Row],[ISSUE DATE]]="", "", TEXT(certifications[[#This Row],[ISSUE DATE]], "MMM"))</f>
        <v>Oct</v>
      </c>
      <c r="L1218" s="35" t="str">
        <f>IF(certifications[[#This Row],[ISSUE DATE]]="", "", TEXT(certifications[[#This Row],[ISSUE DATE]], "YYYY"))</f>
        <v>2020</v>
      </c>
    </row>
    <row r="1219" spans="1:12" s="29" customFormat="1" ht="23.95" customHeight="1" x14ac:dyDescent="0.3">
      <c r="A1219" s="31"/>
      <c r="B1219" s="24">
        <v>1206</v>
      </c>
      <c r="C1219" s="24" t="s">
        <v>1296</v>
      </c>
      <c r="D1219" s="24" t="s">
        <v>417</v>
      </c>
      <c r="E1219" s="24" t="s">
        <v>9</v>
      </c>
      <c r="F1219" s="24">
        <v>19927</v>
      </c>
      <c r="G1219" s="25">
        <v>45343</v>
      </c>
      <c r="H1219" s="25">
        <v>46074</v>
      </c>
      <c r="I1219" s="24" t="s">
        <v>10</v>
      </c>
      <c r="J1219" s="24" t="s">
        <v>22</v>
      </c>
      <c r="K1219" s="24" t="str">
        <f>IF(certifications[[#This Row],[ISSUE DATE]]="", "", TEXT(certifications[[#This Row],[ISSUE DATE]], "MMM"))</f>
        <v>Feb</v>
      </c>
      <c r="L1219" s="35" t="str">
        <f>IF(certifications[[#This Row],[ISSUE DATE]]="", "", TEXT(certifications[[#This Row],[ISSUE DATE]], "YYYY"))</f>
        <v>2024</v>
      </c>
    </row>
    <row r="1220" spans="1:12" s="29" customFormat="1" ht="23.95" customHeight="1" x14ac:dyDescent="0.3">
      <c r="A1220" s="31"/>
      <c r="B1220" s="24">
        <v>1207</v>
      </c>
      <c r="C1220" s="24" t="s">
        <v>1297</v>
      </c>
      <c r="D1220" s="24" t="s">
        <v>32</v>
      </c>
      <c r="E1220" s="24" t="s">
        <v>9</v>
      </c>
      <c r="F1220" s="24">
        <v>17351</v>
      </c>
      <c r="G1220" s="25">
        <v>44669</v>
      </c>
      <c r="H1220" s="25">
        <v>45400</v>
      </c>
      <c r="I1220" s="24" t="s">
        <v>16</v>
      </c>
      <c r="J1220" s="24" t="s">
        <v>33</v>
      </c>
      <c r="K1220" s="24" t="str">
        <f>IF(certifications[[#This Row],[ISSUE DATE]]="", "", TEXT(certifications[[#This Row],[ISSUE DATE]], "MMM"))</f>
        <v>Apr</v>
      </c>
      <c r="L1220" s="35" t="str">
        <f>IF(certifications[[#This Row],[ISSUE DATE]]="", "", TEXT(certifications[[#This Row],[ISSUE DATE]], "YYYY"))</f>
        <v>2022</v>
      </c>
    </row>
    <row r="1221" spans="1:12" s="29" customFormat="1" ht="23.95" customHeight="1" x14ac:dyDescent="0.3">
      <c r="A1221" s="31"/>
      <c r="B1221" s="24">
        <v>1208</v>
      </c>
      <c r="C1221" s="24" t="s">
        <v>1298</v>
      </c>
      <c r="D1221" s="24" t="s">
        <v>32</v>
      </c>
      <c r="E1221" s="24" t="s">
        <v>9</v>
      </c>
      <c r="F1221" s="24">
        <v>17749</v>
      </c>
      <c r="G1221" s="25">
        <v>44786</v>
      </c>
      <c r="H1221" s="25">
        <v>46247</v>
      </c>
      <c r="I1221" s="24" t="s">
        <v>10</v>
      </c>
      <c r="J1221" s="24" t="s">
        <v>33</v>
      </c>
      <c r="K1221" s="24" t="str">
        <f>IF(certifications[[#This Row],[ISSUE DATE]]="", "", TEXT(certifications[[#This Row],[ISSUE DATE]], "MMM"))</f>
        <v>Aug</v>
      </c>
      <c r="L1221" s="35" t="str">
        <f>IF(certifications[[#This Row],[ISSUE DATE]]="", "", TEXT(certifications[[#This Row],[ISSUE DATE]], "YYYY"))</f>
        <v>2022</v>
      </c>
    </row>
    <row r="1222" spans="1:12" s="29" customFormat="1" ht="23.95" customHeight="1" x14ac:dyDescent="0.3">
      <c r="A1222" s="31"/>
      <c r="B1222" s="24">
        <v>1209</v>
      </c>
      <c r="C1222" s="24" t="s">
        <v>1299</v>
      </c>
      <c r="D1222" s="24" t="s">
        <v>848</v>
      </c>
      <c r="E1222" s="24" t="s">
        <v>9</v>
      </c>
      <c r="F1222" s="24">
        <v>13744</v>
      </c>
      <c r="G1222" s="25">
        <v>43641</v>
      </c>
      <c r="H1222" s="25">
        <v>44372</v>
      </c>
      <c r="I1222" s="24" t="s">
        <v>16</v>
      </c>
      <c r="J1222" s="24" t="s">
        <v>38</v>
      </c>
      <c r="K1222" s="24" t="str">
        <f>IF(certifications[[#This Row],[ISSUE DATE]]="", "", TEXT(certifications[[#This Row],[ISSUE DATE]], "MMM"))</f>
        <v>Jun</v>
      </c>
      <c r="L1222" s="35" t="str">
        <f>IF(certifications[[#This Row],[ISSUE DATE]]="", "", TEXT(certifications[[#This Row],[ISSUE DATE]], "YYYY"))</f>
        <v>2019</v>
      </c>
    </row>
    <row r="1223" spans="1:12" s="29" customFormat="1" ht="23.95" customHeight="1" x14ac:dyDescent="0.3">
      <c r="A1223" s="31"/>
      <c r="B1223" s="24">
        <v>1210</v>
      </c>
      <c r="C1223" s="24" t="s">
        <v>1300</v>
      </c>
      <c r="D1223" s="24" t="s">
        <v>29</v>
      </c>
      <c r="E1223" s="24" t="s">
        <v>9</v>
      </c>
      <c r="F1223" s="24">
        <v>18557</v>
      </c>
      <c r="G1223" s="25">
        <v>45098</v>
      </c>
      <c r="H1223" s="25">
        <v>46559</v>
      </c>
      <c r="I1223" s="24" t="s">
        <v>10</v>
      </c>
      <c r="J1223" s="24" t="s">
        <v>30</v>
      </c>
      <c r="K1223" s="24" t="str">
        <f>IF(certifications[[#This Row],[ISSUE DATE]]="", "", TEXT(certifications[[#This Row],[ISSUE DATE]], "MMM"))</f>
        <v>Jun</v>
      </c>
      <c r="L1223" s="35" t="str">
        <f>IF(certifications[[#This Row],[ISSUE DATE]]="", "", TEXT(certifications[[#This Row],[ISSUE DATE]], "YYYY"))</f>
        <v>2023</v>
      </c>
    </row>
    <row r="1224" spans="1:12" s="29" customFormat="1" ht="23.95" customHeight="1" x14ac:dyDescent="0.3">
      <c r="A1224" s="31"/>
      <c r="B1224" s="24">
        <v>1211</v>
      </c>
      <c r="C1224" s="24" t="s">
        <v>1300</v>
      </c>
      <c r="D1224" s="24" t="s">
        <v>29</v>
      </c>
      <c r="E1224" s="24" t="s">
        <v>26</v>
      </c>
      <c r="F1224" s="24">
        <v>18557</v>
      </c>
      <c r="G1224" s="25">
        <v>45047</v>
      </c>
      <c r="H1224" s="25">
        <v>46508</v>
      </c>
      <c r="I1224" s="24" t="s">
        <v>10</v>
      </c>
      <c r="J1224" s="24" t="s">
        <v>30</v>
      </c>
      <c r="K1224" s="24" t="str">
        <f>IF(certifications[[#This Row],[ISSUE DATE]]="", "", TEXT(certifications[[#This Row],[ISSUE DATE]], "MMM"))</f>
        <v>May</v>
      </c>
      <c r="L1224" s="35" t="str">
        <f>IF(certifications[[#This Row],[ISSUE DATE]]="", "", TEXT(certifications[[#This Row],[ISSUE DATE]], "YYYY"))</f>
        <v>2023</v>
      </c>
    </row>
    <row r="1225" spans="1:12" s="29" customFormat="1" ht="23.95" customHeight="1" x14ac:dyDescent="0.3">
      <c r="A1225" s="31"/>
      <c r="B1225" s="24">
        <v>1212</v>
      </c>
      <c r="C1225" s="24" t="s">
        <v>1301</v>
      </c>
      <c r="D1225" s="24" t="s">
        <v>1302</v>
      </c>
      <c r="E1225" s="24" t="s">
        <v>9</v>
      </c>
      <c r="F1225" s="24">
        <v>11995</v>
      </c>
      <c r="G1225" s="25">
        <v>43313</v>
      </c>
      <c r="H1225" s="25">
        <v>44044</v>
      </c>
      <c r="I1225" s="24" t="s">
        <v>16</v>
      </c>
      <c r="J1225" s="24" t="s">
        <v>38</v>
      </c>
      <c r="K1225" s="24" t="str">
        <f>IF(certifications[[#This Row],[ISSUE DATE]]="", "", TEXT(certifications[[#This Row],[ISSUE DATE]], "MMM"))</f>
        <v>Aug</v>
      </c>
      <c r="L1225" s="35" t="str">
        <f>IF(certifications[[#This Row],[ISSUE DATE]]="", "", TEXT(certifications[[#This Row],[ISSUE DATE]], "YYYY"))</f>
        <v>2018</v>
      </c>
    </row>
    <row r="1226" spans="1:12" s="29" customFormat="1" ht="23.95" customHeight="1" x14ac:dyDescent="0.3">
      <c r="A1226" s="31"/>
      <c r="B1226" s="24">
        <v>1213</v>
      </c>
      <c r="C1226" s="24" t="s">
        <v>1303</v>
      </c>
      <c r="D1226" s="24" t="s">
        <v>46</v>
      </c>
      <c r="E1226" s="24" t="s">
        <v>9</v>
      </c>
      <c r="F1226" s="24">
        <v>14417</v>
      </c>
      <c r="G1226" s="25">
        <v>43697</v>
      </c>
      <c r="H1226" s="25">
        <v>45158</v>
      </c>
      <c r="I1226" s="24" t="s">
        <v>16</v>
      </c>
      <c r="J1226" s="24" t="s">
        <v>38</v>
      </c>
      <c r="K1226" s="24" t="str">
        <f>IF(certifications[[#This Row],[ISSUE DATE]]="", "", TEXT(certifications[[#This Row],[ISSUE DATE]], "MMM"))</f>
        <v>Aug</v>
      </c>
      <c r="L1226" s="35" t="str">
        <f>IF(certifications[[#This Row],[ISSUE DATE]]="", "", TEXT(certifications[[#This Row],[ISSUE DATE]], "YYYY"))</f>
        <v>2019</v>
      </c>
    </row>
    <row r="1227" spans="1:12" s="29" customFormat="1" ht="23.95" customHeight="1" x14ac:dyDescent="0.3">
      <c r="A1227" s="31"/>
      <c r="B1227" s="24">
        <v>1214</v>
      </c>
      <c r="C1227" s="24" t="s">
        <v>1303</v>
      </c>
      <c r="D1227" s="24" t="s">
        <v>46</v>
      </c>
      <c r="E1227" s="24" t="s">
        <v>26</v>
      </c>
      <c r="F1227" s="24">
        <v>14417</v>
      </c>
      <c r="G1227" s="25">
        <v>44286</v>
      </c>
      <c r="H1227" s="25">
        <v>45016</v>
      </c>
      <c r="I1227" s="24" t="s">
        <v>16</v>
      </c>
      <c r="J1227" s="24" t="s">
        <v>38</v>
      </c>
      <c r="K1227" s="24" t="str">
        <f>IF(certifications[[#This Row],[ISSUE DATE]]="", "", TEXT(certifications[[#This Row],[ISSUE DATE]], "MMM"))</f>
        <v>Mar</v>
      </c>
      <c r="L1227" s="35" t="str">
        <f>IF(certifications[[#This Row],[ISSUE DATE]]="", "", TEXT(certifications[[#This Row],[ISSUE DATE]], "YYYY"))</f>
        <v>2021</v>
      </c>
    </row>
    <row r="1228" spans="1:12" s="29" customFormat="1" ht="23.95" customHeight="1" x14ac:dyDescent="0.3">
      <c r="A1228" s="31"/>
      <c r="B1228" s="24">
        <v>1215</v>
      </c>
      <c r="C1228" s="24" t="s">
        <v>1304</v>
      </c>
      <c r="D1228" s="24" t="s">
        <v>32</v>
      </c>
      <c r="E1228" s="24" t="s">
        <v>9</v>
      </c>
      <c r="F1228" s="24">
        <v>9450</v>
      </c>
      <c r="G1228" s="25">
        <v>42346</v>
      </c>
      <c r="H1228" s="25">
        <v>43077</v>
      </c>
      <c r="I1228" s="24" t="s">
        <v>16</v>
      </c>
      <c r="J1228" s="24" t="s">
        <v>33</v>
      </c>
      <c r="K1228" s="24" t="str">
        <f>IF(certifications[[#This Row],[ISSUE DATE]]="", "", TEXT(certifications[[#This Row],[ISSUE DATE]], "MMM"))</f>
        <v>Dec</v>
      </c>
      <c r="L1228" s="35" t="str">
        <f>IF(certifications[[#This Row],[ISSUE DATE]]="", "", TEXT(certifications[[#This Row],[ISSUE DATE]], "YYYY"))</f>
        <v>2015</v>
      </c>
    </row>
    <row r="1229" spans="1:12" s="29" customFormat="1" ht="23.95" customHeight="1" x14ac:dyDescent="0.3">
      <c r="A1229" s="31"/>
      <c r="B1229" s="24">
        <v>1216</v>
      </c>
      <c r="C1229" s="24" t="s">
        <v>1305</v>
      </c>
      <c r="D1229" s="24" t="s">
        <v>118</v>
      </c>
      <c r="E1229" s="24" t="s">
        <v>9</v>
      </c>
      <c r="F1229" s="24">
        <v>20533</v>
      </c>
      <c r="G1229" s="25">
        <v>45478</v>
      </c>
      <c r="H1229" s="25">
        <v>46208</v>
      </c>
      <c r="I1229" s="24" t="s">
        <v>10</v>
      </c>
      <c r="J1229" s="24" t="s">
        <v>19</v>
      </c>
      <c r="K1229" s="24" t="str">
        <f>IF(certifications[[#This Row],[ISSUE DATE]]="", "", TEXT(certifications[[#This Row],[ISSUE DATE]], "MMM"))</f>
        <v>Jul</v>
      </c>
      <c r="L1229" s="35" t="str">
        <f>IF(certifications[[#This Row],[ISSUE DATE]]="", "", TEXT(certifications[[#This Row],[ISSUE DATE]], "YYYY"))</f>
        <v>2024</v>
      </c>
    </row>
    <row r="1230" spans="1:12" s="29" customFormat="1" ht="23.95" customHeight="1" x14ac:dyDescent="0.3">
      <c r="A1230" s="31"/>
      <c r="B1230" s="24">
        <v>1217</v>
      </c>
      <c r="C1230" s="24" t="s">
        <v>1305</v>
      </c>
      <c r="D1230" s="24" t="s">
        <v>118</v>
      </c>
      <c r="E1230" s="24" t="s">
        <v>26</v>
      </c>
      <c r="F1230" s="24">
        <v>20533</v>
      </c>
      <c r="G1230" s="25">
        <v>45475</v>
      </c>
      <c r="H1230" s="25">
        <v>46205</v>
      </c>
      <c r="I1230" s="24" t="s">
        <v>10</v>
      </c>
      <c r="J1230" s="24" t="s">
        <v>19</v>
      </c>
      <c r="K1230" s="24" t="str">
        <f>IF(certifications[[#This Row],[ISSUE DATE]]="", "", TEXT(certifications[[#This Row],[ISSUE DATE]], "MMM"))</f>
        <v>Jul</v>
      </c>
      <c r="L1230" s="35" t="str">
        <f>IF(certifications[[#This Row],[ISSUE DATE]]="", "", TEXT(certifications[[#This Row],[ISSUE DATE]], "YYYY"))</f>
        <v>2024</v>
      </c>
    </row>
    <row r="1231" spans="1:12" s="29" customFormat="1" ht="23.95" customHeight="1" x14ac:dyDescent="0.3">
      <c r="A1231" s="31"/>
      <c r="B1231" s="24">
        <v>1218</v>
      </c>
      <c r="C1231" s="24" t="s">
        <v>1306</v>
      </c>
      <c r="D1231" s="24" t="s">
        <v>53</v>
      </c>
      <c r="E1231" s="24" t="s">
        <v>9</v>
      </c>
      <c r="F1231" s="24">
        <v>12355</v>
      </c>
      <c r="G1231" s="25">
        <v>43369</v>
      </c>
      <c r="H1231" s="25">
        <v>44100</v>
      </c>
      <c r="I1231" s="24" t="s">
        <v>16</v>
      </c>
      <c r="J1231" s="24" t="s">
        <v>25</v>
      </c>
      <c r="K1231" s="24" t="str">
        <f>IF(certifications[[#This Row],[ISSUE DATE]]="", "", TEXT(certifications[[#This Row],[ISSUE DATE]], "MMM"))</f>
        <v>Sep</v>
      </c>
      <c r="L1231" s="35" t="str">
        <f>IF(certifications[[#This Row],[ISSUE DATE]]="", "", TEXT(certifications[[#This Row],[ISSUE DATE]], "YYYY"))</f>
        <v>2018</v>
      </c>
    </row>
    <row r="1232" spans="1:12" s="29" customFormat="1" ht="23.95" customHeight="1" x14ac:dyDescent="0.3">
      <c r="A1232" s="31"/>
      <c r="B1232" s="24">
        <v>1219</v>
      </c>
      <c r="C1232" s="24" t="s">
        <v>1307</v>
      </c>
      <c r="D1232" s="24" t="s">
        <v>32</v>
      </c>
      <c r="E1232" s="24" t="s">
        <v>26</v>
      </c>
      <c r="F1232" s="24">
        <v>19966</v>
      </c>
      <c r="G1232" s="25">
        <v>45355</v>
      </c>
      <c r="H1232" s="25">
        <v>46085</v>
      </c>
      <c r="I1232" s="24" t="s">
        <v>10</v>
      </c>
      <c r="J1232" s="24" t="s">
        <v>33</v>
      </c>
      <c r="K1232" s="24" t="str">
        <f>IF(certifications[[#This Row],[ISSUE DATE]]="", "", TEXT(certifications[[#This Row],[ISSUE DATE]], "MMM"))</f>
        <v>Mar</v>
      </c>
      <c r="L1232" s="35" t="str">
        <f>IF(certifications[[#This Row],[ISSUE DATE]]="", "", TEXT(certifications[[#This Row],[ISSUE DATE]], "YYYY"))</f>
        <v>2024</v>
      </c>
    </row>
    <row r="1233" spans="1:12" s="29" customFormat="1" ht="23.95" customHeight="1" x14ac:dyDescent="0.3">
      <c r="A1233" s="31"/>
      <c r="B1233" s="24">
        <v>1220</v>
      </c>
      <c r="C1233" s="24" t="s">
        <v>1308</v>
      </c>
      <c r="D1233" s="24" t="s">
        <v>32</v>
      </c>
      <c r="E1233" s="24" t="s">
        <v>9</v>
      </c>
      <c r="F1233" s="24">
        <v>16971</v>
      </c>
      <c r="G1233" s="25">
        <v>45071</v>
      </c>
      <c r="H1233" s="25">
        <v>45969</v>
      </c>
      <c r="I1233" s="24" t="s">
        <v>10</v>
      </c>
      <c r="J1233" s="24" t="s">
        <v>33</v>
      </c>
      <c r="K1233" s="24" t="str">
        <f>IF(certifications[[#This Row],[ISSUE DATE]]="", "", TEXT(certifications[[#This Row],[ISSUE DATE]], "MMM"))</f>
        <v>May</v>
      </c>
      <c r="L1233" s="35" t="str">
        <f>IF(certifications[[#This Row],[ISSUE DATE]]="", "", TEXT(certifications[[#This Row],[ISSUE DATE]], "YYYY"))</f>
        <v>2023</v>
      </c>
    </row>
    <row r="1234" spans="1:12" s="29" customFormat="1" ht="23.95" customHeight="1" x14ac:dyDescent="0.3">
      <c r="A1234" s="31"/>
      <c r="B1234" s="24">
        <v>1221</v>
      </c>
      <c r="C1234" s="24" t="s">
        <v>1308</v>
      </c>
      <c r="D1234" s="24" t="s">
        <v>32</v>
      </c>
      <c r="E1234" s="24" t="s">
        <v>26</v>
      </c>
      <c r="F1234" s="24">
        <v>16971</v>
      </c>
      <c r="G1234" s="25">
        <v>45039</v>
      </c>
      <c r="H1234" s="25">
        <v>45969</v>
      </c>
      <c r="I1234" s="24" t="s">
        <v>10</v>
      </c>
      <c r="J1234" s="24" t="s">
        <v>33</v>
      </c>
      <c r="K1234" s="24" t="str">
        <f>IF(certifications[[#This Row],[ISSUE DATE]]="", "", TEXT(certifications[[#This Row],[ISSUE DATE]], "MMM"))</f>
        <v>Apr</v>
      </c>
      <c r="L1234" s="35" t="str">
        <f>IF(certifications[[#This Row],[ISSUE DATE]]="", "", TEXT(certifications[[#This Row],[ISSUE DATE]], "YYYY"))</f>
        <v>2023</v>
      </c>
    </row>
    <row r="1235" spans="1:12" s="29" customFormat="1" ht="23.95" customHeight="1" x14ac:dyDescent="0.3">
      <c r="A1235" s="31"/>
      <c r="B1235" s="24">
        <v>1222</v>
      </c>
      <c r="C1235" s="24" t="s">
        <v>1309</v>
      </c>
      <c r="D1235" s="24" t="s">
        <v>32</v>
      </c>
      <c r="E1235" s="24" t="s">
        <v>9</v>
      </c>
      <c r="F1235" s="24">
        <v>14760</v>
      </c>
      <c r="G1235" s="25">
        <v>43770</v>
      </c>
      <c r="H1235" s="25">
        <v>44501</v>
      </c>
      <c r="I1235" s="24" t="s">
        <v>16</v>
      </c>
      <c r="J1235" s="24" t="s">
        <v>33</v>
      </c>
      <c r="K1235" s="24" t="str">
        <f>IF(certifications[[#This Row],[ISSUE DATE]]="", "", TEXT(certifications[[#This Row],[ISSUE DATE]], "MMM"))</f>
        <v>Nov</v>
      </c>
      <c r="L1235" s="35" t="str">
        <f>IF(certifications[[#This Row],[ISSUE DATE]]="", "", TEXT(certifications[[#This Row],[ISSUE DATE]], "YYYY"))</f>
        <v>2019</v>
      </c>
    </row>
    <row r="1236" spans="1:12" s="29" customFormat="1" ht="23.95" customHeight="1" x14ac:dyDescent="0.3">
      <c r="A1236" s="31"/>
      <c r="B1236" s="24">
        <v>1223</v>
      </c>
      <c r="C1236" s="24" t="s">
        <v>1310</v>
      </c>
      <c r="D1236" s="24" t="s">
        <v>390</v>
      </c>
      <c r="E1236" s="24" t="s">
        <v>9</v>
      </c>
      <c r="F1236" s="24">
        <v>8324</v>
      </c>
      <c r="G1236" s="25">
        <v>41325</v>
      </c>
      <c r="H1236" s="25">
        <v>42786</v>
      </c>
      <c r="I1236" s="24" t="s">
        <v>16</v>
      </c>
      <c r="J1236" s="24" t="s">
        <v>22</v>
      </c>
      <c r="K1236" s="24" t="str">
        <f>IF(certifications[[#This Row],[ISSUE DATE]]="", "", TEXT(certifications[[#This Row],[ISSUE DATE]], "MMM"))</f>
        <v>Feb</v>
      </c>
      <c r="L1236" s="35" t="str">
        <f>IF(certifications[[#This Row],[ISSUE DATE]]="", "", TEXT(certifications[[#This Row],[ISSUE DATE]], "YYYY"))</f>
        <v>2013</v>
      </c>
    </row>
    <row r="1237" spans="1:12" s="29" customFormat="1" ht="23.95" customHeight="1" x14ac:dyDescent="0.3">
      <c r="A1237" s="31"/>
      <c r="B1237" s="24">
        <v>1224</v>
      </c>
      <c r="C1237" s="24" t="s">
        <v>1311</v>
      </c>
      <c r="D1237" s="24" t="s">
        <v>48</v>
      </c>
      <c r="E1237" s="24" t="s">
        <v>9</v>
      </c>
      <c r="F1237" s="24">
        <v>8976</v>
      </c>
      <c r="G1237" s="25">
        <v>41849</v>
      </c>
      <c r="H1237" s="25">
        <v>43310</v>
      </c>
      <c r="I1237" s="24" t="s">
        <v>16</v>
      </c>
      <c r="J1237" s="24" t="s">
        <v>38</v>
      </c>
      <c r="K1237" s="24" t="str">
        <f>IF(certifications[[#This Row],[ISSUE DATE]]="", "", TEXT(certifications[[#This Row],[ISSUE DATE]], "MMM"))</f>
        <v>Jul</v>
      </c>
      <c r="L1237" s="35" t="str">
        <f>IF(certifications[[#This Row],[ISSUE DATE]]="", "", TEXT(certifications[[#This Row],[ISSUE DATE]], "YYYY"))</f>
        <v>2014</v>
      </c>
    </row>
    <row r="1238" spans="1:12" s="29" customFormat="1" ht="23.95" customHeight="1" x14ac:dyDescent="0.3">
      <c r="A1238" s="31"/>
      <c r="B1238" s="24">
        <v>1225</v>
      </c>
      <c r="C1238" s="24" t="s">
        <v>1312</v>
      </c>
      <c r="D1238" s="24" t="s">
        <v>57</v>
      </c>
      <c r="E1238" s="24" t="s">
        <v>9</v>
      </c>
      <c r="F1238" s="24">
        <v>11704</v>
      </c>
      <c r="G1238" s="25">
        <v>43272</v>
      </c>
      <c r="H1238" s="25">
        <v>46194</v>
      </c>
      <c r="I1238" s="24" t="s">
        <v>10</v>
      </c>
      <c r="J1238" s="24" t="s">
        <v>38</v>
      </c>
      <c r="K1238" s="24" t="str">
        <f>IF(certifications[[#This Row],[ISSUE DATE]]="", "", TEXT(certifications[[#This Row],[ISSUE DATE]], "MMM"))</f>
        <v>Jun</v>
      </c>
      <c r="L1238" s="35" t="str">
        <f>IF(certifications[[#This Row],[ISSUE DATE]]="", "", TEXT(certifications[[#This Row],[ISSUE DATE]], "YYYY"))</f>
        <v>2018</v>
      </c>
    </row>
    <row r="1239" spans="1:12" s="29" customFormat="1" ht="23.95" customHeight="1" x14ac:dyDescent="0.3">
      <c r="A1239" s="31"/>
      <c r="B1239" s="24">
        <v>1226</v>
      </c>
      <c r="C1239" s="24" t="s">
        <v>1313</v>
      </c>
      <c r="D1239" s="24" t="s">
        <v>18</v>
      </c>
      <c r="E1239" s="24" t="s">
        <v>9</v>
      </c>
      <c r="F1239" s="24">
        <v>13718</v>
      </c>
      <c r="G1239" s="25">
        <v>43640</v>
      </c>
      <c r="H1239" s="25">
        <v>44371</v>
      </c>
      <c r="I1239" s="24" t="s">
        <v>16</v>
      </c>
      <c r="J1239" s="24" t="s">
        <v>19</v>
      </c>
      <c r="K1239" s="24" t="str">
        <f>IF(certifications[[#This Row],[ISSUE DATE]]="", "", TEXT(certifications[[#This Row],[ISSUE DATE]], "MMM"))</f>
        <v>Jun</v>
      </c>
      <c r="L1239" s="35" t="str">
        <f>IF(certifications[[#This Row],[ISSUE DATE]]="", "", TEXT(certifications[[#This Row],[ISSUE DATE]], "YYYY"))</f>
        <v>2019</v>
      </c>
    </row>
    <row r="1240" spans="1:12" s="29" customFormat="1" ht="23.95" customHeight="1" x14ac:dyDescent="0.3">
      <c r="A1240" s="31"/>
      <c r="B1240" s="24">
        <v>1227</v>
      </c>
      <c r="C1240" s="24" t="s">
        <v>1314</v>
      </c>
      <c r="D1240" s="24" t="s">
        <v>13</v>
      </c>
      <c r="E1240" s="24" t="s">
        <v>9</v>
      </c>
      <c r="F1240" s="24">
        <v>17769</v>
      </c>
      <c r="G1240" s="25">
        <v>44791</v>
      </c>
      <c r="H1240" s="25">
        <v>45522</v>
      </c>
      <c r="I1240" s="24" t="s">
        <v>82</v>
      </c>
      <c r="J1240" s="24" t="s">
        <v>14</v>
      </c>
      <c r="K1240" s="24" t="str">
        <f>IF(certifications[[#This Row],[ISSUE DATE]]="", "", TEXT(certifications[[#This Row],[ISSUE DATE]], "MMM"))</f>
        <v>Aug</v>
      </c>
      <c r="L1240" s="35" t="str">
        <f>IF(certifications[[#This Row],[ISSUE DATE]]="", "", TEXT(certifications[[#This Row],[ISSUE DATE]], "YYYY"))</f>
        <v>2022</v>
      </c>
    </row>
    <row r="1241" spans="1:12" s="29" customFormat="1" ht="23.95" customHeight="1" x14ac:dyDescent="0.3">
      <c r="A1241" s="31"/>
      <c r="B1241" s="24">
        <v>1228</v>
      </c>
      <c r="C1241" s="24" t="s">
        <v>1315</v>
      </c>
      <c r="D1241" s="24" t="s">
        <v>13</v>
      </c>
      <c r="E1241" s="24" t="s">
        <v>9</v>
      </c>
      <c r="F1241" s="24">
        <v>9879</v>
      </c>
      <c r="G1241" s="25">
        <v>42670</v>
      </c>
      <c r="H1241" s="25">
        <v>43400</v>
      </c>
      <c r="I1241" s="24" t="s">
        <v>16</v>
      </c>
      <c r="J1241" s="24" t="s">
        <v>14</v>
      </c>
      <c r="K1241" s="24" t="str">
        <f>IF(certifications[[#This Row],[ISSUE DATE]]="", "", TEXT(certifications[[#This Row],[ISSUE DATE]], "MMM"))</f>
        <v>Oct</v>
      </c>
      <c r="L1241" s="35" t="str">
        <f>IF(certifications[[#This Row],[ISSUE DATE]]="", "", TEXT(certifications[[#This Row],[ISSUE DATE]], "YYYY"))</f>
        <v>2016</v>
      </c>
    </row>
    <row r="1242" spans="1:12" s="29" customFormat="1" ht="23.95" customHeight="1" x14ac:dyDescent="0.3">
      <c r="A1242" s="31"/>
      <c r="B1242" s="24">
        <v>1229</v>
      </c>
      <c r="C1242" s="24" t="s">
        <v>1316</v>
      </c>
      <c r="D1242" s="24" t="s">
        <v>363</v>
      </c>
      <c r="E1242" s="24" t="s">
        <v>9</v>
      </c>
      <c r="F1242" s="24">
        <v>17487</v>
      </c>
      <c r="G1242" s="25">
        <v>44749</v>
      </c>
      <c r="H1242" s="25">
        <v>46210</v>
      </c>
      <c r="I1242" s="24" t="s">
        <v>10</v>
      </c>
      <c r="J1242" s="24" t="s">
        <v>19</v>
      </c>
      <c r="K1242" s="24" t="str">
        <f>IF(certifications[[#This Row],[ISSUE DATE]]="", "", TEXT(certifications[[#This Row],[ISSUE DATE]], "MMM"))</f>
        <v>Jul</v>
      </c>
      <c r="L1242" s="35" t="str">
        <f>IF(certifications[[#This Row],[ISSUE DATE]]="", "", TEXT(certifications[[#This Row],[ISSUE DATE]], "YYYY"))</f>
        <v>2022</v>
      </c>
    </row>
    <row r="1243" spans="1:12" s="29" customFormat="1" ht="23.95" customHeight="1" x14ac:dyDescent="0.3">
      <c r="A1243" s="31"/>
      <c r="B1243" s="24">
        <v>1230</v>
      </c>
      <c r="C1243" s="24" t="s">
        <v>1316</v>
      </c>
      <c r="D1243" s="24" t="s">
        <v>363</v>
      </c>
      <c r="E1243" s="24" t="s">
        <v>26</v>
      </c>
      <c r="F1243" s="24">
        <v>17487</v>
      </c>
      <c r="G1243" s="25">
        <v>44743</v>
      </c>
      <c r="H1243" s="25">
        <v>46204</v>
      </c>
      <c r="I1243" s="24" t="s">
        <v>10</v>
      </c>
      <c r="J1243" s="24" t="s">
        <v>19</v>
      </c>
      <c r="K1243" s="24" t="str">
        <f>IF(certifications[[#This Row],[ISSUE DATE]]="", "", TEXT(certifications[[#This Row],[ISSUE DATE]], "MMM"))</f>
        <v>Jul</v>
      </c>
      <c r="L1243" s="35" t="str">
        <f>IF(certifications[[#This Row],[ISSUE DATE]]="", "", TEXT(certifications[[#This Row],[ISSUE DATE]], "YYYY"))</f>
        <v>2022</v>
      </c>
    </row>
    <row r="1244" spans="1:12" s="29" customFormat="1" ht="23.95" customHeight="1" x14ac:dyDescent="0.3">
      <c r="A1244" s="31"/>
      <c r="B1244" s="24">
        <v>1231</v>
      </c>
      <c r="C1244" s="24" t="s">
        <v>1317</v>
      </c>
      <c r="D1244" s="24" t="s">
        <v>202</v>
      </c>
      <c r="E1244" s="24" t="s">
        <v>9</v>
      </c>
      <c r="F1244" s="24">
        <v>13716</v>
      </c>
      <c r="G1244" s="25">
        <v>43640</v>
      </c>
      <c r="H1244" s="25">
        <v>44371</v>
      </c>
      <c r="I1244" s="24" t="s">
        <v>16</v>
      </c>
      <c r="J1244" s="24" t="s">
        <v>19</v>
      </c>
      <c r="K1244" s="24" t="str">
        <f>IF(certifications[[#This Row],[ISSUE DATE]]="", "", TEXT(certifications[[#This Row],[ISSUE DATE]], "MMM"))</f>
        <v>Jun</v>
      </c>
      <c r="L1244" s="35" t="str">
        <f>IF(certifications[[#This Row],[ISSUE DATE]]="", "", TEXT(certifications[[#This Row],[ISSUE DATE]], "YYYY"))</f>
        <v>2019</v>
      </c>
    </row>
    <row r="1245" spans="1:12" s="29" customFormat="1" ht="23.95" customHeight="1" x14ac:dyDescent="0.3">
      <c r="A1245" s="31"/>
      <c r="B1245" s="24">
        <v>1232</v>
      </c>
      <c r="C1245" s="24" t="s">
        <v>1318</v>
      </c>
      <c r="D1245" s="24" t="s">
        <v>131</v>
      </c>
      <c r="E1245" s="24" t="s">
        <v>9</v>
      </c>
      <c r="F1245" s="24">
        <v>8565</v>
      </c>
      <c r="G1245" s="25">
        <v>41485</v>
      </c>
      <c r="H1245" s="25">
        <v>45868</v>
      </c>
      <c r="I1245" s="24" t="s">
        <v>10</v>
      </c>
      <c r="J1245" s="24" t="s">
        <v>38</v>
      </c>
      <c r="K1245" s="24" t="str">
        <f>IF(certifications[[#This Row],[ISSUE DATE]]="", "", TEXT(certifications[[#This Row],[ISSUE DATE]], "MMM"))</f>
        <v>Jul</v>
      </c>
      <c r="L1245" s="35" t="str">
        <f>IF(certifications[[#This Row],[ISSUE DATE]]="", "", TEXT(certifications[[#This Row],[ISSUE DATE]], "YYYY"))</f>
        <v>2013</v>
      </c>
    </row>
    <row r="1246" spans="1:12" s="29" customFormat="1" ht="23.95" customHeight="1" x14ac:dyDescent="0.3">
      <c r="A1246" s="31"/>
      <c r="B1246" s="24">
        <v>1233</v>
      </c>
      <c r="C1246" s="24" t="s">
        <v>1318</v>
      </c>
      <c r="D1246" s="24" t="s">
        <v>131</v>
      </c>
      <c r="E1246" s="24" t="s">
        <v>26</v>
      </c>
      <c r="F1246" s="24">
        <v>8565</v>
      </c>
      <c r="G1246" s="25">
        <v>43887</v>
      </c>
      <c r="H1246" s="25">
        <v>45348</v>
      </c>
      <c r="I1246" s="24" t="s">
        <v>16</v>
      </c>
      <c r="J1246" s="24" t="s">
        <v>38</v>
      </c>
      <c r="K1246" s="24" t="str">
        <f>IF(certifications[[#This Row],[ISSUE DATE]]="", "", TEXT(certifications[[#This Row],[ISSUE DATE]], "MMM"))</f>
        <v>Feb</v>
      </c>
      <c r="L1246" s="35" t="str">
        <f>IF(certifications[[#This Row],[ISSUE DATE]]="", "", TEXT(certifications[[#This Row],[ISSUE DATE]], "YYYY"))</f>
        <v>2020</v>
      </c>
    </row>
    <row r="1247" spans="1:12" s="29" customFormat="1" ht="23.95" customHeight="1" x14ac:dyDescent="0.3">
      <c r="A1247" s="31"/>
      <c r="B1247" s="24">
        <v>1234</v>
      </c>
      <c r="C1247" s="24" t="s">
        <v>1319</v>
      </c>
      <c r="D1247" s="24" t="s">
        <v>32</v>
      </c>
      <c r="E1247" s="24" t="s">
        <v>9</v>
      </c>
      <c r="F1247" s="24">
        <v>16852</v>
      </c>
      <c r="G1247" s="25">
        <v>44461</v>
      </c>
      <c r="H1247" s="25">
        <v>45191</v>
      </c>
      <c r="I1247" s="24" t="s">
        <v>16</v>
      </c>
      <c r="J1247" s="24" t="s">
        <v>33</v>
      </c>
      <c r="K1247" s="24" t="str">
        <f>IF(certifications[[#This Row],[ISSUE DATE]]="", "", TEXT(certifications[[#This Row],[ISSUE DATE]], "MMM"))</f>
        <v>Sep</v>
      </c>
      <c r="L1247" s="35" t="str">
        <f>IF(certifications[[#This Row],[ISSUE DATE]]="", "", TEXT(certifications[[#This Row],[ISSUE DATE]], "YYYY"))</f>
        <v>2021</v>
      </c>
    </row>
    <row r="1248" spans="1:12" s="29" customFormat="1" ht="23.95" customHeight="1" x14ac:dyDescent="0.3">
      <c r="A1248" s="31"/>
      <c r="B1248" s="24">
        <v>1235</v>
      </c>
      <c r="C1248" s="24" t="s">
        <v>1320</v>
      </c>
      <c r="D1248" s="24" t="s">
        <v>32</v>
      </c>
      <c r="E1248" s="24" t="s">
        <v>9</v>
      </c>
      <c r="F1248" s="24">
        <v>7339</v>
      </c>
      <c r="G1248" s="25">
        <v>40068</v>
      </c>
      <c r="H1248" s="25">
        <v>41529</v>
      </c>
      <c r="I1248" s="24" t="s">
        <v>16</v>
      </c>
      <c r="J1248" s="24" t="s">
        <v>33</v>
      </c>
      <c r="K1248" s="24" t="str">
        <f>IF(certifications[[#This Row],[ISSUE DATE]]="", "", TEXT(certifications[[#This Row],[ISSUE DATE]], "MMM"))</f>
        <v>Sep</v>
      </c>
      <c r="L1248" s="35" t="str">
        <f>IF(certifications[[#This Row],[ISSUE DATE]]="", "", TEXT(certifications[[#This Row],[ISSUE DATE]], "YYYY"))</f>
        <v>2009</v>
      </c>
    </row>
    <row r="1249" spans="1:12" s="29" customFormat="1" ht="23.95" customHeight="1" x14ac:dyDescent="0.3">
      <c r="A1249" s="31"/>
      <c r="B1249" s="24">
        <v>1236</v>
      </c>
      <c r="C1249" s="24" t="s">
        <v>1321</v>
      </c>
      <c r="D1249" s="24" t="s">
        <v>53</v>
      </c>
      <c r="E1249" s="24" t="s">
        <v>9</v>
      </c>
      <c r="F1249" s="24">
        <v>15861</v>
      </c>
      <c r="G1249" s="25">
        <v>44211</v>
      </c>
      <c r="H1249" s="25">
        <v>45672</v>
      </c>
      <c r="I1249" s="24" t="s">
        <v>82</v>
      </c>
      <c r="J1249" s="24" t="s">
        <v>25</v>
      </c>
      <c r="K1249" s="24" t="str">
        <f>IF(certifications[[#This Row],[ISSUE DATE]]="", "", TEXT(certifications[[#This Row],[ISSUE DATE]], "MMM"))</f>
        <v>Jan</v>
      </c>
      <c r="L1249" s="35" t="str">
        <f>IF(certifications[[#This Row],[ISSUE DATE]]="", "", TEXT(certifications[[#This Row],[ISSUE DATE]], "YYYY"))</f>
        <v>2021</v>
      </c>
    </row>
    <row r="1250" spans="1:12" s="29" customFormat="1" ht="23.95" customHeight="1" x14ac:dyDescent="0.3">
      <c r="A1250" s="31"/>
      <c r="B1250" s="24">
        <v>1237</v>
      </c>
      <c r="C1250" s="24" t="s">
        <v>1322</v>
      </c>
      <c r="D1250" s="24" t="s">
        <v>104</v>
      </c>
      <c r="E1250" s="24" t="s">
        <v>9</v>
      </c>
      <c r="F1250" s="24">
        <v>8860</v>
      </c>
      <c r="G1250" s="25">
        <v>41774</v>
      </c>
      <c r="H1250" s="25">
        <v>45427</v>
      </c>
      <c r="I1250" s="24" t="s">
        <v>16</v>
      </c>
      <c r="J1250" s="24" t="s">
        <v>14</v>
      </c>
      <c r="K1250" s="24" t="str">
        <f>IF(certifications[[#This Row],[ISSUE DATE]]="", "", TEXT(certifications[[#This Row],[ISSUE DATE]], "MMM"))</f>
        <v>May</v>
      </c>
      <c r="L1250" s="35" t="str">
        <f>IF(certifications[[#This Row],[ISSUE DATE]]="", "", TEXT(certifications[[#This Row],[ISSUE DATE]], "YYYY"))</f>
        <v>2014</v>
      </c>
    </row>
    <row r="1251" spans="1:12" s="29" customFormat="1" ht="23.95" customHeight="1" x14ac:dyDescent="0.3">
      <c r="A1251" s="31"/>
      <c r="B1251" s="24">
        <v>1238</v>
      </c>
      <c r="C1251" s="24" t="s">
        <v>1323</v>
      </c>
      <c r="D1251" s="24" t="s">
        <v>158</v>
      </c>
      <c r="E1251" s="24" t="s">
        <v>26</v>
      </c>
      <c r="F1251" s="24">
        <v>17642</v>
      </c>
      <c r="G1251" s="25">
        <v>44756</v>
      </c>
      <c r="H1251" s="25">
        <v>45487</v>
      </c>
      <c r="I1251" s="24" t="s">
        <v>82</v>
      </c>
      <c r="J1251" s="24" t="s">
        <v>30</v>
      </c>
      <c r="K1251" s="24" t="str">
        <f>IF(certifications[[#This Row],[ISSUE DATE]]="", "", TEXT(certifications[[#This Row],[ISSUE DATE]], "MMM"))</f>
        <v>Jul</v>
      </c>
      <c r="L1251" s="35" t="str">
        <f>IF(certifications[[#This Row],[ISSUE DATE]]="", "", TEXT(certifications[[#This Row],[ISSUE DATE]], "YYYY"))</f>
        <v>2022</v>
      </c>
    </row>
    <row r="1252" spans="1:12" s="29" customFormat="1" ht="23.95" customHeight="1" x14ac:dyDescent="0.3">
      <c r="A1252" s="31"/>
      <c r="B1252" s="24">
        <v>1239</v>
      </c>
      <c r="C1252" s="24" t="s">
        <v>1324</v>
      </c>
      <c r="D1252" s="24" t="s">
        <v>139</v>
      </c>
      <c r="E1252" s="24" t="s">
        <v>9</v>
      </c>
      <c r="F1252" s="24">
        <v>20501</v>
      </c>
      <c r="G1252" s="25">
        <v>45469</v>
      </c>
      <c r="H1252" s="25">
        <v>46199</v>
      </c>
      <c r="I1252" s="24" t="s">
        <v>10</v>
      </c>
      <c r="J1252" s="24" t="s">
        <v>38</v>
      </c>
      <c r="K1252" s="24" t="str">
        <f>IF(certifications[[#This Row],[ISSUE DATE]]="", "", TEXT(certifications[[#This Row],[ISSUE DATE]], "MMM"))</f>
        <v>Jun</v>
      </c>
      <c r="L1252" s="35" t="str">
        <f>IF(certifications[[#This Row],[ISSUE DATE]]="", "", TEXT(certifications[[#This Row],[ISSUE DATE]], "YYYY"))</f>
        <v>2024</v>
      </c>
    </row>
    <row r="1253" spans="1:12" s="29" customFormat="1" ht="23.95" customHeight="1" x14ac:dyDescent="0.3">
      <c r="A1253" s="31"/>
      <c r="B1253" s="24">
        <v>1240</v>
      </c>
      <c r="C1253" s="24" t="s">
        <v>1325</v>
      </c>
      <c r="D1253" s="24" t="s">
        <v>13</v>
      </c>
      <c r="E1253" s="24" t="s">
        <v>9</v>
      </c>
      <c r="F1253" s="24">
        <v>21077</v>
      </c>
      <c r="G1253" s="25">
        <v>45598</v>
      </c>
      <c r="H1253" s="25">
        <v>46328</v>
      </c>
      <c r="I1253" s="24" t="s">
        <v>10</v>
      </c>
      <c r="J1253" s="24" t="s">
        <v>14</v>
      </c>
      <c r="K1253" s="24" t="str">
        <f>IF(certifications[[#This Row],[ISSUE DATE]]="", "", TEXT(certifications[[#This Row],[ISSUE DATE]], "MMM"))</f>
        <v>Nov</v>
      </c>
      <c r="L1253" s="35" t="str">
        <f>IF(certifications[[#This Row],[ISSUE DATE]]="", "", TEXT(certifications[[#This Row],[ISSUE DATE]], "YYYY"))</f>
        <v>2024</v>
      </c>
    </row>
    <row r="1254" spans="1:12" s="29" customFormat="1" ht="23.95" customHeight="1" x14ac:dyDescent="0.3">
      <c r="A1254" s="31"/>
      <c r="B1254" s="24">
        <v>1241</v>
      </c>
      <c r="C1254" s="24" t="s">
        <v>1326</v>
      </c>
      <c r="D1254" s="24" t="s">
        <v>158</v>
      </c>
      <c r="E1254" s="24" t="s">
        <v>26</v>
      </c>
      <c r="F1254" s="24">
        <v>13300</v>
      </c>
      <c r="G1254" s="25">
        <v>43595</v>
      </c>
      <c r="H1254" s="25">
        <v>44326</v>
      </c>
      <c r="I1254" s="24" t="s">
        <v>16</v>
      </c>
      <c r="J1254" s="24" t="s">
        <v>30</v>
      </c>
      <c r="K1254" s="24" t="str">
        <f>IF(certifications[[#This Row],[ISSUE DATE]]="", "", TEXT(certifications[[#This Row],[ISSUE DATE]], "MMM"))</f>
        <v>May</v>
      </c>
      <c r="L1254" s="35" t="str">
        <f>IF(certifications[[#This Row],[ISSUE DATE]]="", "", TEXT(certifications[[#This Row],[ISSUE DATE]], "YYYY"))</f>
        <v>2019</v>
      </c>
    </row>
    <row r="1255" spans="1:12" s="29" customFormat="1" ht="23.95" customHeight="1" x14ac:dyDescent="0.3">
      <c r="A1255" s="31"/>
      <c r="B1255" s="24">
        <v>1242</v>
      </c>
      <c r="C1255" s="24" t="s">
        <v>1327</v>
      </c>
      <c r="D1255" s="24" t="s">
        <v>13</v>
      </c>
      <c r="E1255" s="24" t="s">
        <v>9</v>
      </c>
      <c r="F1255" s="24">
        <v>9882</v>
      </c>
      <c r="G1255" s="25">
        <v>42670</v>
      </c>
      <c r="H1255" s="25">
        <v>43400</v>
      </c>
      <c r="I1255" s="24" t="s">
        <v>16</v>
      </c>
      <c r="J1255" s="24" t="s">
        <v>14</v>
      </c>
      <c r="K1255" s="24" t="str">
        <f>IF(certifications[[#This Row],[ISSUE DATE]]="", "", TEXT(certifications[[#This Row],[ISSUE DATE]], "MMM"))</f>
        <v>Oct</v>
      </c>
      <c r="L1255" s="35" t="str">
        <f>IF(certifications[[#This Row],[ISSUE DATE]]="", "", TEXT(certifications[[#This Row],[ISSUE DATE]], "YYYY"))</f>
        <v>2016</v>
      </c>
    </row>
    <row r="1256" spans="1:12" s="29" customFormat="1" ht="23.95" customHeight="1" x14ac:dyDescent="0.3">
      <c r="A1256" s="31"/>
      <c r="B1256" s="24">
        <v>1243</v>
      </c>
      <c r="C1256" s="24" t="s">
        <v>1327</v>
      </c>
      <c r="D1256" s="24" t="s">
        <v>390</v>
      </c>
      <c r="E1256" s="24" t="s">
        <v>9</v>
      </c>
      <c r="F1256" s="24">
        <v>17298</v>
      </c>
      <c r="G1256" s="25">
        <v>45580</v>
      </c>
      <c r="H1256" s="25">
        <v>46310</v>
      </c>
      <c r="I1256" s="24" t="s">
        <v>10</v>
      </c>
      <c r="J1256" s="24" t="s">
        <v>22</v>
      </c>
      <c r="K1256" s="24" t="str">
        <f>IF(certifications[[#This Row],[ISSUE DATE]]="", "", TEXT(certifications[[#This Row],[ISSUE DATE]], "MMM"))</f>
        <v>Oct</v>
      </c>
      <c r="L1256" s="35" t="str">
        <f>IF(certifications[[#This Row],[ISSUE DATE]]="", "", TEXT(certifications[[#This Row],[ISSUE DATE]], "YYYY"))</f>
        <v>2024</v>
      </c>
    </row>
    <row r="1257" spans="1:12" s="29" customFormat="1" ht="23.95" customHeight="1" x14ac:dyDescent="0.3">
      <c r="A1257" s="31"/>
      <c r="B1257" s="24">
        <v>1244</v>
      </c>
      <c r="C1257" s="24" t="s">
        <v>1328</v>
      </c>
      <c r="D1257" s="24" t="s">
        <v>32</v>
      </c>
      <c r="E1257" s="24" t="s">
        <v>9</v>
      </c>
      <c r="F1257" s="24">
        <v>17306</v>
      </c>
      <c r="G1257" s="25">
        <v>44656</v>
      </c>
      <c r="H1257" s="25">
        <v>45387</v>
      </c>
      <c r="I1257" s="24" t="s">
        <v>16</v>
      </c>
      <c r="J1257" s="24" t="s">
        <v>33</v>
      </c>
      <c r="K1257" s="24" t="str">
        <f>IF(certifications[[#This Row],[ISSUE DATE]]="", "", TEXT(certifications[[#This Row],[ISSUE DATE]], "MMM"))</f>
        <v>Apr</v>
      </c>
      <c r="L1257" s="35" t="str">
        <f>IF(certifications[[#This Row],[ISSUE DATE]]="", "", TEXT(certifications[[#This Row],[ISSUE DATE]], "YYYY"))</f>
        <v>2022</v>
      </c>
    </row>
    <row r="1258" spans="1:12" s="29" customFormat="1" ht="23.95" customHeight="1" x14ac:dyDescent="0.3">
      <c r="A1258" s="31"/>
      <c r="B1258" s="24">
        <v>1245</v>
      </c>
      <c r="C1258" s="24" t="s">
        <v>1329</v>
      </c>
      <c r="D1258" s="24" t="s">
        <v>48</v>
      </c>
      <c r="E1258" s="24" t="s">
        <v>9</v>
      </c>
      <c r="F1258" s="24">
        <v>11714</v>
      </c>
      <c r="G1258" s="25">
        <v>43272</v>
      </c>
      <c r="H1258" s="25">
        <v>46194</v>
      </c>
      <c r="I1258" s="24" t="s">
        <v>10</v>
      </c>
      <c r="J1258" s="24" t="s">
        <v>38</v>
      </c>
      <c r="K1258" s="24" t="str">
        <f>IF(certifications[[#This Row],[ISSUE DATE]]="", "", TEXT(certifications[[#This Row],[ISSUE DATE]], "MMM"))</f>
        <v>Jun</v>
      </c>
      <c r="L1258" s="35" t="str">
        <f>IF(certifications[[#This Row],[ISSUE DATE]]="", "", TEXT(certifications[[#This Row],[ISSUE DATE]], "YYYY"))</f>
        <v>2018</v>
      </c>
    </row>
    <row r="1259" spans="1:12" s="29" customFormat="1" ht="23.95" customHeight="1" x14ac:dyDescent="0.3">
      <c r="A1259" s="31"/>
      <c r="B1259" s="24">
        <v>1246</v>
      </c>
      <c r="C1259" s="24" t="s">
        <v>1330</v>
      </c>
      <c r="D1259" s="24" t="s">
        <v>674</v>
      </c>
      <c r="E1259" s="24" t="s">
        <v>26</v>
      </c>
      <c r="F1259" s="24">
        <v>15803</v>
      </c>
      <c r="G1259" s="25">
        <v>44197</v>
      </c>
      <c r="H1259" s="25">
        <v>44927</v>
      </c>
      <c r="I1259" s="24" t="s">
        <v>16</v>
      </c>
      <c r="J1259" s="24" t="s">
        <v>22</v>
      </c>
      <c r="K1259" s="24" t="str">
        <f>IF(certifications[[#This Row],[ISSUE DATE]]="", "", TEXT(certifications[[#This Row],[ISSUE DATE]], "MMM"))</f>
        <v>Jan</v>
      </c>
      <c r="L1259" s="35" t="str">
        <f>IF(certifications[[#This Row],[ISSUE DATE]]="", "", TEXT(certifications[[#This Row],[ISSUE DATE]], "YYYY"))</f>
        <v>2021</v>
      </c>
    </row>
    <row r="1260" spans="1:12" s="29" customFormat="1" ht="23.95" customHeight="1" x14ac:dyDescent="0.3">
      <c r="A1260" s="31"/>
      <c r="B1260" s="24">
        <v>1247</v>
      </c>
      <c r="C1260" s="24" t="s">
        <v>1331</v>
      </c>
      <c r="D1260" s="24" t="s">
        <v>32</v>
      </c>
      <c r="E1260" s="24" t="s">
        <v>9</v>
      </c>
      <c r="F1260" s="24">
        <v>7343</v>
      </c>
      <c r="G1260" s="25">
        <v>40068</v>
      </c>
      <c r="H1260" s="25">
        <v>41529</v>
      </c>
      <c r="I1260" s="24" t="s">
        <v>16</v>
      </c>
      <c r="J1260" s="24" t="s">
        <v>33</v>
      </c>
      <c r="K1260" s="24" t="str">
        <f>IF(certifications[[#This Row],[ISSUE DATE]]="", "", TEXT(certifications[[#This Row],[ISSUE DATE]], "MMM"))</f>
        <v>Sep</v>
      </c>
      <c r="L1260" s="35" t="str">
        <f>IF(certifications[[#This Row],[ISSUE DATE]]="", "", TEXT(certifications[[#This Row],[ISSUE DATE]], "YYYY"))</f>
        <v>2009</v>
      </c>
    </row>
    <row r="1261" spans="1:12" s="29" customFormat="1" ht="23.95" customHeight="1" x14ac:dyDescent="0.3">
      <c r="A1261" s="31"/>
      <c r="B1261" s="24">
        <v>1248</v>
      </c>
      <c r="C1261" s="24" t="s">
        <v>1332</v>
      </c>
      <c r="D1261" s="24" t="s">
        <v>84</v>
      </c>
      <c r="E1261" s="24" t="s">
        <v>9</v>
      </c>
      <c r="F1261" s="24">
        <v>10297</v>
      </c>
      <c r="G1261" s="25">
        <v>42915</v>
      </c>
      <c r="H1261" s="25">
        <v>43645</v>
      </c>
      <c r="I1261" s="24" t="s">
        <v>16</v>
      </c>
      <c r="J1261" s="24" t="s">
        <v>14</v>
      </c>
      <c r="K1261" s="24" t="str">
        <f>IF(certifications[[#This Row],[ISSUE DATE]]="", "", TEXT(certifications[[#This Row],[ISSUE DATE]], "MMM"))</f>
        <v>Jun</v>
      </c>
      <c r="L1261" s="35" t="str">
        <f>IF(certifications[[#This Row],[ISSUE DATE]]="", "", TEXT(certifications[[#This Row],[ISSUE DATE]], "YYYY"))</f>
        <v>2017</v>
      </c>
    </row>
    <row r="1262" spans="1:12" s="29" customFormat="1" ht="23.95" customHeight="1" x14ac:dyDescent="0.3">
      <c r="A1262" s="31"/>
      <c r="B1262" s="24">
        <v>1249</v>
      </c>
      <c r="C1262" s="24" t="s">
        <v>1333</v>
      </c>
      <c r="D1262" s="24" t="s">
        <v>84</v>
      </c>
      <c r="E1262" s="24" t="s">
        <v>9</v>
      </c>
      <c r="F1262" s="24">
        <v>8977</v>
      </c>
      <c r="G1262" s="25">
        <v>41852</v>
      </c>
      <c r="H1262" s="25">
        <v>44044</v>
      </c>
      <c r="I1262" s="24" t="s">
        <v>16</v>
      </c>
      <c r="J1262" s="24" t="s">
        <v>14</v>
      </c>
      <c r="K1262" s="24" t="str">
        <f>IF(certifications[[#This Row],[ISSUE DATE]]="", "", TEXT(certifications[[#This Row],[ISSUE DATE]], "MMM"))</f>
        <v>Aug</v>
      </c>
      <c r="L1262" s="35" t="str">
        <f>IF(certifications[[#This Row],[ISSUE DATE]]="", "", TEXT(certifications[[#This Row],[ISSUE DATE]], "YYYY"))</f>
        <v>2014</v>
      </c>
    </row>
    <row r="1263" spans="1:12" s="29" customFormat="1" ht="23.95" customHeight="1" x14ac:dyDescent="0.3">
      <c r="A1263" s="31"/>
      <c r="B1263" s="24">
        <v>1250</v>
      </c>
      <c r="C1263" s="24" t="s">
        <v>1334</v>
      </c>
      <c r="D1263" s="24" t="s">
        <v>131</v>
      </c>
      <c r="E1263" s="24" t="s">
        <v>9</v>
      </c>
      <c r="F1263" s="24">
        <v>9722</v>
      </c>
      <c r="G1263" s="25">
        <v>42571</v>
      </c>
      <c r="H1263" s="25">
        <v>43301</v>
      </c>
      <c r="I1263" s="24" t="s">
        <v>16</v>
      </c>
      <c r="J1263" s="24" t="s">
        <v>38</v>
      </c>
      <c r="K1263" s="24" t="str">
        <f>IF(certifications[[#This Row],[ISSUE DATE]]="", "", TEXT(certifications[[#This Row],[ISSUE DATE]], "MMM"))</f>
        <v>Jul</v>
      </c>
      <c r="L1263" s="35" t="str">
        <f>IF(certifications[[#This Row],[ISSUE DATE]]="", "", TEXT(certifications[[#This Row],[ISSUE DATE]], "YYYY"))</f>
        <v>2016</v>
      </c>
    </row>
    <row r="1264" spans="1:12" s="29" customFormat="1" ht="23.95" customHeight="1" x14ac:dyDescent="0.3">
      <c r="A1264" s="31"/>
      <c r="B1264" s="24">
        <v>1251</v>
      </c>
      <c r="C1264" s="24" t="s">
        <v>1335</v>
      </c>
      <c r="D1264" s="24" t="s">
        <v>80</v>
      </c>
      <c r="E1264" s="24" t="s">
        <v>9</v>
      </c>
      <c r="F1264" s="24">
        <v>9025</v>
      </c>
      <c r="G1264" s="25">
        <v>41905</v>
      </c>
      <c r="H1264" s="25">
        <v>42636</v>
      </c>
      <c r="I1264" s="24" t="s">
        <v>16</v>
      </c>
      <c r="J1264" s="24" t="s">
        <v>38</v>
      </c>
      <c r="K1264" s="24" t="str">
        <f>IF(certifications[[#This Row],[ISSUE DATE]]="", "", TEXT(certifications[[#This Row],[ISSUE DATE]], "MMM"))</f>
        <v>Sep</v>
      </c>
      <c r="L1264" s="35" t="str">
        <f>IF(certifications[[#This Row],[ISSUE DATE]]="", "", TEXT(certifications[[#This Row],[ISSUE DATE]], "YYYY"))</f>
        <v>2014</v>
      </c>
    </row>
    <row r="1265" spans="1:12" s="29" customFormat="1" ht="23.95" customHeight="1" x14ac:dyDescent="0.3">
      <c r="A1265" s="31"/>
      <c r="B1265" s="24">
        <v>1252</v>
      </c>
      <c r="C1265" s="24" t="s">
        <v>1336</v>
      </c>
      <c r="D1265" s="24" t="s">
        <v>80</v>
      </c>
      <c r="E1265" s="24" t="s">
        <v>9</v>
      </c>
      <c r="F1265" s="24">
        <v>15694</v>
      </c>
      <c r="G1265" s="25">
        <v>44172</v>
      </c>
      <c r="H1265" s="25">
        <v>44902</v>
      </c>
      <c r="I1265" s="24" t="s">
        <v>16</v>
      </c>
      <c r="J1265" s="24" t="s">
        <v>38</v>
      </c>
      <c r="K1265" s="24" t="str">
        <f>IF(certifications[[#This Row],[ISSUE DATE]]="", "", TEXT(certifications[[#This Row],[ISSUE DATE]], "MMM"))</f>
        <v>Dec</v>
      </c>
      <c r="L1265" s="35" t="str">
        <f>IF(certifications[[#This Row],[ISSUE DATE]]="", "", TEXT(certifications[[#This Row],[ISSUE DATE]], "YYYY"))</f>
        <v>2020</v>
      </c>
    </row>
    <row r="1266" spans="1:12" s="29" customFormat="1" ht="23.95" customHeight="1" x14ac:dyDescent="0.3">
      <c r="A1266" s="31"/>
      <c r="B1266" s="24">
        <v>1253</v>
      </c>
      <c r="C1266" s="24" t="s">
        <v>1337</v>
      </c>
      <c r="D1266" s="24" t="s">
        <v>1338</v>
      </c>
      <c r="E1266" s="24" t="s">
        <v>9</v>
      </c>
      <c r="F1266" s="24">
        <v>8557</v>
      </c>
      <c r="G1266" s="25">
        <v>41485</v>
      </c>
      <c r="H1266" s="25">
        <v>42215</v>
      </c>
      <c r="I1266" s="24" t="s">
        <v>16</v>
      </c>
      <c r="J1266" s="24" t="s">
        <v>38</v>
      </c>
      <c r="K1266" s="24" t="str">
        <f>IF(certifications[[#This Row],[ISSUE DATE]]="", "", TEXT(certifications[[#This Row],[ISSUE DATE]], "MMM"))</f>
        <v>Jul</v>
      </c>
      <c r="L1266" s="35" t="str">
        <f>IF(certifications[[#This Row],[ISSUE DATE]]="", "", TEXT(certifications[[#This Row],[ISSUE DATE]], "YYYY"))</f>
        <v>2013</v>
      </c>
    </row>
    <row r="1267" spans="1:12" s="29" customFormat="1" ht="23.95" customHeight="1" x14ac:dyDescent="0.3">
      <c r="A1267" s="31"/>
      <c r="B1267" s="24">
        <v>1254</v>
      </c>
      <c r="C1267" s="24" t="s">
        <v>1339</v>
      </c>
      <c r="D1267" s="24" t="s">
        <v>417</v>
      </c>
      <c r="E1267" s="24" t="s">
        <v>26</v>
      </c>
      <c r="F1267" s="24">
        <v>15738</v>
      </c>
      <c r="G1267" s="25">
        <v>44181</v>
      </c>
      <c r="H1267" s="25">
        <v>45642</v>
      </c>
      <c r="I1267" s="24" t="s">
        <v>82</v>
      </c>
      <c r="J1267" s="24" t="s">
        <v>22</v>
      </c>
      <c r="K1267" s="24" t="str">
        <f>IF(certifications[[#This Row],[ISSUE DATE]]="", "", TEXT(certifications[[#This Row],[ISSUE DATE]], "MMM"))</f>
        <v>Dec</v>
      </c>
      <c r="L1267" s="35" t="str">
        <f>IF(certifications[[#This Row],[ISSUE DATE]]="", "", TEXT(certifications[[#This Row],[ISSUE DATE]], "YYYY"))</f>
        <v>2020</v>
      </c>
    </row>
    <row r="1268" spans="1:12" s="29" customFormat="1" ht="23.95" customHeight="1" x14ac:dyDescent="0.3">
      <c r="A1268" s="31"/>
      <c r="B1268" s="24">
        <v>1255</v>
      </c>
      <c r="C1268" s="24" t="s">
        <v>1340</v>
      </c>
      <c r="D1268" s="24" t="s">
        <v>32</v>
      </c>
      <c r="E1268" s="24" t="s">
        <v>9</v>
      </c>
      <c r="F1268" s="24">
        <v>14011</v>
      </c>
      <c r="G1268" s="25">
        <v>43670</v>
      </c>
      <c r="H1268" s="25">
        <v>44401</v>
      </c>
      <c r="I1268" s="24" t="s">
        <v>16</v>
      </c>
      <c r="J1268" s="24" t="s">
        <v>33</v>
      </c>
      <c r="K1268" s="24" t="str">
        <f>IF(certifications[[#This Row],[ISSUE DATE]]="", "", TEXT(certifications[[#This Row],[ISSUE DATE]], "MMM"))</f>
        <v>Jul</v>
      </c>
      <c r="L1268" s="35" t="str">
        <f>IF(certifications[[#This Row],[ISSUE DATE]]="", "", TEXT(certifications[[#This Row],[ISSUE DATE]], "YYYY"))</f>
        <v>2019</v>
      </c>
    </row>
    <row r="1269" spans="1:12" s="29" customFormat="1" ht="23.95" customHeight="1" x14ac:dyDescent="0.3">
      <c r="A1269" s="31"/>
      <c r="B1269" s="24">
        <v>1256</v>
      </c>
      <c r="C1269" s="24" t="s">
        <v>1341</v>
      </c>
      <c r="D1269" s="24" t="s">
        <v>32</v>
      </c>
      <c r="E1269" s="24" t="s">
        <v>9</v>
      </c>
      <c r="F1269" s="24">
        <v>18769</v>
      </c>
      <c r="G1269" s="25">
        <v>45098</v>
      </c>
      <c r="H1269" s="25">
        <v>45829</v>
      </c>
      <c r="I1269" s="24" t="s">
        <v>10</v>
      </c>
      <c r="J1269" s="24" t="s">
        <v>33</v>
      </c>
      <c r="K1269" s="24" t="str">
        <f>IF(certifications[[#This Row],[ISSUE DATE]]="", "", TEXT(certifications[[#This Row],[ISSUE DATE]], "MMM"))</f>
        <v>Jun</v>
      </c>
      <c r="L1269" s="35" t="str">
        <f>IF(certifications[[#This Row],[ISSUE DATE]]="", "", TEXT(certifications[[#This Row],[ISSUE DATE]], "YYYY"))</f>
        <v>2023</v>
      </c>
    </row>
    <row r="1270" spans="1:12" s="29" customFormat="1" ht="23.95" customHeight="1" x14ac:dyDescent="0.3">
      <c r="A1270" s="31"/>
      <c r="B1270" s="24">
        <v>1257</v>
      </c>
      <c r="C1270" s="24" t="s">
        <v>1342</v>
      </c>
      <c r="D1270" s="24" t="s">
        <v>32</v>
      </c>
      <c r="E1270" s="24" t="s">
        <v>9</v>
      </c>
      <c r="F1270" s="24">
        <v>9446</v>
      </c>
      <c r="G1270" s="25">
        <v>42346</v>
      </c>
      <c r="H1270" s="25">
        <v>43077</v>
      </c>
      <c r="I1270" s="24" t="s">
        <v>16</v>
      </c>
      <c r="J1270" s="24" t="s">
        <v>33</v>
      </c>
      <c r="K1270" s="24" t="str">
        <f>IF(certifications[[#This Row],[ISSUE DATE]]="", "", TEXT(certifications[[#This Row],[ISSUE DATE]], "MMM"))</f>
        <v>Dec</v>
      </c>
      <c r="L1270" s="35" t="str">
        <f>IF(certifications[[#This Row],[ISSUE DATE]]="", "", TEXT(certifications[[#This Row],[ISSUE DATE]], "YYYY"))</f>
        <v>2015</v>
      </c>
    </row>
    <row r="1271" spans="1:12" s="29" customFormat="1" ht="23.95" customHeight="1" x14ac:dyDescent="0.3">
      <c r="A1271" s="31"/>
      <c r="B1271" s="24">
        <v>1258</v>
      </c>
      <c r="C1271" s="24" t="s">
        <v>1343</v>
      </c>
      <c r="D1271" s="24" t="s">
        <v>18</v>
      </c>
      <c r="E1271" s="24" t="s">
        <v>9</v>
      </c>
      <c r="F1271" s="24">
        <v>12733</v>
      </c>
      <c r="G1271" s="25">
        <v>43479</v>
      </c>
      <c r="H1271" s="25">
        <v>44210</v>
      </c>
      <c r="I1271" s="24" t="s">
        <v>16</v>
      </c>
      <c r="J1271" s="24" t="s">
        <v>19</v>
      </c>
      <c r="K1271" s="24" t="str">
        <f>IF(certifications[[#This Row],[ISSUE DATE]]="", "", TEXT(certifications[[#This Row],[ISSUE DATE]], "MMM"))</f>
        <v>Jan</v>
      </c>
      <c r="L1271" s="35" t="str">
        <f>IF(certifications[[#This Row],[ISSUE DATE]]="", "", TEXT(certifications[[#This Row],[ISSUE DATE]], "YYYY"))</f>
        <v>2019</v>
      </c>
    </row>
    <row r="1272" spans="1:12" s="29" customFormat="1" ht="23.95" customHeight="1" x14ac:dyDescent="0.3">
      <c r="A1272" s="31"/>
      <c r="B1272" s="24">
        <v>1259</v>
      </c>
      <c r="C1272" s="24" t="s">
        <v>1344</v>
      </c>
      <c r="D1272" s="24" t="s">
        <v>32</v>
      </c>
      <c r="E1272" s="24" t="s">
        <v>9</v>
      </c>
      <c r="F1272" s="24">
        <v>14807</v>
      </c>
      <c r="G1272" s="25">
        <v>43787</v>
      </c>
      <c r="H1272" s="25">
        <v>44518</v>
      </c>
      <c r="I1272" s="24" t="s">
        <v>16</v>
      </c>
      <c r="J1272" s="24" t="s">
        <v>33</v>
      </c>
      <c r="K1272" s="24" t="str">
        <f>IF(certifications[[#This Row],[ISSUE DATE]]="", "", TEXT(certifications[[#This Row],[ISSUE DATE]], "MMM"))</f>
        <v>Nov</v>
      </c>
      <c r="L1272" s="35" t="str">
        <f>IF(certifications[[#This Row],[ISSUE DATE]]="", "", TEXT(certifications[[#This Row],[ISSUE DATE]], "YYYY"))</f>
        <v>2019</v>
      </c>
    </row>
    <row r="1273" spans="1:12" s="29" customFormat="1" ht="23.95" customHeight="1" x14ac:dyDescent="0.3">
      <c r="A1273" s="31"/>
      <c r="B1273" s="24">
        <v>1260</v>
      </c>
      <c r="C1273" s="24" t="s">
        <v>1345</v>
      </c>
      <c r="D1273" s="24" t="s">
        <v>884</v>
      </c>
      <c r="E1273" s="24" t="s">
        <v>9</v>
      </c>
      <c r="F1273" s="24">
        <v>18905</v>
      </c>
      <c r="G1273" s="25">
        <v>45128</v>
      </c>
      <c r="H1273" s="25">
        <v>45859</v>
      </c>
      <c r="I1273" s="24" t="s">
        <v>10</v>
      </c>
      <c r="J1273" s="24" t="s">
        <v>22</v>
      </c>
      <c r="K1273" s="24" t="str">
        <f>IF(certifications[[#This Row],[ISSUE DATE]]="", "", TEXT(certifications[[#This Row],[ISSUE DATE]], "MMM"))</f>
        <v>Jul</v>
      </c>
      <c r="L1273" s="35" t="str">
        <f>IF(certifications[[#This Row],[ISSUE DATE]]="", "", TEXT(certifications[[#This Row],[ISSUE DATE]], "YYYY"))</f>
        <v>2023</v>
      </c>
    </row>
    <row r="1274" spans="1:12" s="29" customFormat="1" ht="23.95" customHeight="1" x14ac:dyDescent="0.3">
      <c r="A1274" s="31"/>
      <c r="B1274" s="24">
        <v>1261</v>
      </c>
      <c r="C1274" s="24" t="s">
        <v>1346</v>
      </c>
      <c r="D1274" s="24" t="s">
        <v>32</v>
      </c>
      <c r="E1274" s="24" t="s">
        <v>9</v>
      </c>
      <c r="F1274" s="24">
        <v>21772</v>
      </c>
      <c r="G1274" s="25">
        <v>45742</v>
      </c>
      <c r="H1274" s="25">
        <v>46472</v>
      </c>
      <c r="I1274" s="24" t="s">
        <v>10</v>
      </c>
      <c r="J1274" s="24" t="s">
        <v>33</v>
      </c>
      <c r="K1274" s="24" t="str">
        <f>IF(certifications[[#This Row],[ISSUE DATE]]="", "", TEXT(certifications[[#This Row],[ISSUE DATE]], "MMM"))</f>
        <v>Mar</v>
      </c>
      <c r="L1274" s="35" t="str">
        <f>IF(certifications[[#This Row],[ISSUE DATE]]="", "", TEXT(certifications[[#This Row],[ISSUE DATE]], "YYYY"))</f>
        <v>2025</v>
      </c>
    </row>
    <row r="1275" spans="1:12" s="29" customFormat="1" ht="23.95" customHeight="1" x14ac:dyDescent="0.3">
      <c r="A1275" s="31"/>
      <c r="B1275" s="24">
        <v>1262</v>
      </c>
      <c r="C1275" s="24" t="s">
        <v>1347</v>
      </c>
      <c r="D1275" s="24" t="s">
        <v>210</v>
      </c>
      <c r="E1275" s="24" t="s">
        <v>9</v>
      </c>
      <c r="F1275" s="24">
        <v>17030</v>
      </c>
      <c r="G1275" s="25">
        <v>44541</v>
      </c>
      <c r="H1275" s="25">
        <v>45271</v>
      </c>
      <c r="I1275" s="24" t="s">
        <v>16</v>
      </c>
      <c r="J1275" s="24" t="s">
        <v>19</v>
      </c>
      <c r="K1275" s="24" t="str">
        <f>IF(certifications[[#This Row],[ISSUE DATE]]="", "", TEXT(certifications[[#This Row],[ISSUE DATE]], "MMM"))</f>
        <v>Dec</v>
      </c>
      <c r="L1275" s="35" t="str">
        <f>IF(certifications[[#This Row],[ISSUE DATE]]="", "", TEXT(certifications[[#This Row],[ISSUE DATE]], "YYYY"))</f>
        <v>2021</v>
      </c>
    </row>
    <row r="1276" spans="1:12" s="29" customFormat="1" ht="23.95" customHeight="1" x14ac:dyDescent="0.3">
      <c r="A1276" s="31"/>
      <c r="B1276" s="24">
        <v>1263</v>
      </c>
      <c r="C1276" s="24" t="s">
        <v>1348</v>
      </c>
      <c r="D1276" s="24" t="s">
        <v>13</v>
      </c>
      <c r="E1276" s="24" t="s">
        <v>9</v>
      </c>
      <c r="F1276" s="24">
        <v>9053</v>
      </c>
      <c r="G1276" s="25">
        <v>41936</v>
      </c>
      <c r="H1276" s="25">
        <v>43397</v>
      </c>
      <c r="I1276" s="24" t="s">
        <v>16</v>
      </c>
      <c r="J1276" s="24" t="s">
        <v>14</v>
      </c>
      <c r="K1276" s="24" t="str">
        <f>IF(certifications[[#This Row],[ISSUE DATE]]="", "", TEXT(certifications[[#This Row],[ISSUE DATE]], "MMM"))</f>
        <v>Oct</v>
      </c>
      <c r="L1276" s="35" t="str">
        <f>IF(certifications[[#This Row],[ISSUE DATE]]="", "", TEXT(certifications[[#This Row],[ISSUE DATE]], "YYYY"))</f>
        <v>2014</v>
      </c>
    </row>
    <row r="1277" spans="1:12" s="29" customFormat="1" ht="23.95" customHeight="1" x14ac:dyDescent="0.3">
      <c r="A1277" s="31"/>
      <c r="B1277" s="24">
        <v>1264</v>
      </c>
      <c r="C1277" s="24" t="s">
        <v>1349</v>
      </c>
      <c r="D1277" s="24" t="s">
        <v>32</v>
      </c>
      <c r="E1277" s="24" t="s">
        <v>9</v>
      </c>
      <c r="F1277" s="24">
        <v>18768</v>
      </c>
      <c r="G1277" s="25">
        <v>45098</v>
      </c>
      <c r="H1277" s="25">
        <v>45829</v>
      </c>
      <c r="I1277" s="24" t="s">
        <v>10</v>
      </c>
      <c r="J1277" s="24" t="s">
        <v>33</v>
      </c>
      <c r="K1277" s="24" t="str">
        <f>IF(certifications[[#This Row],[ISSUE DATE]]="", "", TEXT(certifications[[#This Row],[ISSUE DATE]], "MMM"))</f>
        <v>Jun</v>
      </c>
      <c r="L1277" s="35" t="str">
        <f>IF(certifications[[#This Row],[ISSUE DATE]]="", "", TEXT(certifications[[#This Row],[ISSUE DATE]], "YYYY"))</f>
        <v>2023</v>
      </c>
    </row>
    <row r="1278" spans="1:12" s="29" customFormat="1" ht="23.95" customHeight="1" x14ac:dyDescent="0.3">
      <c r="A1278" s="31"/>
      <c r="B1278" s="24">
        <v>1265</v>
      </c>
      <c r="C1278" s="24" t="s">
        <v>1350</v>
      </c>
      <c r="D1278" s="24" t="s">
        <v>131</v>
      </c>
      <c r="E1278" s="24" t="s">
        <v>9</v>
      </c>
      <c r="F1278" s="24">
        <v>8477</v>
      </c>
      <c r="G1278" s="25">
        <v>41426</v>
      </c>
      <c r="H1278" s="25">
        <v>42156</v>
      </c>
      <c r="I1278" s="24" t="s">
        <v>16</v>
      </c>
      <c r="J1278" s="24" t="s">
        <v>38</v>
      </c>
      <c r="K1278" s="24" t="str">
        <f>IF(certifications[[#This Row],[ISSUE DATE]]="", "", TEXT(certifications[[#This Row],[ISSUE DATE]], "MMM"))</f>
        <v>Jun</v>
      </c>
      <c r="L1278" s="35" t="str">
        <f>IF(certifications[[#This Row],[ISSUE DATE]]="", "", TEXT(certifications[[#This Row],[ISSUE DATE]], "YYYY"))</f>
        <v>2013</v>
      </c>
    </row>
    <row r="1279" spans="1:12" s="29" customFormat="1" ht="23.95" customHeight="1" x14ac:dyDescent="0.3">
      <c r="A1279" s="31"/>
      <c r="B1279" s="24">
        <v>1266</v>
      </c>
      <c r="C1279" s="24" t="s">
        <v>1351</v>
      </c>
      <c r="D1279" s="24" t="s">
        <v>55</v>
      </c>
      <c r="E1279" s="24" t="s">
        <v>26</v>
      </c>
      <c r="F1279" s="24">
        <v>15811</v>
      </c>
      <c r="G1279" s="25">
        <v>44201</v>
      </c>
      <c r="H1279" s="25">
        <v>44931</v>
      </c>
      <c r="I1279" s="24" t="s">
        <v>16</v>
      </c>
      <c r="J1279" s="24" t="s">
        <v>11</v>
      </c>
      <c r="K1279" s="24" t="str">
        <f>IF(certifications[[#This Row],[ISSUE DATE]]="", "", TEXT(certifications[[#This Row],[ISSUE DATE]], "MMM"))</f>
        <v>Jan</v>
      </c>
      <c r="L1279" s="35" t="str">
        <f>IF(certifications[[#This Row],[ISSUE DATE]]="", "", TEXT(certifications[[#This Row],[ISSUE DATE]], "YYYY"))</f>
        <v>2021</v>
      </c>
    </row>
    <row r="1280" spans="1:12" s="29" customFormat="1" ht="23.95" customHeight="1" x14ac:dyDescent="0.3">
      <c r="A1280" s="31"/>
      <c r="B1280" s="24">
        <v>1267</v>
      </c>
      <c r="C1280" s="24" t="s">
        <v>1352</v>
      </c>
      <c r="D1280" s="24" t="s">
        <v>32</v>
      </c>
      <c r="E1280" s="24" t="s">
        <v>26</v>
      </c>
      <c r="F1280" s="24">
        <v>21360</v>
      </c>
      <c r="G1280" s="25">
        <v>45668</v>
      </c>
      <c r="H1280" s="25">
        <v>46398</v>
      </c>
      <c r="I1280" s="24" t="s">
        <v>10</v>
      </c>
      <c r="J1280" s="24" t="s">
        <v>33</v>
      </c>
      <c r="K1280" s="24" t="str">
        <f>IF(certifications[[#This Row],[ISSUE DATE]]="", "", TEXT(certifications[[#This Row],[ISSUE DATE]], "MMM"))</f>
        <v>Jan</v>
      </c>
      <c r="L1280" s="35" t="str">
        <f>IF(certifications[[#This Row],[ISSUE DATE]]="", "", TEXT(certifications[[#This Row],[ISSUE DATE]], "YYYY"))</f>
        <v>2025</v>
      </c>
    </row>
    <row r="1281" spans="1:12" s="29" customFormat="1" ht="23.95" customHeight="1" x14ac:dyDescent="0.3">
      <c r="A1281" s="31"/>
      <c r="B1281" s="24">
        <v>1268</v>
      </c>
      <c r="C1281" s="3" t="s">
        <v>1352</v>
      </c>
      <c r="D1281" s="3" t="s">
        <v>32</v>
      </c>
      <c r="E1281" s="3" t="s">
        <v>27</v>
      </c>
      <c r="F1281" s="3">
        <v>21360</v>
      </c>
      <c r="G1281" s="4">
        <v>45669</v>
      </c>
      <c r="H1281" s="4">
        <v>46399</v>
      </c>
      <c r="I1281" s="3" t="s">
        <v>10</v>
      </c>
      <c r="J1281" s="3" t="s">
        <v>33</v>
      </c>
      <c r="K1281" s="3" t="str">
        <f>IF(certifications[[#This Row],[ISSUE DATE]]="", "", TEXT(certifications[[#This Row],[ISSUE DATE]], "MMM"))</f>
        <v>Jan</v>
      </c>
      <c r="L1281" s="36" t="str">
        <f>IF(certifications[[#This Row],[ISSUE DATE]]="", "", TEXT(certifications[[#This Row],[ISSUE DATE]], "YYYY"))</f>
        <v>2025</v>
      </c>
    </row>
    <row r="1282" spans="1:12" s="29" customFormat="1" ht="23.95" customHeight="1" x14ac:dyDescent="0.3">
      <c r="A1282" s="31"/>
      <c r="B1282" s="24">
        <v>1269</v>
      </c>
      <c r="C1282" s="24" t="s">
        <v>1353</v>
      </c>
      <c r="D1282" s="24" t="s">
        <v>29</v>
      </c>
      <c r="E1282" s="24" t="s">
        <v>9</v>
      </c>
      <c r="F1282" s="24">
        <v>18489</v>
      </c>
      <c r="G1282" s="25">
        <v>45022</v>
      </c>
      <c r="H1282" s="25">
        <v>46483</v>
      </c>
      <c r="I1282" s="24" t="s">
        <v>10</v>
      </c>
      <c r="J1282" s="24" t="s">
        <v>30</v>
      </c>
      <c r="K1282" s="24" t="str">
        <f>IF(certifications[[#This Row],[ISSUE DATE]]="", "", TEXT(certifications[[#This Row],[ISSUE DATE]], "MMM"))</f>
        <v>Apr</v>
      </c>
      <c r="L1282" s="35" t="str">
        <f>IF(certifications[[#This Row],[ISSUE DATE]]="", "", TEXT(certifications[[#This Row],[ISSUE DATE]], "YYYY"))</f>
        <v>2023</v>
      </c>
    </row>
    <row r="1283" spans="1:12" s="29" customFormat="1" ht="23.95" customHeight="1" x14ac:dyDescent="0.3">
      <c r="A1283" s="31"/>
      <c r="B1283" s="24">
        <v>1270</v>
      </c>
      <c r="C1283" s="24" t="s">
        <v>1354</v>
      </c>
      <c r="D1283" s="24" t="s">
        <v>131</v>
      </c>
      <c r="E1283" s="24" t="s">
        <v>9</v>
      </c>
      <c r="F1283" s="24">
        <v>8559</v>
      </c>
      <c r="G1283" s="25">
        <v>41485</v>
      </c>
      <c r="H1283" s="25">
        <v>42215</v>
      </c>
      <c r="I1283" s="24" t="s">
        <v>16</v>
      </c>
      <c r="J1283" s="24" t="s">
        <v>38</v>
      </c>
      <c r="K1283" s="24" t="str">
        <f>IF(certifications[[#This Row],[ISSUE DATE]]="", "", TEXT(certifications[[#This Row],[ISSUE DATE]], "MMM"))</f>
        <v>Jul</v>
      </c>
      <c r="L1283" s="35" t="str">
        <f>IF(certifications[[#This Row],[ISSUE DATE]]="", "", TEXT(certifications[[#This Row],[ISSUE DATE]], "YYYY"))</f>
        <v>2013</v>
      </c>
    </row>
    <row r="1284" spans="1:12" s="29" customFormat="1" ht="23.95" customHeight="1" x14ac:dyDescent="0.3">
      <c r="A1284" s="31"/>
      <c r="B1284" s="24">
        <v>1271</v>
      </c>
      <c r="C1284" s="24" t="s">
        <v>1355</v>
      </c>
      <c r="D1284" s="24" t="s">
        <v>845</v>
      </c>
      <c r="E1284" s="24" t="s">
        <v>9</v>
      </c>
      <c r="F1284" s="24">
        <v>21973</v>
      </c>
      <c r="G1284" s="25">
        <v>45792</v>
      </c>
      <c r="H1284" s="25">
        <v>46522</v>
      </c>
      <c r="I1284" s="24" t="s">
        <v>10</v>
      </c>
      <c r="J1284" s="24" t="s">
        <v>30</v>
      </c>
      <c r="K1284" s="24" t="str">
        <f>IF(certifications[[#This Row],[ISSUE DATE]]="", "", TEXT(certifications[[#This Row],[ISSUE DATE]], "MMM"))</f>
        <v>May</v>
      </c>
      <c r="L1284" s="35" t="str">
        <f>IF(certifications[[#This Row],[ISSUE DATE]]="", "", TEXT(certifications[[#This Row],[ISSUE DATE]], "YYYY"))</f>
        <v>2025</v>
      </c>
    </row>
    <row r="1285" spans="1:12" s="29" customFormat="1" ht="23.95" customHeight="1" x14ac:dyDescent="0.3">
      <c r="A1285" s="31"/>
      <c r="B1285" s="24">
        <v>1272</v>
      </c>
      <c r="C1285" s="24" t="s">
        <v>1356</v>
      </c>
      <c r="D1285" s="24" t="s">
        <v>32</v>
      </c>
      <c r="E1285" s="24" t="s">
        <v>9</v>
      </c>
      <c r="F1285" s="24">
        <v>7346</v>
      </c>
      <c r="G1285" s="25">
        <v>40068</v>
      </c>
      <c r="H1285" s="25">
        <v>40798</v>
      </c>
      <c r="I1285" s="24" t="s">
        <v>16</v>
      </c>
      <c r="J1285" s="24" t="s">
        <v>33</v>
      </c>
      <c r="K1285" s="24" t="str">
        <f>IF(certifications[[#This Row],[ISSUE DATE]]="", "", TEXT(certifications[[#This Row],[ISSUE DATE]], "MMM"))</f>
        <v>Sep</v>
      </c>
      <c r="L1285" s="35" t="str">
        <f>IF(certifications[[#This Row],[ISSUE DATE]]="", "", TEXT(certifications[[#This Row],[ISSUE DATE]], "YYYY"))</f>
        <v>2009</v>
      </c>
    </row>
    <row r="1286" spans="1:12" s="29" customFormat="1" ht="23.95" customHeight="1" x14ac:dyDescent="0.3">
      <c r="A1286" s="31"/>
      <c r="B1286" s="24">
        <v>1273</v>
      </c>
      <c r="C1286" s="24" t="s">
        <v>1357</v>
      </c>
      <c r="D1286" s="24" t="s">
        <v>665</v>
      </c>
      <c r="E1286" s="24" t="s">
        <v>9</v>
      </c>
      <c r="F1286" s="24">
        <v>9780</v>
      </c>
      <c r="G1286" s="25">
        <v>42622</v>
      </c>
      <c r="H1286" s="25">
        <v>46274</v>
      </c>
      <c r="I1286" s="24" t="s">
        <v>10</v>
      </c>
      <c r="J1286" s="24" t="s">
        <v>30</v>
      </c>
      <c r="K1286" s="24" t="str">
        <f>IF(certifications[[#This Row],[ISSUE DATE]]="", "", TEXT(certifications[[#This Row],[ISSUE DATE]], "MMM"))</f>
        <v>Sep</v>
      </c>
      <c r="L1286" s="35" t="str">
        <f>IF(certifications[[#This Row],[ISSUE DATE]]="", "", TEXT(certifications[[#This Row],[ISSUE DATE]], "YYYY"))</f>
        <v>2016</v>
      </c>
    </row>
    <row r="1287" spans="1:12" s="29" customFormat="1" ht="23.95" customHeight="1" x14ac:dyDescent="0.3">
      <c r="A1287" s="31"/>
      <c r="B1287" s="24">
        <v>1274</v>
      </c>
      <c r="C1287" s="24" t="s">
        <v>1358</v>
      </c>
      <c r="D1287" s="24" t="s">
        <v>309</v>
      </c>
      <c r="E1287" s="24" t="s">
        <v>9</v>
      </c>
      <c r="F1287" s="24">
        <v>9193</v>
      </c>
      <c r="G1287" s="25">
        <v>42144</v>
      </c>
      <c r="H1287" s="25">
        <v>42875</v>
      </c>
      <c r="I1287" s="24" t="s">
        <v>16</v>
      </c>
      <c r="J1287" s="24" t="s">
        <v>11</v>
      </c>
      <c r="K1287" s="24" t="str">
        <f>IF(certifications[[#This Row],[ISSUE DATE]]="", "", TEXT(certifications[[#This Row],[ISSUE DATE]], "MMM"))</f>
        <v>May</v>
      </c>
      <c r="L1287" s="35" t="str">
        <f>IF(certifications[[#This Row],[ISSUE DATE]]="", "", TEXT(certifications[[#This Row],[ISSUE DATE]], "YYYY"))</f>
        <v>2015</v>
      </c>
    </row>
    <row r="1288" spans="1:12" s="29" customFormat="1" ht="23.95" customHeight="1" x14ac:dyDescent="0.3">
      <c r="A1288" s="31"/>
      <c r="B1288" s="24">
        <v>1275</v>
      </c>
      <c r="C1288" s="24" t="s">
        <v>1359</v>
      </c>
      <c r="D1288" s="24" t="s">
        <v>426</v>
      </c>
      <c r="E1288" s="24" t="s">
        <v>9</v>
      </c>
      <c r="F1288" s="24">
        <v>14940</v>
      </c>
      <c r="G1288" s="25">
        <v>43818</v>
      </c>
      <c r="H1288" s="25">
        <v>44549</v>
      </c>
      <c r="I1288" s="24" t="s">
        <v>16</v>
      </c>
      <c r="J1288" s="24" t="s">
        <v>22</v>
      </c>
      <c r="K1288" s="24" t="str">
        <f>IF(certifications[[#This Row],[ISSUE DATE]]="", "", TEXT(certifications[[#This Row],[ISSUE DATE]], "MMM"))</f>
        <v>Dec</v>
      </c>
      <c r="L1288" s="35" t="str">
        <f>IF(certifications[[#This Row],[ISSUE DATE]]="", "", TEXT(certifications[[#This Row],[ISSUE DATE]], "YYYY"))</f>
        <v>2019</v>
      </c>
    </row>
    <row r="1289" spans="1:12" s="29" customFormat="1" ht="23.95" customHeight="1" x14ac:dyDescent="0.3">
      <c r="A1289" s="31"/>
      <c r="B1289" s="24">
        <v>1276</v>
      </c>
      <c r="C1289" s="24" t="s">
        <v>1360</v>
      </c>
      <c r="D1289" s="24" t="s">
        <v>32</v>
      </c>
      <c r="E1289" s="24" t="s">
        <v>9</v>
      </c>
      <c r="F1289" s="24">
        <v>12430</v>
      </c>
      <c r="G1289" s="25">
        <v>43396</v>
      </c>
      <c r="H1289" s="25">
        <v>46318</v>
      </c>
      <c r="I1289" s="24" t="s">
        <v>10</v>
      </c>
      <c r="J1289" s="24" t="s">
        <v>33</v>
      </c>
      <c r="K1289" s="24" t="str">
        <f>IF(certifications[[#This Row],[ISSUE DATE]]="", "", TEXT(certifications[[#This Row],[ISSUE DATE]], "MMM"))</f>
        <v>Oct</v>
      </c>
      <c r="L1289" s="35" t="str">
        <f>IF(certifications[[#This Row],[ISSUE DATE]]="", "", TEXT(certifications[[#This Row],[ISSUE DATE]], "YYYY"))</f>
        <v>2018</v>
      </c>
    </row>
    <row r="1290" spans="1:12" s="29" customFormat="1" ht="23.95" customHeight="1" x14ac:dyDescent="0.3">
      <c r="A1290" s="31"/>
      <c r="B1290" s="24">
        <v>1277</v>
      </c>
      <c r="C1290" s="24" t="s">
        <v>1361</v>
      </c>
      <c r="D1290" s="24" t="s">
        <v>305</v>
      </c>
      <c r="E1290" s="24" t="s">
        <v>9</v>
      </c>
      <c r="F1290" s="24">
        <v>21161</v>
      </c>
      <c r="G1290" s="25">
        <v>45615</v>
      </c>
      <c r="H1290" s="25">
        <v>46345</v>
      </c>
      <c r="I1290" s="24" t="s">
        <v>10</v>
      </c>
      <c r="J1290" s="24" t="s">
        <v>22</v>
      </c>
      <c r="K1290" s="24" t="str">
        <f>IF(certifications[[#This Row],[ISSUE DATE]]="", "", TEXT(certifications[[#This Row],[ISSUE DATE]], "MMM"))</f>
        <v>Nov</v>
      </c>
      <c r="L1290" s="35" t="str">
        <f>IF(certifications[[#This Row],[ISSUE DATE]]="", "", TEXT(certifications[[#This Row],[ISSUE DATE]], "YYYY"))</f>
        <v>2024</v>
      </c>
    </row>
    <row r="1291" spans="1:12" s="29" customFormat="1" ht="23.95" customHeight="1" x14ac:dyDescent="0.3">
      <c r="A1291" s="31"/>
      <c r="B1291" s="24">
        <v>1278</v>
      </c>
      <c r="C1291" s="24" t="s">
        <v>1362</v>
      </c>
      <c r="D1291" s="24" t="s">
        <v>515</v>
      </c>
      <c r="E1291" s="24" t="s">
        <v>9</v>
      </c>
      <c r="F1291" s="24">
        <v>21569</v>
      </c>
      <c r="G1291" s="25">
        <v>45707</v>
      </c>
      <c r="H1291" s="25">
        <v>46437</v>
      </c>
      <c r="I1291" s="24" t="s">
        <v>10</v>
      </c>
      <c r="J1291" s="24" t="s">
        <v>14</v>
      </c>
      <c r="K1291" s="24" t="str">
        <f>IF(certifications[[#This Row],[ISSUE DATE]]="", "", TEXT(certifications[[#This Row],[ISSUE DATE]], "MMM"))</f>
        <v>Feb</v>
      </c>
      <c r="L1291" s="35" t="str">
        <f>IF(certifications[[#This Row],[ISSUE DATE]]="", "", TEXT(certifications[[#This Row],[ISSUE DATE]], "YYYY"))</f>
        <v>2025</v>
      </c>
    </row>
    <row r="1292" spans="1:12" s="29" customFormat="1" ht="23.95" customHeight="1" x14ac:dyDescent="0.3">
      <c r="A1292" s="31"/>
      <c r="B1292" s="24">
        <v>1279</v>
      </c>
      <c r="C1292" s="24" t="s">
        <v>1363</v>
      </c>
      <c r="D1292" s="24" t="s">
        <v>18</v>
      </c>
      <c r="E1292" s="24" t="s">
        <v>9</v>
      </c>
      <c r="F1292" s="24">
        <v>12714</v>
      </c>
      <c r="G1292" s="25">
        <v>43479</v>
      </c>
      <c r="H1292" s="25">
        <v>46401</v>
      </c>
      <c r="I1292" s="24" t="s">
        <v>10</v>
      </c>
      <c r="J1292" s="24" t="s">
        <v>19</v>
      </c>
      <c r="K1292" s="24" t="str">
        <f>IF(certifications[[#This Row],[ISSUE DATE]]="", "", TEXT(certifications[[#This Row],[ISSUE DATE]], "MMM"))</f>
        <v>Jan</v>
      </c>
      <c r="L1292" s="35" t="str">
        <f>IF(certifications[[#This Row],[ISSUE DATE]]="", "", TEXT(certifications[[#This Row],[ISSUE DATE]], "YYYY"))</f>
        <v>2019</v>
      </c>
    </row>
    <row r="1293" spans="1:12" s="29" customFormat="1" ht="23.95" customHeight="1" x14ac:dyDescent="0.3">
      <c r="A1293" s="31"/>
      <c r="B1293" s="24">
        <v>1280</v>
      </c>
      <c r="C1293" s="24" t="s">
        <v>1364</v>
      </c>
      <c r="D1293" s="24" t="s">
        <v>32</v>
      </c>
      <c r="E1293" s="24" t="s">
        <v>9</v>
      </c>
      <c r="F1293" s="24">
        <v>8635</v>
      </c>
      <c r="G1293" s="25">
        <v>41530</v>
      </c>
      <c r="H1293" s="25">
        <v>43721</v>
      </c>
      <c r="I1293" s="24" t="s">
        <v>16</v>
      </c>
      <c r="J1293" s="24" t="s">
        <v>33</v>
      </c>
      <c r="K1293" s="24" t="str">
        <f>IF(certifications[[#This Row],[ISSUE DATE]]="", "", TEXT(certifications[[#This Row],[ISSUE DATE]], "MMM"))</f>
        <v>Sep</v>
      </c>
      <c r="L1293" s="35" t="str">
        <f>IF(certifications[[#This Row],[ISSUE DATE]]="", "", TEXT(certifications[[#This Row],[ISSUE DATE]], "YYYY"))</f>
        <v>2013</v>
      </c>
    </row>
    <row r="1294" spans="1:12" s="29" customFormat="1" ht="23.95" customHeight="1" x14ac:dyDescent="0.3">
      <c r="A1294" s="31"/>
      <c r="B1294" s="24">
        <v>1281</v>
      </c>
      <c r="C1294" s="24" t="s">
        <v>1365</v>
      </c>
      <c r="D1294" s="24" t="s">
        <v>347</v>
      </c>
      <c r="E1294" s="24" t="s">
        <v>9</v>
      </c>
      <c r="F1294" s="24">
        <v>9602</v>
      </c>
      <c r="G1294" s="25">
        <v>42513</v>
      </c>
      <c r="H1294" s="25">
        <v>46165</v>
      </c>
      <c r="I1294" s="24" t="s">
        <v>10</v>
      </c>
      <c r="J1294" s="24" t="s">
        <v>25</v>
      </c>
      <c r="K1294" s="24" t="str">
        <f>IF(certifications[[#This Row],[ISSUE DATE]]="", "", TEXT(certifications[[#This Row],[ISSUE DATE]], "MMM"))</f>
        <v>May</v>
      </c>
      <c r="L1294" s="35" t="str">
        <f>IF(certifications[[#This Row],[ISSUE DATE]]="", "", TEXT(certifications[[#This Row],[ISSUE DATE]], "YYYY"))</f>
        <v>2016</v>
      </c>
    </row>
    <row r="1295" spans="1:12" s="29" customFormat="1" ht="23.95" customHeight="1" x14ac:dyDescent="0.3">
      <c r="A1295" s="31"/>
      <c r="B1295" s="24">
        <v>1282</v>
      </c>
      <c r="C1295" s="24" t="s">
        <v>1365</v>
      </c>
      <c r="D1295" s="24" t="s">
        <v>347</v>
      </c>
      <c r="E1295" s="24" t="s">
        <v>26</v>
      </c>
      <c r="F1295" s="24">
        <v>9602</v>
      </c>
      <c r="G1295" s="25">
        <v>43218</v>
      </c>
      <c r="H1295" s="25">
        <v>46165</v>
      </c>
      <c r="I1295" s="24" t="s">
        <v>10</v>
      </c>
      <c r="J1295" s="24" t="s">
        <v>25</v>
      </c>
      <c r="K1295" s="24" t="str">
        <f>IF(certifications[[#This Row],[ISSUE DATE]]="", "", TEXT(certifications[[#This Row],[ISSUE DATE]], "MMM"))</f>
        <v>Apr</v>
      </c>
      <c r="L1295" s="35" t="str">
        <f>IF(certifications[[#This Row],[ISSUE DATE]]="", "", TEXT(certifications[[#This Row],[ISSUE DATE]], "YYYY"))</f>
        <v>2018</v>
      </c>
    </row>
    <row r="1296" spans="1:12" s="29" customFormat="1" ht="23.95" customHeight="1" x14ac:dyDescent="0.3">
      <c r="A1296" s="31"/>
      <c r="B1296" s="24">
        <v>1283</v>
      </c>
      <c r="C1296" s="24" t="s">
        <v>1366</v>
      </c>
      <c r="D1296" s="24" t="s">
        <v>131</v>
      </c>
      <c r="E1296" s="24" t="s">
        <v>9</v>
      </c>
      <c r="F1296" s="24">
        <v>8707</v>
      </c>
      <c r="G1296" s="25">
        <v>41620</v>
      </c>
      <c r="H1296" s="25">
        <v>42350</v>
      </c>
      <c r="I1296" s="24" t="s">
        <v>16</v>
      </c>
      <c r="J1296" s="24" t="s">
        <v>38</v>
      </c>
      <c r="K1296" s="24" t="str">
        <f>IF(certifications[[#This Row],[ISSUE DATE]]="", "", TEXT(certifications[[#This Row],[ISSUE DATE]], "MMM"))</f>
        <v>Dec</v>
      </c>
      <c r="L1296" s="35" t="str">
        <f>IF(certifications[[#This Row],[ISSUE DATE]]="", "", TEXT(certifications[[#This Row],[ISSUE DATE]], "YYYY"))</f>
        <v>2013</v>
      </c>
    </row>
    <row r="1297" spans="1:12" s="29" customFormat="1" ht="23.95" customHeight="1" x14ac:dyDescent="0.3">
      <c r="A1297" s="31"/>
      <c r="B1297" s="24">
        <v>1284</v>
      </c>
      <c r="C1297" s="24" t="s">
        <v>1367</v>
      </c>
      <c r="D1297" s="24" t="s">
        <v>515</v>
      </c>
      <c r="E1297" s="24" t="s">
        <v>9</v>
      </c>
      <c r="F1297" s="24">
        <v>1719</v>
      </c>
      <c r="G1297" s="25">
        <v>43840</v>
      </c>
      <c r="H1297" s="25">
        <v>46032</v>
      </c>
      <c r="I1297" s="24" t="s">
        <v>10</v>
      </c>
      <c r="J1297" s="24" t="s">
        <v>14</v>
      </c>
      <c r="K1297" s="24" t="str">
        <f>IF(certifications[[#This Row],[ISSUE DATE]]="", "", TEXT(certifications[[#This Row],[ISSUE DATE]], "MMM"))</f>
        <v>Jan</v>
      </c>
      <c r="L1297" s="35" t="str">
        <f>IF(certifications[[#This Row],[ISSUE DATE]]="", "", TEXT(certifications[[#This Row],[ISSUE DATE]], "YYYY"))</f>
        <v>2020</v>
      </c>
    </row>
    <row r="1298" spans="1:12" s="29" customFormat="1" ht="23.95" customHeight="1" x14ac:dyDescent="0.3">
      <c r="A1298" s="31"/>
      <c r="B1298" s="24">
        <v>1285</v>
      </c>
      <c r="C1298" s="24" t="s">
        <v>1368</v>
      </c>
      <c r="D1298" s="24" t="s">
        <v>377</v>
      </c>
      <c r="E1298" s="24" t="s">
        <v>9</v>
      </c>
      <c r="F1298" s="24">
        <v>20191</v>
      </c>
      <c r="G1298" s="25">
        <v>45412</v>
      </c>
      <c r="H1298" s="25">
        <v>46142</v>
      </c>
      <c r="I1298" s="24" t="s">
        <v>10</v>
      </c>
      <c r="J1298" s="24" t="s">
        <v>14</v>
      </c>
      <c r="K1298" s="24" t="str">
        <f>IF(certifications[[#This Row],[ISSUE DATE]]="", "", TEXT(certifications[[#This Row],[ISSUE DATE]], "MMM"))</f>
        <v>Apr</v>
      </c>
      <c r="L1298" s="35" t="str">
        <f>IF(certifications[[#This Row],[ISSUE DATE]]="", "", TEXT(certifications[[#This Row],[ISSUE DATE]], "YYYY"))</f>
        <v>2024</v>
      </c>
    </row>
    <row r="1299" spans="1:12" s="29" customFormat="1" ht="23.95" customHeight="1" x14ac:dyDescent="0.3">
      <c r="A1299" s="31"/>
      <c r="B1299" s="24">
        <v>1286</v>
      </c>
      <c r="C1299" s="24" t="s">
        <v>1369</v>
      </c>
      <c r="D1299" s="24" t="s">
        <v>73</v>
      </c>
      <c r="E1299" s="24" t="s">
        <v>26</v>
      </c>
      <c r="F1299" s="24">
        <v>19426</v>
      </c>
      <c r="G1299" s="25">
        <v>45250</v>
      </c>
      <c r="H1299" s="25">
        <v>45981</v>
      </c>
      <c r="I1299" s="24" t="s">
        <v>10</v>
      </c>
      <c r="J1299" s="24" t="s">
        <v>30</v>
      </c>
      <c r="K1299" s="24" t="str">
        <f>IF(certifications[[#This Row],[ISSUE DATE]]="", "", TEXT(certifications[[#This Row],[ISSUE DATE]], "MMM"))</f>
        <v>Nov</v>
      </c>
      <c r="L1299" s="35" t="str">
        <f>IF(certifications[[#This Row],[ISSUE DATE]]="", "", TEXT(certifications[[#This Row],[ISSUE DATE]], "YYYY"))</f>
        <v>2023</v>
      </c>
    </row>
    <row r="1300" spans="1:12" s="29" customFormat="1" ht="23.95" customHeight="1" x14ac:dyDescent="0.3">
      <c r="A1300" s="31"/>
      <c r="B1300" s="24">
        <v>1287</v>
      </c>
      <c r="C1300" s="24" t="s">
        <v>1370</v>
      </c>
      <c r="D1300" s="24" t="s">
        <v>164</v>
      </c>
      <c r="E1300" s="24" t="s">
        <v>9</v>
      </c>
      <c r="F1300" s="24">
        <v>15293</v>
      </c>
      <c r="G1300" s="25">
        <v>44012</v>
      </c>
      <c r="H1300" s="25">
        <v>45473</v>
      </c>
      <c r="I1300" s="24" t="s">
        <v>1371</v>
      </c>
      <c r="J1300" s="24" t="s">
        <v>22</v>
      </c>
      <c r="K1300" s="24" t="str">
        <f>IF(certifications[[#This Row],[ISSUE DATE]]="", "", TEXT(certifications[[#This Row],[ISSUE DATE]], "MMM"))</f>
        <v>Jun</v>
      </c>
      <c r="L1300" s="35" t="str">
        <f>IF(certifications[[#This Row],[ISSUE DATE]]="", "", TEXT(certifications[[#This Row],[ISSUE DATE]], "YYYY"))</f>
        <v>2020</v>
      </c>
    </row>
    <row r="1301" spans="1:12" s="29" customFormat="1" ht="23.95" customHeight="1" x14ac:dyDescent="0.3">
      <c r="A1301" s="31"/>
      <c r="B1301" s="24">
        <v>1288</v>
      </c>
      <c r="C1301" s="24" t="s">
        <v>1372</v>
      </c>
      <c r="D1301" s="24" t="s">
        <v>141</v>
      </c>
      <c r="E1301" s="24" t="s">
        <v>9</v>
      </c>
      <c r="F1301" s="24">
        <v>9347</v>
      </c>
      <c r="G1301" s="25">
        <v>42258</v>
      </c>
      <c r="H1301" s="25">
        <v>45911</v>
      </c>
      <c r="I1301" s="24" t="s">
        <v>10</v>
      </c>
      <c r="J1301" s="24" t="s">
        <v>38</v>
      </c>
      <c r="K1301" s="24" t="str">
        <f>IF(certifications[[#This Row],[ISSUE DATE]]="", "", TEXT(certifications[[#This Row],[ISSUE DATE]], "MMM"))</f>
        <v>Sep</v>
      </c>
      <c r="L1301" s="35" t="str">
        <f>IF(certifications[[#This Row],[ISSUE DATE]]="", "", TEXT(certifications[[#This Row],[ISSUE DATE]], "YYYY"))</f>
        <v>2015</v>
      </c>
    </row>
    <row r="1302" spans="1:12" s="29" customFormat="1" ht="23.95" customHeight="1" x14ac:dyDescent="0.3">
      <c r="A1302" s="31"/>
      <c r="B1302" s="24">
        <v>1289</v>
      </c>
      <c r="C1302" s="24" t="s">
        <v>1372</v>
      </c>
      <c r="D1302" s="24" t="s">
        <v>141</v>
      </c>
      <c r="E1302" s="24" t="s">
        <v>26</v>
      </c>
      <c r="F1302" s="24">
        <v>9347</v>
      </c>
      <c r="G1302" s="25">
        <v>43505</v>
      </c>
      <c r="H1302" s="25">
        <v>45911</v>
      </c>
      <c r="I1302" s="24" t="s">
        <v>10</v>
      </c>
      <c r="J1302" s="24" t="s">
        <v>38</v>
      </c>
      <c r="K1302" s="24" t="str">
        <f>IF(certifications[[#This Row],[ISSUE DATE]]="", "", TEXT(certifications[[#This Row],[ISSUE DATE]], "MMM"))</f>
        <v>Feb</v>
      </c>
      <c r="L1302" s="35" t="str">
        <f>IF(certifications[[#This Row],[ISSUE DATE]]="", "", TEXT(certifications[[#This Row],[ISSUE DATE]], "YYYY"))</f>
        <v>2019</v>
      </c>
    </row>
    <row r="1303" spans="1:12" s="29" customFormat="1" ht="23.95" customHeight="1" x14ac:dyDescent="0.3">
      <c r="A1303" s="31"/>
      <c r="B1303" s="24">
        <v>1290</v>
      </c>
      <c r="C1303" s="24" t="s">
        <v>1373</v>
      </c>
      <c r="D1303" s="24" t="s">
        <v>431</v>
      </c>
      <c r="E1303" s="24" t="s">
        <v>9</v>
      </c>
      <c r="F1303" s="24">
        <v>12001</v>
      </c>
      <c r="G1303" s="25">
        <v>43313</v>
      </c>
      <c r="H1303" s="25">
        <v>44044</v>
      </c>
      <c r="I1303" s="24" t="s">
        <v>16</v>
      </c>
      <c r="J1303" s="24" t="s">
        <v>22</v>
      </c>
      <c r="K1303" s="24" t="str">
        <f>IF(certifications[[#This Row],[ISSUE DATE]]="", "", TEXT(certifications[[#This Row],[ISSUE DATE]], "MMM"))</f>
        <v>Aug</v>
      </c>
      <c r="L1303" s="35" t="str">
        <f>IF(certifications[[#This Row],[ISSUE DATE]]="", "", TEXT(certifications[[#This Row],[ISSUE DATE]], "YYYY"))</f>
        <v>2018</v>
      </c>
    </row>
    <row r="1304" spans="1:12" s="29" customFormat="1" ht="23.95" customHeight="1" x14ac:dyDescent="0.3">
      <c r="A1304" s="31"/>
      <c r="B1304" s="24">
        <v>1291</v>
      </c>
      <c r="C1304" s="24" t="s">
        <v>1374</v>
      </c>
      <c r="D1304" s="24" t="s">
        <v>99</v>
      </c>
      <c r="E1304" s="24" t="s">
        <v>26</v>
      </c>
      <c r="F1304" s="24">
        <v>20068</v>
      </c>
      <c r="G1304" s="25">
        <v>45383</v>
      </c>
      <c r="H1304" s="25">
        <v>46113</v>
      </c>
      <c r="I1304" s="24" t="s">
        <v>10</v>
      </c>
      <c r="J1304" s="24" t="s">
        <v>30</v>
      </c>
      <c r="K1304" s="24" t="str">
        <f>IF(certifications[[#This Row],[ISSUE DATE]]="", "", TEXT(certifications[[#This Row],[ISSUE DATE]], "MMM"))</f>
        <v>Apr</v>
      </c>
      <c r="L1304" s="35" t="str">
        <f>IF(certifications[[#This Row],[ISSUE DATE]]="", "", TEXT(certifications[[#This Row],[ISSUE DATE]], "YYYY"))</f>
        <v>2024</v>
      </c>
    </row>
    <row r="1305" spans="1:12" s="29" customFormat="1" ht="23.95" customHeight="1" x14ac:dyDescent="0.3">
      <c r="A1305" s="31"/>
      <c r="B1305" s="24">
        <v>1292</v>
      </c>
      <c r="C1305" s="24" t="s">
        <v>1375</v>
      </c>
      <c r="D1305" s="24" t="s">
        <v>1376</v>
      </c>
      <c r="E1305" s="24" t="s">
        <v>9</v>
      </c>
      <c r="F1305" s="24">
        <v>9988</v>
      </c>
      <c r="G1305" s="25">
        <v>42746</v>
      </c>
      <c r="H1305" s="25">
        <v>44937</v>
      </c>
      <c r="I1305" s="24" t="s">
        <v>16</v>
      </c>
      <c r="J1305" s="24" t="s">
        <v>38</v>
      </c>
      <c r="K1305" s="24" t="str">
        <f>IF(certifications[[#This Row],[ISSUE DATE]]="", "", TEXT(certifications[[#This Row],[ISSUE DATE]], "MMM"))</f>
        <v>Jan</v>
      </c>
      <c r="L1305" s="35" t="str">
        <f>IF(certifications[[#This Row],[ISSUE DATE]]="", "", TEXT(certifications[[#This Row],[ISSUE DATE]], "YYYY"))</f>
        <v>2017</v>
      </c>
    </row>
    <row r="1306" spans="1:12" s="29" customFormat="1" ht="23.95" customHeight="1" x14ac:dyDescent="0.3">
      <c r="A1306" s="31"/>
      <c r="B1306" s="24">
        <v>1293</v>
      </c>
      <c r="C1306" s="24" t="s">
        <v>1377</v>
      </c>
      <c r="D1306" s="24" t="s">
        <v>32</v>
      </c>
      <c r="E1306" s="24" t="s">
        <v>9</v>
      </c>
      <c r="F1306" s="24">
        <v>21780</v>
      </c>
      <c r="G1306" s="25">
        <v>45743</v>
      </c>
      <c r="H1306" s="25">
        <v>46473</v>
      </c>
      <c r="I1306" s="24" t="s">
        <v>10</v>
      </c>
      <c r="J1306" s="24" t="s">
        <v>33</v>
      </c>
      <c r="K1306" s="24" t="str">
        <f>IF(certifications[[#This Row],[ISSUE DATE]]="", "", TEXT(certifications[[#This Row],[ISSUE DATE]], "MMM"))</f>
        <v>Mar</v>
      </c>
      <c r="L1306" s="35" t="str">
        <f>IF(certifications[[#This Row],[ISSUE DATE]]="", "", TEXT(certifications[[#This Row],[ISSUE DATE]], "YYYY"))</f>
        <v>2025</v>
      </c>
    </row>
    <row r="1307" spans="1:12" s="29" customFormat="1" ht="23.95" customHeight="1" x14ac:dyDescent="0.3">
      <c r="A1307" s="31"/>
      <c r="B1307" s="24">
        <v>1294</v>
      </c>
      <c r="C1307" s="24" t="s">
        <v>1378</v>
      </c>
      <c r="D1307" s="24" t="s">
        <v>59</v>
      </c>
      <c r="E1307" s="24" t="s">
        <v>9</v>
      </c>
      <c r="F1307" s="24">
        <v>9713</v>
      </c>
      <c r="G1307" s="25">
        <v>42571</v>
      </c>
      <c r="H1307" s="25">
        <v>43301</v>
      </c>
      <c r="I1307" s="24" t="s">
        <v>16</v>
      </c>
      <c r="J1307" s="24" t="s">
        <v>30</v>
      </c>
      <c r="K1307" s="24" t="str">
        <f>IF(certifications[[#This Row],[ISSUE DATE]]="", "", TEXT(certifications[[#This Row],[ISSUE DATE]], "MMM"))</f>
        <v>Jul</v>
      </c>
      <c r="L1307" s="35" t="str">
        <f>IF(certifications[[#This Row],[ISSUE DATE]]="", "", TEXT(certifications[[#This Row],[ISSUE DATE]], "YYYY"))</f>
        <v>2016</v>
      </c>
    </row>
    <row r="1308" spans="1:12" s="29" customFormat="1" ht="23.95" customHeight="1" x14ac:dyDescent="0.3">
      <c r="A1308" s="31"/>
      <c r="B1308" s="24">
        <v>1295</v>
      </c>
      <c r="C1308" s="24" t="s">
        <v>1379</v>
      </c>
      <c r="D1308" s="24" t="s">
        <v>708</v>
      </c>
      <c r="E1308" s="24" t="s">
        <v>9</v>
      </c>
      <c r="F1308" s="24">
        <v>8709</v>
      </c>
      <c r="G1308" s="25">
        <v>41620</v>
      </c>
      <c r="H1308" s="25">
        <v>42350</v>
      </c>
      <c r="I1308" s="24" t="s">
        <v>16</v>
      </c>
      <c r="J1308" s="24" t="s">
        <v>38</v>
      </c>
      <c r="K1308" s="24" t="str">
        <f>IF(certifications[[#This Row],[ISSUE DATE]]="", "", TEXT(certifications[[#This Row],[ISSUE DATE]], "MMM"))</f>
        <v>Dec</v>
      </c>
      <c r="L1308" s="35" t="str">
        <f>IF(certifications[[#This Row],[ISSUE DATE]]="", "", TEXT(certifications[[#This Row],[ISSUE DATE]], "YYYY"))</f>
        <v>2013</v>
      </c>
    </row>
    <row r="1309" spans="1:12" s="29" customFormat="1" ht="23.95" customHeight="1" x14ac:dyDescent="0.3">
      <c r="A1309" s="31"/>
      <c r="B1309" s="24">
        <v>1296</v>
      </c>
      <c r="C1309" s="24" t="s">
        <v>1380</v>
      </c>
      <c r="D1309" s="24" t="s">
        <v>375</v>
      </c>
      <c r="E1309" s="24" t="s">
        <v>9</v>
      </c>
      <c r="F1309" s="24">
        <v>13737</v>
      </c>
      <c r="G1309" s="25">
        <v>43641</v>
      </c>
      <c r="H1309" s="25">
        <v>45102</v>
      </c>
      <c r="I1309" s="24" t="s">
        <v>16</v>
      </c>
      <c r="J1309" s="24" t="s">
        <v>38</v>
      </c>
      <c r="K1309" s="24" t="str">
        <f>IF(certifications[[#This Row],[ISSUE DATE]]="", "", TEXT(certifications[[#This Row],[ISSUE DATE]], "MMM"))</f>
        <v>Jun</v>
      </c>
      <c r="L1309" s="35" t="str">
        <f>IF(certifications[[#This Row],[ISSUE DATE]]="", "", TEXT(certifications[[#This Row],[ISSUE DATE]], "YYYY"))</f>
        <v>2019</v>
      </c>
    </row>
    <row r="1310" spans="1:12" s="29" customFormat="1" ht="23.95" customHeight="1" x14ac:dyDescent="0.3">
      <c r="A1310" s="31"/>
      <c r="B1310" s="24">
        <v>1297</v>
      </c>
      <c r="C1310" s="24" t="s">
        <v>1381</v>
      </c>
      <c r="D1310" s="24" t="s">
        <v>32</v>
      </c>
      <c r="E1310" s="24" t="s">
        <v>9</v>
      </c>
      <c r="F1310" s="24">
        <v>18508</v>
      </c>
      <c r="G1310" s="25">
        <v>45029</v>
      </c>
      <c r="H1310" s="25">
        <v>45760</v>
      </c>
      <c r="I1310" s="24" t="s">
        <v>1371</v>
      </c>
      <c r="J1310" s="24" t="s">
        <v>33</v>
      </c>
      <c r="K1310" s="24" t="str">
        <f>IF(certifications[[#This Row],[ISSUE DATE]]="", "", TEXT(certifications[[#This Row],[ISSUE DATE]], "MMM"))</f>
        <v>Apr</v>
      </c>
      <c r="L1310" s="35" t="str">
        <f>IF(certifications[[#This Row],[ISSUE DATE]]="", "", TEXT(certifications[[#This Row],[ISSUE DATE]], "YYYY"))</f>
        <v>2023</v>
      </c>
    </row>
    <row r="1311" spans="1:12" s="29" customFormat="1" ht="23.95" customHeight="1" x14ac:dyDescent="0.3">
      <c r="A1311" s="31"/>
      <c r="B1311" s="24">
        <v>1298</v>
      </c>
      <c r="C1311" s="24" t="s">
        <v>1382</v>
      </c>
      <c r="D1311" s="24" t="s">
        <v>32</v>
      </c>
      <c r="E1311" s="24" t="s">
        <v>9</v>
      </c>
      <c r="F1311" s="24">
        <v>14006</v>
      </c>
      <c r="G1311" s="25">
        <v>43670</v>
      </c>
      <c r="H1311" s="25">
        <v>44401</v>
      </c>
      <c r="I1311" s="24" t="s">
        <v>16</v>
      </c>
      <c r="J1311" s="24" t="s">
        <v>33</v>
      </c>
      <c r="K1311" s="24" t="str">
        <f>IF(certifications[[#This Row],[ISSUE DATE]]="", "", TEXT(certifications[[#This Row],[ISSUE DATE]], "MMM"))</f>
        <v>Jul</v>
      </c>
      <c r="L1311" s="35" t="str">
        <f>IF(certifications[[#This Row],[ISSUE DATE]]="", "", TEXT(certifications[[#This Row],[ISSUE DATE]], "YYYY"))</f>
        <v>2019</v>
      </c>
    </row>
    <row r="1312" spans="1:12" s="29" customFormat="1" ht="23.95" customHeight="1" x14ac:dyDescent="0.3">
      <c r="A1312" s="31"/>
      <c r="B1312" s="24">
        <v>1299</v>
      </c>
      <c r="C1312" s="24" t="s">
        <v>1383</v>
      </c>
      <c r="D1312" s="24" t="s">
        <v>708</v>
      </c>
      <c r="E1312" s="24" t="s">
        <v>9</v>
      </c>
      <c r="F1312" s="24">
        <v>11991</v>
      </c>
      <c r="G1312" s="25">
        <v>45306</v>
      </c>
      <c r="H1312" s="25">
        <v>46037</v>
      </c>
      <c r="I1312" s="24" t="s">
        <v>10</v>
      </c>
      <c r="J1312" s="24" t="s">
        <v>38</v>
      </c>
      <c r="K1312" s="24" t="str">
        <f>IF(certifications[[#This Row],[ISSUE DATE]]="", "", TEXT(certifications[[#This Row],[ISSUE DATE]], "MMM"))</f>
        <v>Jan</v>
      </c>
      <c r="L1312" s="35" t="str">
        <f>IF(certifications[[#This Row],[ISSUE DATE]]="", "", TEXT(certifications[[#This Row],[ISSUE DATE]], "YYYY"))</f>
        <v>2024</v>
      </c>
    </row>
    <row r="1313" spans="1:12" s="29" customFormat="1" ht="23.95" customHeight="1" x14ac:dyDescent="0.3">
      <c r="A1313" s="31"/>
      <c r="B1313" s="24">
        <v>1300</v>
      </c>
      <c r="C1313" s="24" t="s">
        <v>1384</v>
      </c>
      <c r="D1313" s="24" t="s">
        <v>99</v>
      </c>
      <c r="E1313" s="24" t="s">
        <v>9</v>
      </c>
      <c r="F1313" s="24">
        <v>19235</v>
      </c>
      <c r="G1313" s="25">
        <v>45202</v>
      </c>
      <c r="H1313" s="25">
        <v>45933</v>
      </c>
      <c r="I1313" s="24" t="s">
        <v>10</v>
      </c>
      <c r="J1313" s="24" t="s">
        <v>30</v>
      </c>
      <c r="K1313" s="24" t="str">
        <f>IF(certifications[[#This Row],[ISSUE DATE]]="", "", TEXT(certifications[[#This Row],[ISSUE DATE]], "MMM"))</f>
        <v>Oct</v>
      </c>
      <c r="L1313" s="35" t="str">
        <f>IF(certifications[[#This Row],[ISSUE DATE]]="", "", TEXT(certifications[[#This Row],[ISSUE DATE]], "YYYY"))</f>
        <v>2023</v>
      </c>
    </row>
    <row r="1314" spans="1:12" s="29" customFormat="1" ht="23.95" customHeight="1" x14ac:dyDescent="0.3">
      <c r="A1314" s="31"/>
      <c r="B1314" s="24">
        <v>1301</v>
      </c>
      <c r="C1314" s="24" t="s">
        <v>1385</v>
      </c>
      <c r="D1314" s="24" t="s">
        <v>884</v>
      </c>
      <c r="E1314" s="24" t="s">
        <v>9</v>
      </c>
      <c r="F1314" s="24">
        <v>18435</v>
      </c>
      <c r="G1314" s="25">
        <v>45005</v>
      </c>
      <c r="H1314" s="25">
        <v>45736</v>
      </c>
      <c r="I1314" s="24" t="s">
        <v>82</v>
      </c>
      <c r="J1314" s="24" t="s">
        <v>22</v>
      </c>
      <c r="K1314" s="24" t="str">
        <f>IF(certifications[[#This Row],[ISSUE DATE]]="", "", TEXT(certifications[[#This Row],[ISSUE DATE]], "MMM"))</f>
        <v>Mar</v>
      </c>
      <c r="L1314" s="35" t="str">
        <f>IF(certifications[[#This Row],[ISSUE DATE]]="", "", TEXT(certifications[[#This Row],[ISSUE DATE]], "YYYY"))</f>
        <v>2023</v>
      </c>
    </row>
    <row r="1315" spans="1:12" s="29" customFormat="1" ht="23.95" customHeight="1" x14ac:dyDescent="0.3">
      <c r="A1315" s="31"/>
      <c r="B1315" s="24">
        <v>1302</v>
      </c>
      <c r="C1315" s="24" t="s">
        <v>1386</v>
      </c>
      <c r="D1315" s="24" t="s">
        <v>78</v>
      </c>
      <c r="E1315" s="24" t="s">
        <v>9</v>
      </c>
      <c r="F1315" s="24">
        <v>13844</v>
      </c>
      <c r="G1315" s="25">
        <v>44172</v>
      </c>
      <c r="H1315" s="25">
        <v>44902</v>
      </c>
      <c r="I1315" s="24" t="s">
        <v>16</v>
      </c>
      <c r="J1315" s="24" t="s">
        <v>25</v>
      </c>
      <c r="K1315" s="24" t="str">
        <f>IF(certifications[[#This Row],[ISSUE DATE]]="", "", TEXT(certifications[[#This Row],[ISSUE DATE]], "MMM"))</f>
        <v>Dec</v>
      </c>
      <c r="L1315" s="35" t="str">
        <f>IF(certifications[[#This Row],[ISSUE DATE]]="", "", TEXT(certifications[[#This Row],[ISSUE DATE]], "YYYY"))</f>
        <v>2020</v>
      </c>
    </row>
    <row r="1316" spans="1:12" s="29" customFormat="1" ht="23.95" customHeight="1" x14ac:dyDescent="0.3">
      <c r="A1316" s="31"/>
      <c r="B1316" s="24">
        <v>1303</v>
      </c>
      <c r="C1316" s="24" t="s">
        <v>1387</v>
      </c>
      <c r="D1316" s="24" t="s">
        <v>32</v>
      </c>
      <c r="E1316" s="24" t="s">
        <v>9</v>
      </c>
      <c r="F1316" s="24">
        <v>16147</v>
      </c>
      <c r="G1316" s="25">
        <v>44289</v>
      </c>
      <c r="H1316" s="25">
        <v>46480</v>
      </c>
      <c r="I1316" s="24" t="s">
        <v>10</v>
      </c>
      <c r="J1316" s="24" t="s">
        <v>33</v>
      </c>
      <c r="K1316" s="24" t="str">
        <f>IF(certifications[[#This Row],[ISSUE DATE]]="", "", TEXT(certifications[[#This Row],[ISSUE DATE]], "MMM"))</f>
        <v>Apr</v>
      </c>
      <c r="L1316" s="35" t="str">
        <f>IF(certifications[[#This Row],[ISSUE DATE]]="", "", TEXT(certifications[[#This Row],[ISSUE DATE]], "YYYY"))</f>
        <v>2021</v>
      </c>
    </row>
    <row r="1317" spans="1:12" s="29" customFormat="1" ht="23.95" customHeight="1" x14ac:dyDescent="0.3">
      <c r="A1317" s="31"/>
      <c r="B1317" s="24">
        <v>1304</v>
      </c>
      <c r="C1317" s="24" t="s">
        <v>1388</v>
      </c>
      <c r="D1317" s="24" t="s">
        <v>452</v>
      </c>
      <c r="E1317" s="24" t="s">
        <v>9</v>
      </c>
      <c r="F1317" s="24">
        <v>10004</v>
      </c>
      <c r="G1317" s="25">
        <v>42753</v>
      </c>
      <c r="H1317" s="25">
        <v>43483</v>
      </c>
      <c r="I1317" s="24" t="s">
        <v>16</v>
      </c>
      <c r="J1317" s="24" t="s">
        <v>25</v>
      </c>
      <c r="K1317" s="24" t="str">
        <f>IF(certifications[[#This Row],[ISSUE DATE]]="", "", TEXT(certifications[[#This Row],[ISSUE DATE]], "MMM"))</f>
        <v>Jan</v>
      </c>
      <c r="L1317" s="35" t="str">
        <f>IF(certifications[[#This Row],[ISSUE DATE]]="", "", TEXT(certifications[[#This Row],[ISSUE DATE]], "YYYY"))</f>
        <v>2017</v>
      </c>
    </row>
    <row r="1318" spans="1:12" s="29" customFormat="1" ht="23.95" customHeight="1" x14ac:dyDescent="0.3">
      <c r="A1318" s="31"/>
      <c r="B1318" s="24">
        <v>1305</v>
      </c>
      <c r="C1318" s="24" t="s">
        <v>1389</v>
      </c>
      <c r="D1318" s="24" t="s">
        <v>131</v>
      </c>
      <c r="E1318" s="24" t="s">
        <v>26</v>
      </c>
      <c r="F1318" s="24">
        <v>18256</v>
      </c>
      <c r="G1318" s="25">
        <v>44952</v>
      </c>
      <c r="H1318" s="25">
        <v>45683</v>
      </c>
      <c r="I1318" s="24" t="s">
        <v>82</v>
      </c>
      <c r="J1318" s="24" t="s">
        <v>38</v>
      </c>
      <c r="K1318" s="24" t="str">
        <f>IF(certifications[[#This Row],[ISSUE DATE]]="", "", TEXT(certifications[[#This Row],[ISSUE DATE]], "MMM"))</f>
        <v>Jan</v>
      </c>
      <c r="L1318" s="35" t="str">
        <f>IF(certifications[[#This Row],[ISSUE DATE]]="", "", TEXT(certifications[[#This Row],[ISSUE DATE]], "YYYY"))</f>
        <v>2023</v>
      </c>
    </row>
    <row r="1319" spans="1:12" s="29" customFormat="1" ht="23.95" customHeight="1" x14ac:dyDescent="0.3">
      <c r="A1319" s="31"/>
      <c r="B1319" s="24">
        <v>1306</v>
      </c>
      <c r="C1319" s="24" t="s">
        <v>1390</v>
      </c>
      <c r="D1319" s="24" t="s">
        <v>37</v>
      </c>
      <c r="E1319" s="24" t="s">
        <v>9</v>
      </c>
      <c r="F1319" s="24">
        <v>15510</v>
      </c>
      <c r="G1319" s="25">
        <v>44577</v>
      </c>
      <c r="H1319" s="25">
        <v>45307</v>
      </c>
      <c r="I1319" s="24" t="s">
        <v>16</v>
      </c>
      <c r="J1319" s="24" t="s">
        <v>38</v>
      </c>
      <c r="K1319" s="24" t="str">
        <f>IF(certifications[[#This Row],[ISSUE DATE]]="", "", TEXT(certifications[[#This Row],[ISSUE DATE]], "MMM"))</f>
        <v>Jan</v>
      </c>
      <c r="L1319" s="35" t="str">
        <f>IF(certifications[[#This Row],[ISSUE DATE]]="", "", TEXT(certifications[[#This Row],[ISSUE DATE]], "YYYY"))</f>
        <v>2022</v>
      </c>
    </row>
    <row r="1320" spans="1:12" s="29" customFormat="1" ht="23.95" customHeight="1" x14ac:dyDescent="0.3">
      <c r="A1320" s="31"/>
      <c r="B1320" s="24">
        <v>1307</v>
      </c>
      <c r="C1320" s="24" t="s">
        <v>1391</v>
      </c>
      <c r="D1320" s="24" t="s">
        <v>13</v>
      </c>
      <c r="E1320" s="24" t="s">
        <v>9</v>
      </c>
      <c r="F1320" s="24">
        <v>21862</v>
      </c>
      <c r="G1320" s="25">
        <v>45767</v>
      </c>
      <c r="H1320" s="25">
        <v>46497</v>
      </c>
      <c r="I1320" s="24" t="s">
        <v>10</v>
      </c>
      <c r="J1320" s="24" t="s">
        <v>14</v>
      </c>
      <c r="K1320" s="24" t="str">
        <f>IF(certifications[[#This Row],[ISSUE DATE]]="", "", TEXT(certifications[[#This Row],[ISSUE DATE]], "MMM"))</f>
        <v>Apr</v>
      </c>
      <c r="L1320" s="35" t="str">
        <f>IF(certifications[[#This Row],[ISSUE DATE]]="", "", TEXT(certifications[[#This Row],[ISSUE DATE]], "YYYY"))</f>
        <v>2025</v>
      </c>
    </row>
    <row r="1321" spans="1:12" s="29" customFormat="1" ht="23.95" customHeight="1" x14ac:dyDescent="0.3">
      <c r="A1321" s="31"/>
      <c r="B1321" s="24">
        <v>1308</v>
      </c>
      <c r="C1321" s="24" t="s">
        <v>1392</v>
      </c>
      <c r="D1321" s="24" t="s">
        <v>104</v>
      </c>
      <c r="E1321" s="24" t="s">
        <v>9</v>
      </c>
      <c r="F1321" s="24">
        <v>17099</v>
      </c>
      <c r="G1321" s="25">
        <v>44568</v>
      </c>
      <c r="H1321" s="25">
        <v>45298</v>
      </c>
      <c r="I1321" s="24" t="s">
        <v>16</v>
      </c>
      <c r="J1321" s="24" t="s">
        <v>14</v>
      </c>
      <c r="K1321" s="24" t="str">
        <f>IF(certifications[[#This Row],[ISSUE DATE]]="", "", TEXT(certifications[[#This Row],[ISSUE DATE]], "MMM"))</f>
        <v>Jan</v>
      </c>
      <c r="L1321" s="35" t="str">
        <f>IF(certifications[[#This Row],[ISSUE DATE]]="", "", TEXT(certifications[[#This Row],[ISSUE DATE]], "YYYY"))</f>
        <v>2022</v>
      </c>
    </row>
    <row r="1322" spans="1:12" s="29" customFormat="1" ht="23.95" customHeight="1" x14ac:dyDescent="0.3">
      <c r="A1322" s="31"/>
      <c r="B1322" s="24">
        <v>1309</v>
      </c>
      <c r="C1322" s="24" t="s">
        <v>1393</v>
      </c>
      <c r="D1322" s="24" t="s">
        <v>131</v>
      </c>
      <c r="E1322" s="24" t="s">
        <v>9</v>
      </c>
      <c r="F1322" s="24">
        <v>9728</v>
      </c>
      <c r="G1322" s="25">
        <v>42571</v>
      </c>
      <c r="H1322" s="25">
        <v>43301</v>
      </c>
      <c r="I1322" s="24" t="s">
        <v>16</v>
      </c>
      <c r="J1322" s="24" t="s">
        <v>38</v>
      </c>
      <c r="K1322" s="24" t="str">
        <f>IF(certifications[[#This Row],[ISSUE DATE]]="", "", TEXT(certifications[[#This Row],[ISSUE DATE]], "MMM"))</f>
        <v>Jul</v>
      </c>
      <c r="L1322" s="35" t="str">
        <f>IF(certifications[[#This Row],[ISSUE DATE]]="", "", TEXT(certifications[[#This Row],[ISSUE DATE]], "YYYY"))</f>
        <v>2016</v>
      </c>
    </row>
    <row r="1323" spans="1:12" s="29" customFormat="1" ht="23.95" customHeight="1" x14ac:dyDescent="0.3">
      <c r="A1323" s="31"/>
      <c r="B1323" s="24">
        <v>1310</v>
      </c>
      <c r="C1323" s="24" t="s">
        <v>1394</v>
      </c>
      <c r="D1323" s="24" t="s">
        <v>273</v>
      </c>
      <c r="E1323" s="24" t="s">
        <v>9</v>
      </c>
      <c r="F1323" s="24">
        <v>17554</v>
      </c>
      <c r="G1323" s="25">
        <v>44722</v>
      </c>
      <c r="H1323" s="25">
        <v>45453</v>
      </c>
      <c r="I1323" s="24" t="s">
        <v>16</v>
      </c>
      <c r="J1323" s="24" t="s">
        <v>30</v>
      </c>
      <c r="K1323" s="24" t="str">
        <f>IF(certifications[[#This Row],[ISSUE DATE]]="", "", TEXT(certifications[[#This Row],[ISSUE DATE]], "MMM"))</f>
        <v>Jun</v>
      </c>
      <c r="L1323" s="35" t="str">
        <f>IF(certifications[[#This Row],[ISSUE DATE]]="", "", TEXT(certifications[[#This Row],[ISSUE DATE]], "YYYY"))</f>
        <v>2022</v>
      </c>
    </row>
    <row r="1324" spans="1:12" s="29" customFormat="1" ht="23.95" customHeight="1" x14ac:dyDescent="0.3">
      <c r="A1324" s="31"/>
      <c r="B1324" s="24">
        <v>1311</v>
      </c>
      <c r="C1324" s="24" t="s">
        <v>1395</v>
      </c>
      <c r="D1324" s="24" t="s">
        <v>61</v>
      </c>
      <c r="E1324" s="24" t="s">
        <v>9</v>
      </c>
      <c r="F1324" s="24">
        <v>10233</v>
      </c>
      <c r="G1324" s="25">
        <v>42903</v>
      </c>
      <c r="H1324" s="25">
        <v>44364</v>
      </c>
      <c r="I1324" s="24" t="s">
        <v>16</v>
      </c>
      <c r="J1324" s="24" t="s">
        <v>19</v>
      </c>
      <c r="K1324" s="24" t="str">
        <f>IF(certifications[[#This Row],[ISSUE DATE]]="", "", TEXT(certifications[[#This Row],[ISSUE DATE]], "MMM"))</f>
        <v>Jun</v>
      </c>
      <c r="L1324" s="35" t="str">
        <f>IF(certifications[[#This Row],[ISSUE DATE]]="", "", TEXT(certifications[[#This Row],[ISSUE DATE]], "YYYY"))</f>
        <v>2017</v>
      </c>
    </row>
    <row r="1325" spans="1:12" s="29" customFormat="1" ht="23.95" customHeight="1" x14ac:dyDescent="0.3">
      <c r="A1325" s="31"/>
      <c r="B1325" s="24">
        <v>1312</v>
      </c>
      <c r="C1325" s="24" t="s">
        <v>1396</v>
      </c>
      <c r="D1325" s="24" t="s">
        <v>80</v>
      </c>
      <c r="E1325" s="24" t="s">
        <v>9</v>
      </c>
      <c r="F1325" s="24">
        <v>8498</v>
      </c>
      <c r="G1325" s="25">
        <v>41450</v>
      </c>
      <c r="H1325" s="25">
        <v>45102</v>
      </c>
      <c r="I1325" s="24" t="s">
        <v>16</v>
      </c>
      <c r="J1325" s="24" t="s">
        <v>38</v>
      </c>
      <c r="K1325" s="24" t="str">
        <f>IF(certifications[[#This Row],[ISSUE DATE]]="", "", TEXT(certifications[[#This Row],[ISSUE DATE]], "MMM"))</f>
        <v>Jun</v>
      </c>
      <c r="L1325" s="35" t="str">
        <f>IF(certifications[[#This Row],[ISSUE DATE]]="", "", TEXT(certifications[[#This Row],[ISSUE DATE]], "YYYY"))</f>
        <v>2013</v>
      </c>
    </row>
    <row r="1326" spans="1:12" s="29" customFormat="1" ht="23.95" customHeight="1" x14ac:dyDescent="0.3">
      <c r="A1326" s="31"/>
      <c r="B1326" s="24">
        <v>1313</v>
      </c>
      <c r="C1326" s="24" t="s">
        <v>1396</v>
      </c>
      <c r="D1326" s="24" t="s">
        <v>80</v>
      </c>
      <c r="E1326" s="24" t="s">
        <v>26</v>
      </c>
      <c r="F1326" s="24">
        <v>8498</v>
      </c>
      <c r="G1326" s="25">
        <v>43470</v>
      </c>
      <c r="H1326" s="25">
        <v>45102</v>
      </c>
      <c r="I1326" s="24" t="s">
        <v>16</v>
      </c>
      <c r="J1326" s="24" t="s">
        <v>38</v>
      </c>
      <c r="K1326" s="24" t="str">
        <f>IF(certifications[[#This Row],[ISSUE DATE]]="", "", TEXT(certifications[[#This Row],[ISSUE DATE]], "MMM"))</f>
        <v>Jan</v>
      </c>
      <c r="L1326" s="35" t="str">
        <f>IF(certifications[[#This Row],[ISSUE DATE]]="", "", TEXT(certifications[[#This Row],[ISSUE DATE]], "YYYY"))</f>
        <v>2019</v>
      </c>
    </row>
    <row r="1327" spans="1:12" s="29" customFormat="1" ht="23.95" customHeight="1" x14ac:dyDescent="0.3">
      <c r="A1327" s="31"/>
      <c r="B1327" s="24">
        <v>1314</v>
      </c>
      <c r="C1327" s="24" t="s">
        <v>1397</v>
      </c>
      <c r="D1327" s="24" t="s">
        <v>32</v>
      </c>
      <c r="E1327" s="24" t="s">
        <v>9</v>
      </c>
      <c r="F1327" s="24">
        <v>14409</v>
      </c>
      <c r="G1327" s="25">
        <v>43697</v>
      </c>
      <c r="H1327" s="25">
        <v>44428</v>
      </c>
      <c r="I1327" s="24" t="s">
        <v>16</v>
      </c>
      <c r="J1327" s="24" t="s">
        <v>33</v>
      </c>
      <c r="K1327" s="24" t="str">
        <f>IF(certifications[[#This Row],[ISSUE DATE]]="", "", TEXT(certifications[[#This Row],[ISSUE DATE]], "MMM"))</f>
        <v>Aug</v>
      </c>
      <c r="L1327" s="35" t="str">
        <f>IF(certifications[[#This Row],[ISSUE DATE]]="", "", TEXT(certifications[[#This Row],[ISSUE DATE]], "YYYY"))</f>
        <v>2019</v>
      </c>
    </row>
    <row r="1328" spans="1:12" s="29" customFormat="1" ht="23.95" customHeight="1" x14ac:dyDescent="0.3">
      <c r="A1328" s="31"/>
      <c r="B1328" s="24">
        <v>1315</v>
      </c>
      <c r="C1328" s="24" t="s">
        <v>1398</v>
      </c>
      <c r="D1328" s="24" t="s">
        <v>46</v>
      </c>
      <c r="E1328" s="24" t="s">
        <v>9</v>
      </c>
      <c r="F1328" s="24">
        <v>8922</v>
      </c>
      <c r="G1328" s="25">
        <v>41816</v>
      </c>
      <c r="H1328" s="25">
        <v>46199</v>
      </c>
      <c r="I1328" s="24" t="s">
        <v>10</v>
      </c>
      <c r="J1328" s="24" t="s">
        <v>38</v>
      </c>
      <c r="K1328" s="24" t="str">
        <f>IF(certifications[[#This Row],[ISSUE DATE]]="", "", TEXT(certifications[[#This Row],[ISSUE DATE]], "MMM"))</f>
        <v>Jun</v>
      </c>
      <c r="L1328" s="35" t="str">
        <f>IF(certifications[[#This Row],[ISSUE DATE]]="", "", TEXT(certifications[[#This Row],[ISSUE DATE]], "YYYY"))</f>
        <v>2014</v>
      </c>
    </row>
    <row r="1329" spans="1:12" s="29" customFormat="1" ht="23.95" customHeight="1" x14ac:dyDescent="0.3">
      <c r="A1329" s="31"/>
      <c r="B1329" s="24">
        <v>1316</v>
      </c>
      <c r="C1329" s="24" t="s">
        <v>1398</v>
      </c>
      <c r="D1329" s="24" t="s">
        <v>46</v>
      </c>
      <c r="E1329" s="24" t="s">
        <v>26</v>
      </c>
      <c r="F1329" s="24">
        <v>8922</v>
      </c>
      <c r="G1329" s="25">
        <v>43580</v>
      </c>
      <c r="H1329" s="25">
        <v>46199</v>
      </c>
      <c r="I1329" s="24" t="s">
        <v>10</v>
      </c>
      <c r="J1329" s="24" t="s">
        <v>38</v>
      </c>
      <c r="K1329" s="24" t="str">
        <f>IF(certifications[[#This Row],[ISSUE DATE]]="", "", TEXT(certifications[[#This Row],[ISSUE DATE]], "MMM"))</f>
        <v>Apr</v>
      </c>
      <c r="L1329" s="35" t="str">
        <f>IF(certifications[[#This Row],[ISSUE DATE]]="", "", TEXT(certifications[[#This Row],[ISSUE DATE]], "YYYY"))</f>
        <v>2019</v>
      </c>
    </row>
    <row r="1330" spans="1:12" s="29" customFormat="1" ht="23.95" customHeight="1" x14ac:dyDescent="0.3">
      <c r="A1330" s="31"/>
      <c r="B1330" s="24">
        <v>1317</v>
      </c>
      <c r="C1330" s="24" t="s">
        <v>1399</v>
      </c>
      <c r="D1330" s="24" t="s">
        <v>13</v>
      </c>
      <c r="E1330" s="24" t="s">
        <v>9</v>
      </c>
      <c r="F1330" s="24">
        <v>9653</v>
      </c>
      <c r="G1330" s="25">
        <v>42537</v>
      </c>
      <c r="H1330" s="25">
        <v>44728</v>
      </c>
      <c r="I1330" s="24" t="s">
        <v>16</v>
      </c>
      <c r="J1330" s="24" t="s">
        <v>14</v>
      </c>
      <c r="K1330" s="24" t="str">
        <f>IF(certifications[[#This Row],[ISSUE DATE]]="", "", TEXT(certifications[[#This Row],[ISSUE DATE]], "MMM"))</f>
        <v>Jun</v>
      </c>
      <c r="L1330" s="35" t="str">
        <f>IF(certifications[[#This Row],[ISSUE DATE]]="", "", TEXT(certifications[[#This Row],[ISSUE DATE]], "YYYY"))</f>
        <v>2016</v>
      </c>
    </row>
    <row r="1331" spans="1:12" s="29" customFormat="1" ht="23.95" customHeight="1" x14ac:dyDescent="0.3">
      <c r="A1331" s="31"/>
      <c r="B1331" s="24">
        <v>1318</v>
      </c>
      <c r="C1331" s="24" t="s">
        <v>1400</v>
      </c>
      <c r="D1331" s="24" t="s">
        <v>269</v>
      </c>
      <c r="E1331" s="24" t="s">
        <v>9</v>
      </c>
      <c r="F1331" s="24">
        <v>14240</v>
      </c>
      <c r="G1331" s="25">
        <v>43686</v>
      </c>
      <c r="H1331" s="25">
        <v>44417</v>
      </c>
      <c r="I1331" s="24" t="s">
        <v>16</v>
      </c>
      <c r="J1331" s="24" t="s">
        <v>25</v>
      </c>
      <c r="K1331" s="24" t="str">
        <f>IF(certifications[[#This Row],[ISSUE DATE]]="", "", TEXT(certifications[[#This Row],[ISSUE DATE]], "MMM"))</f>
        <v>Aug</v>
      </c>
      <c r="L1331" s="35" t="str">
        <f>IF(certifications[[#This Row],[ISSUE DATE]]="", "", TEXT(certifications[[#This Row],[ISSUE DATE]], "YYYY"))</f>
        <v>2019</v>
      </c>
    </row>
    <row r="1332" spans="1:12" s="29" customFormat="1" ht="23.95" customHeight="1" x14ac:dyDescent="0.3">
      <c r="A1332" s="31"/>
      <c r="B1332" s="24">
        <v>1319</v>
      </c>
      <c r="C1332" s="24" t="s">
        <v>1401</v>
      </c>
      <c r="D1332" s="24" t="s">
        <v>32</v>
      </c>
      <c r="E1332" s="24" t="s">
        <v>9</v>
      </c>
      <c r="F1332" s="24">
        <v>10034</v>
      </c>
      <c r="G1332" s="25">
        <v>42766</v>
      </c>
      <c r="H1332" s="25">
        <v>43496</v>
      </c>
      <c r="I1332" s="24" t="s">
        <v>16</v>
      </c>
      <c r="J1332" s="24" t="s">
        <v>33</v>
      </c>
      <c r="K1332" s="24" t="str">
        <f>IF(certifications[[#This Row],[ISSUE DATE]]="", "", TEXT(certifications[[#This Row],[ISSUE DATE]], "MMM"))</f>
        <v>Jan</v>
      </c>
      <c r="L1332" s="35" t="str">
        <f>IF(certifications[[#This Row],[ISSUE DATE]]="", "", TEXT(certifications[[#This Row],[ISSUE DATE]], "YYYY"))</f>
        <v>2017</v>
      </c>
    </row>
    <row r="1333" spans="1:12" s="29" customFormat="1" ht="23.95" customHeight="1" x14ac:dyDescent="0.3">
      <c r="A1333" s="31"/>
      <c r="B1333" s="24">
        <v>1320</v>
      </c>
      <c r="C1333" s="24" t="s">
        <v>1402</v>
      </c>
      <c r="D1333" s="24" t="s">
        <v>210</v>
      </c>
      <c r="E1333" s="24" t="s">
        <v>26</v>
      </c>
      <c r="F1333" s="24">
        <v>9777</v>
      </c>
      <c r="G1333" s="25">
        <v>43327</v>
      </c>
      <c r="H1333" s="25">
        <v>46249</v>
      </c>
      <c r="I1333" s="24" t="s">
        <v>10</v>
      </c>
      <c r="J1333" s="24" t="s">
        <v>19</v>
      </c>
      <c r="K1333" s="24" t="str">
        <f>IF(certifications[[#This Row],[ISSUE DATE]]="", "", TEXT(certifications[[#This Row],[ISSUE DATE]], "MMM"))</f>
        <v>Aug</v>
      </c>
      <c r="L1333" s="35" t="str">
        <f>IF(certifications[[#This Row],[ISSUE DATE]]="", "", TEXT(certifications[[#This Row],[ISSUE DATE]], "YYYY"))</f>
        <v>2018</v>
      </c>
    </row>
    <row r="1334" spans="1:12" s="29" customFormat="1" ht="23.95" customHeight="1" x14ac:dyDescent="0.3">
      <c r="A1334" s="31"/>
      <c r="B1334" s="24">
        <v>1321</v>
      </c>
      <c r="C1334" s="24" t="s">
        <v>1403</v>
      </c>
      <c r="D1334" s="24" t="s">
        <v>18</v>
      </c>
      <c r="E1334" s="24" t="s">
        <v>26</v>
      </c>
      <c r="F1334" s="24">
        <v>21970</v>
      </c>
      <c r="G1334" s="25">
        <v>45793</v>
      </c>
      <c r="H1334" s="25">
        <v>46523</v>
      </c>
      <c r="I1334" s="24" t="s">
        <v>10</v>
      </c>
      <c r="J1334" s="24" t="s">
        <v>19</v>
      </c>
      <c r="K1334" s="24" t="str">
        <f>IF(certifications[[#This Row],[ISSUE DATE]]="", "", TEXT(certifications[[#This Row],[ISSUE DATE]], "MMM"))</f>
        <v>May</v>
      </c>
      <c r="L1334" s="35" t="str">
        <f>IF(certifications[[#This Row],[ISSUE DATE]]="", "", TEXT(certifications[[#This Row],[ISSUE DATE]], "YYYY"))</f>
        <v>2025</v>
      </c>
    </row>
    <row r="1335" spans="1:12" s="29" customFormat="1" ht="23.95" customHeight="1" x14ac:dyDescent="0.3">
      <c r="A1335" s="31"/>
      <c r="B1335" s="24">
        <v>1322</v>
      </c>
      <c r="C1335" s="24" t="s">
        <v>1404</v>
      </c>
      <c r="D1335" s="24" t="s">
        <v>523</v>
      </c>
      <c r="E1335" s="24" t="s">
        <v>9</v>
      </c>
      <c r="F1335" s="24">
        <v>21441</v>
      </c>
      <c r="G1335" s="25">
        <v>45685</v>
      </c>
      <c r="H1335" s="25">
        <v>46415</v>
      </c>
      <c r="I1335" s="24" t="s">
        <v>10</v>
      </c>
      <c r="J1335" s="24" t="s">
        <v>22</v>
      </c>
      <c r="K1335" s="24" t="str">
        <f>IF(certifications[[#This Row],[ISSUE DATE]]="", "", TEXT(certifications[[#This Row],[ISSUE DATE]], "MMM"))</f>
        <v>Jan</v>
      </c>
      <c r="L1335" s="35" t="str">
        <f>IF(certifications[[#This Row],[ISSUE DATE]]="", "", TEXT(certifications[[#This Row],[ISSUE DATE]], "YYYY"))</f>
        <v>2025</v>
      </c>
    </row>
    <row r="1336" spans="1:12" s="29" customFormat="1" ht="23.95" customHeight="1" x14ac:dyDescent="0.3">
      <c r="A1336" s="31"/>
      <c r="B1336" s="24">
        <v>1323</v>
      </c>
      <c r="C1336" s="24" t="s">
        <v>1405</v>
      </c>
      <c r="D1336" s="24" t="s">
        <v>32</v>
      </c>
      <c r="E1336" s="24" t="s">
        <v>9</v>
      </c>
      <c r="F1336" s="24">
        <v>18762</v>
      </c>
      <c r="G1336" s="25">
        <v>45098</v>
      </c>
      <c r="H1336" s="25">
        <v>45829</v>
      </c>
      <c r="I1336" s="24" t="s">
        <v>10</v>
      </c>
      <c r="J1336" s="24" t="s">
        <v>33</v>
      </c>
      <c r="K1336" s="24" t="str">
        <f>IF(certifications[[#This Row],[ISSUE DATE]]="", "", TEXT(certifications[[#This Row],[ISSUE DATE]], "MMM"))</f>
        <v>Jun</v>
      </c>
      <c r="L1336" s="35" t="str">
        <f>IF(certifications[[#This Row],[ISSUE DATE]]="", "", TEXT(certifications[[#This Row],[ISSUE DATE]], "YYYY"))</f>
        <v>2023</v>
      </c>
    </row>
    <row r="1337" spans="1:12" s="29" customFormat="1" ht="23.95" customHeight="1" x14ac:dyDescent="0.3">
      <c r="A1337" s="31"/>
      <c r="B1337" s="24">
        <v>1324</v>
      </c>
      <c r="C1337" s="24" t="s">
        <v>1406</v>
      </c>
      <c r="D1337" s="24" t="s">
        <v>57</v>
      </c>
      <c r="E1337" s="24" t="s">
        <v>9</v>
      </c>
      <c r="F1337" s="24">
        <v>15966</v>
      </c>
      <c r="G1337" s="25">
        <v>44245</v>
      </c>
      <c r="H1337" s="25">
        <v>45706</v>
      </c>
      <c r="I1337" s="24" t="s">
        <v>82</v>
      </c>
      <c r="J1337" s="24" t="s">
        <v>38</v>
      </c>
      <c r="K1337" s="24" t="str">
        <f>IF(certifications[[#This Row],[ISSUE DATE]]="", "", TEXT(certifications[[#This Row],[ISSUE DATE]], "MMM"))</f>
        <v>Feb</v>
      </c>
      <c r="L1337" s="35" t="str">
        <f>IF(certifications[[#This Row],[ISSUE DATE]]="", "", TEXT(certifications[[#This Row],[ISSUE DATE]], "YYYY"))</f>
        <v>2021</v>
      </c>
    </row>
    <row r="1338" spans="1:12" s="29" customFormat="1" ht="23.95" customHeight="1" x14ac:dyDescent="0.3">
      <c r="A1338" s="31"/>
      <c r="B1338" s="24">
        <v>1325</v>
      </c>
      <c r="C1338" s="24" t="s">
        <v>1407</v>
      </c>
      <c r="D1338" s="24" t="s">
        <v>235</v>
      </c>
      <c r="E1338" s="24" t="s">
        <v>9</v>
      </c>
      <c r="F1338" s="24">
        <v>16853</v>
      </c>
      <c r="G1338" s="25">
        <v>44461</v>
      </c>
      <c r="H1338" s="25">
        <v>45922</v>
      </c>
      <c r="I1338" s="24" t="s">
        <v>10</v>
      </c>
      <c r="J1338" s="24" t="s">
        <v>22</v>
      </c>
      <c r="K1338" s="24" t="str">
        <f>IF(certifications[[#This Row],[ISSUE DATE]]="", "", TEXT(certifications[[#This Row],[ISSUE DATE]], "MMM"))</f>
        <v>Sep</v>
      </c>
      <c r="L1338" s="35" t="str">
        <f>IF(certifications[[#This Row],[ISSUE DATE]]="", "", TEXT(certifications[[#This Row],[ISSUE DATE]], "YYYY"))</f>
        <v>2021</v>
      </c>
    </row>
    <row r="1339" spans="1:12" s="29" customFormat="1" ht="23.95" customHeight="1" x14ac:dyDescent="0.3">
      <c r="A1339" s="31"/>
      <c r="B1339" s="24">
        <v>1326</v>
      </c>
      <c r="C1339" s="24" t="s">
        <v>1407</v>
      </c>
      <c r="D1339" s="24" t="s">
        <v>235</v>
      </c>
      <c r="E1339" s="24" t="s">
        <v>26</v>
      </c>
      <c r="F1339" s="24">
        <v>16853</v>
      </c>
      <c r="G1339" s="25">
        <v>44860</v>
      </c>
      <c r="H1339" s="25">
        <v>46321</v>
      </c>
      <c r="I1339" s="24" t="s">
        <v>10</v>
      </c>
      <c r="J1339" s="24" t="s">
        <v>22</v>
      </c>
      <c r="K1339" s="24" t="str">
        <f>IF(certifications[[#This Row],[ISSUE DATE]]="", "", TEXT(certifications[[#This Row],[ISSUE DATE]], "MMM"))</f>
        <v>Oct</v>
      </c>
      <c r="L1339" s="35" t="str">
        <f>IF(certifications[[#This Row],[ISSUE DATE]]="", "", TEXT(certifications[[#This Row],[ISSUE DATE]], "YYYY"))</f>
        <v>2022</v>
      </c>
    </row>
    <row r="1340" spans="1:12" s="29" customFormat="1" ht="23.95" customHeight="1" x14ac:dyDescent="0.3">
      <c r="A1340" s="31"/>
      <c r="B1340" s="24">
        <v>1327</v>
      </c>
      <c r="C1340" s="24" t="s">
        <v>1408</v>
      </c>
      <c r="D1340" s="24" t="s">
        <v>1409</v>
      </c>
      <c r="E1340" s="24" t="s">
        <v>9</v>
      </c>
      <c r="F1340" s="24">
        <v>17437</v>
      </c>
      <c r="G1340" s="25">
        <v>44693</v>
      </c>
      <c r="H1340" s="25">
        <v>46154</v>
      </c>
      <c r="I1340" s="24" t="s">
        <v>10</v>
      </c>
      <c r="J1340" s="24" t="s">
        <v>25</v>
      </c>
      <c r="K1340" s="24" t="str">
        <f>IF(certifications[[#This Row],[ISSUE DATE]]="", "", TEXT(certifications[[#This Row],[ISSUE DATE]], "MMM"))</f>
        <v>May</v>
      </c>
      <c r="L1340" s="35" t="str">
        <f>IF(certifications[[#This Row],[ISSUE DATE]]="", "", TEXT(certifications[[#This Row],[ISSUE DATE]], "YYYY"))</f>
        <v>2022</v>
      </c>
    </row>
    <row r="1341" spans="1:12" s="29" customFormat="1" ht="23.95" customHeight="1" x14ac:dyDescent="0.3">
      <c r="A1341" s="31"/>
      <c r="B1341" s="24">
        <v>1328</v>
      </c>
      <c r="C1341" s="24" t="s">
        <v>1408</v>
      </c>
      <c r="D1341" s="24" t="s">
        <v>1409</v>
      </c>
      <c r="E1341" s="24" t="s">
        <v>26</v>
      </c>
      <c r="F1341" s="24">
        <v>17437</v>
      </c>
      <c r="G1341" s="25">
        <v>44693</v>
      </c>
      <c r="H1341" s="25">
        <v>46154</v>
      </c>
      <c r="I1341" s="24" t="s">
        <v>10</v>
      </c>
      <c r="J1341" s="24" t="s">
        <v>25</v>
      </c>
      <c r="K1341" s="24" t="str">
        <f>IF(certifications[[#This Row],[ISSUE DATE]]="", "", TEXT(certifications[[#This Row],[ISSUE DATE]], "MMM"))</f>
        <v>May</v>
      </c>
      <c r="L1341" s="35" t="str">
        <f>IF(certifications[[#This Row],[ISSUE DATE]]="", "", TEXT(certifications[[#This Row],[ISSUE DATE]], "YYYY"))</f>
        <v>2022</v>
      </c>
    </row>
    <row r="1342" spans="1:12" s="29" customFormat="1" ht="23.95" customHeight="1" x14ac:dyDescent="0.3">
      <c r="A1342" s="31"/>
      <c r="B1342" s="24">
        <v>1329</v>
      </c>
      <c r="C1342" s="24" t="s">
        <v>1410</v>
      </c>
      <c r="D1342" s="24" t="s">
        <v>150</v>
      </c>
      <c r="E1342" s="24" t="s">
        <v>9</v>
      </c>
      <c r="F1342" s="24">
        <v>13591</v>
      </c>
      <c r="G1342" s="25">
        <v>45700</v>
      </c>
      <c r="H1342" s="25">
        <v>46430</v>
      </c>
      <c r="I1342" s="24" t="s">
        <v>10</v>
      </c>
      <c r="J1342" s="24" t="s">
        <v>14</v>
      </c>
      <c r="K1342" s="24" t="str">
        <f>IF(certifications[[#This Row],[ISSUE DATE]]="", "", TEXT(certifications[[#This Row],[ISSUE DATE]], "MMM"))</f>
        <v>Feb</v>
      </c>
      <c r="L1342" s="35" t="str">
        <f>IF(certifications[[#This Row],[ISSUE DATE]]="", "", TEXT(certifications[[#This Row],[ISSUE DATE]], "YYYY"))</f>
        <v>2025</v>
      </c>
    </row>
    <row r="1343" spans="1:12" s="29" customFormat="1" ht="23.95" customHeight="1" x14ac:dyDescent="0.3">
      <c r="A1343" s="31"/>
      <c r="B1343" s="24">
        <v>1330</v>
      </c>
      <c r="C1343" s="24" t="s">
        <v>1411</v>
      </c>
      <c r="D1343" s="24" t="s">
        <v>327</v>
      </c>
      <c r="E1343" s="24" t="s">
        <v>9</v>
      </c>
      <c r="F1343" s="24">
        <v>15517</v>
      </c>
      <c r="G1343" s="25">
        <v>44096</v>
      </c>
      <c r="H1343" s="25">
        <v>44826</v>
      </c>
      <c r="I1343" s="24" t="s">
        <v>16</v>
      </c>
      <c r="J1343" s="24" t="s">
        <v>22</v>
      </c>
      <c r="K1343" s="24" t="str">
        <f>IF(certifications[[#This Row],[ISSUE DATE]]="", "", TEXT(certifications[[#This Row],[ISSUE DATE]], "MMM"))</f>
        <v>Sep</v>
      </c>
      <c r="L1343" s="35" t="str">
        <f>IF(certifications[[#This Row],[ISSUE DATE]]="", "", TEXT(certifications[[#This Row],[ISSUE DATE]], "YYYY"))</f>
        <v>2020</v>
      </c>
    </row>
    <row r="1344" spans="1:12" s="29" customFormat="1" ht="23.95" customHeight="1" x14ac:dyDescent="0.3">
      <c r="A1344" s="31"/>
      <c r="B1344" s="24">
        <v>1331</v>
      </c>
      <c r="C1344" s="24" t="s">
        <v>1412</v>
      </c>
      <c r="D1344" s="24" t="s">
        <v>32</v>
      </c>
      <c r="E1344" s="24" t="s">
        <v>9</v>
      </c>
      <c r="F1344" s="24">
        <v>21066</v>
      </c>
      <c r="G1344" s="25">
        <v>45608</v>
      </c>
      <c r="H1344" s="25">
        <v>46338</v>
      </c>
      <c r="I1344" s="24" t="s">
        <v>10</v>
      </c>
      <c r="J1344" s="24" t="s">
        <v>33</v>
      </c>
      <c r="K1344" s="24" t="str">
        <f>IF(certifications[[#This Row],[ISSUE DATE]]="", "", TEXT(certifications[[#This Row],[ISSUE DATE]], "MMM"))</f>
        <v>Nov</v>
      </c>
      <c r="L1344" s="35" t="str">
        <f>IF(certifications[[#This Row],[ISSUE DATE]]="", "", TEXT(certifications[[#This Row],[ISSUE DATE]], "YYYY"))</f>
        <v>2024</v>
      </c>
    </row>
    <row r="1345" spans="1:12" s="29" customFormat="1" ht="23.95" customHeight="1" x14ac:dyDescent="0.3">
      <c r="A1345" s="31"/>
      <c r="B1345" s="24">
        <v>1332</v>
      </c>
      <c r="C1345" s="24" t="s">
        <v>1412</v>
      </c>
      <c r="D1345" s="24" t="s">
        <v>32</v>
      </c>
      <c r="E1345" s="24" t="s">
        <v>26</v>
      </c>
      <c r="F1345" s="24">
        <v>21066</v>
      </c>
      <c r="G1345" s="25">
        <v>45597</v>
      </c>
      <c r="H1345" s="25">
        <v>46327</v>
      </c>
      <c r="I1345" s="24" t="s">
        <v>10</v>
      </c>
      <c r="J1345" s="24" t="s">
        <v>33</v>
      </c>
      <c r="K1345" s="24" t="str">
        <f>IF(certifications[[#This Row],[ISSUE DATE]]="", "", TEXT(certifications[[#This Row],[ISSUE DATE]], "MMM"))</f>
        <v>Nov</v>
      </c>
      <c r="L1345" s="35" t="str">
        <f>IF(certifications[[#This Row],[ISSUE DATE]]="", "", TEXT(certifications[[#This Row],[ISSUE DATE]], "YYYY"))</f>
        <v>2024</v>
      </c>
    </row>
    <row r="1346" spans="1:12" s="29" customFormat="1" ht="23.95" customHeight="1" x14ac:dyDescent="0.3">
      <c r="A1346" s="31"/>
      <c r="B1346" s="24">
        <v>1333</v>
      </c>
      <c r="C1346" s="24" t="s">
        <v>1413</v>
      </c>
      <c r="D1346" s="24" t="s">
        <v>118</v>
      </c>
      <c r="E1346" s="24" t="s">
        <v>26</v>
      </c>
      <c r="F1346" s="24">
        <v>19460</v>
      </c>
      <c r="G1346" s="25">
        <v>45257</v>
      </c>
      <c r="H1346" s="25">
        <v>45988</v>
      </c>
      <c r="I1346" s="24" t="s">
        <v>10</v>
      </c>
      <c r="J1346" s="24" t="s">
        <v>19</v>
      </c>
      <c r="K1346" s="24" t="str">
        <f>IF(certifications[[#This Row],[ISSUE DATE]]="", "", TEXT(certifications[[#This Row],[ISSUE DATE]], "MMM"))</f>
        <v>Nov</v>
      </c>
      <c r="L1346" s="35" t="str">
        <f>IF(certifications[[#This Row],[ISSUE DATE]]="", "", TEXT(certifications[[#This Row],[ISSUE DATE]], "YYYY"))</f>
        <v>2023</v>
      </c>
    </row>
    <row r="1347" spans="1:12" s="29" customFormat="1" ht="23.95" customHeight="1" x14ac:dyDescent="0.3">
      <c r="A1347" s="31"/>
      <c r="B1347" s="24">
        <v>1334</v>
      </c>
      <c r="C1347" s="24" t="s">
        <v>1414</v>
      </c>
      <c r="D1347" s="24" t="s">
        <v>269</v>
      </c>
      <c r="E1347" s="24" t="s">
        <v>9</v>
      </c>
      <c r="F1347" s="24">
        <v>15712</v>
      </c>
      <c r="G1347" s="25">
        <v>44172</v>
      </c>
      <c r="H1347" s="25">
        <v>44902</v>
      </c>
      <c r="I1347" s="24" t="s">
        <v>16</v>
      </c>
      <c r="J1347" s="24" t="s">
        <v>25</v>
      </c>
      <c r="K1347" s="24" t="str">
        <f>IF(certifications[[#This Row],[ISSUE DATE]]="", "", TEXT(certifications[[#This Row],[ISSUE DATE]], "MMM"))</f>
        <v>Dec</v>
      </c>
      <c r="L1347" s="35" t="str">
        <f>IF(certifications[[#This Row],[ISSUE DATE]]="", "", TEXT(certifications[[#This Row],[ISSUE DATE]], "YYYY"))</f>
        <v>2020</v>
      </c>
    </row>
    <row r="1348" spans="1:12" s="29" customFormat="1" ht="23.95" customHeight="1" x14ac:dyDescent="0.3">
      <c r="A1348" s="31"/>
      <c r="B1348" s="24">
        <v>1335</v>
      </c>
      <c r="C1348" s="24" t="s">
        <v>1415</v>
      </c>
      <c r="D1348" s="24" t="s">
        <v>32</v>
      </c>
      <c r="E1348" s="24" t="s">
        <v>9</v>
      </c>
      <c r="F1348" s="24">
        <v>20888</v>
      </c>
      <c r="G1348" s="25">
        <v>45560</v>
      </c>
      <c r="H1348" s="25">
        <v>46290</v>
      </c>
      <c r="I1348" s="24" t="s">
        <v>10</v>
      </c>
      <c r="J1348" s="24" t="s">
        <v>33</v>
      </c>
      <c r="K1348" s="24" t="str">
        <f>IF(certifications[[#This Row],[ISSUE DATE]]="", "", TEXT(certifications[[#This Row],[ISSUE DATE]], "MMM"))</f>
        <v>Sep</v>
      </c>
      <c r="L1348" s="35" t="str">
        <f>IF(certifications[[#This Row],[ISSUE DATE]]="", "", TEXT(certifications[[#This Row],[ISSUE DATE]], "YYYY"))</f>
        <v>2024</v>
      </c>
    </row>
    <row r="1349" spans="1:12" s="29" customFormat="1" ht="23.95" customHeight="1" x14ac:dyDescent="0.3">
      <c r="A1349" s="31"/>
      <c r="B1349" s="24">
        <v>1336</v>
      </c>
      <c r="C1349" s="24" t="s">
        <v>1416</v>
      </c>
      <c r="D1349" s="24" t="s">
        <v>32</v>
      </c>
      <c r="E1349" s="24" t="s">
        <v>9</v>
      </c>
      <c r="F1349" s="24">
        <v>20772</v>
      </c>
      <c r="G1349" s="25">
        <v>45533</v>
      </c>
      <c r="H1349" s="25">
        <v>46263</v>
      </c>
      <c r="I1349" s="24" t="s">
        <v>10</v>
      </c>
      <c r="J1349" s="24" t="s">
        <v>33</v>
      </c>
      <c r="K1349" s="24" t="str">
        <f>IF(certifications[[#This Row],[ISSUE DATE]]="", "", TEXT(certifications[[#This Row],[ISSUE DATE]], "MMM"))</f>
        <v>Aug</v>
      </c>
      <c r="L1349" s="35" t="str">
        <f>IF(certifications[[#This Row],[ISSUE DATE]]="", "", TEXT(certifications[[#This Row],[ISSUE DATE]], "YYYY"))</f>
        <v>2024</v>
      </c>
    </row>
    <row r="1350" spans="1:12" s="29" customFormat="1" ht="23.95" customHeight="1" x14ac:dyDescent="0.3">
      <c r="A1350" s="31"/>
      <c r="B1350" s="24">
        <v>1337</v>
      </c>
      <c r="C1350" s="24" t="s">
        <v>1417</v>
      </c>
      <c r="D1350" s="24" t="s">
        <v>722</v>
      </c>
      <c r="E1350" s="24" t="s">
        <v>9</v>
      </c>
      <c r="F1350" s="24">
        <v>16994</v>
      </c>
      <c r="G1350" s="25">
        <v>44544</v>
      </c>
      <c r="H1350" s="25">
        <v>45274</v>
      </c>
      <c r="I1350" s="24" t="s">
        <v>16</v>
      </c>
      <c r="J1350" s="24" t="s">
        <v>30</v>
      </c>
      <c r="K1350" s="24" t="str">
        <f>IF(certifications[[#This Row],[ISSUE DATE]]="", "", TEXT(certifications[[#This Row],[ISSUE DATE]], "MMM"))</f>
        <v>Dec</v>
      </c>
      <c r="L1350" s="35" t="str">
        <f>IF(certifications[[#This Row],[ISSUE DATE]]="", "", TEXT(certifications[[#This Row],[ISSUE DATE]], "YYYY"))</f>
        <v>2021</v>
      </c>
    </row>
    <row r="1351" spans="1:12" s="29" customFormat="1" ht="23.95" customHeight="1" x14ac:dyDescent="0.3">
      <c r="A1351" s="31"/>
      <c r="B1351" s="24">
        <v>1338</v>
      </c>
      <c r="C1351" s="24" t="s">
        <v>1417</v>
      </c>
      <c r="D1351" s="24" t="s">
        <v>722</v>
      </c>
      <c r="E1351" s="24" t="s">
        <v>26</v>
      </c>
      <c r="F1351" s="24">
        <v>16994</v>
      </c>
      <c r="G1351" s="25">
        <v>44519</v>
      </c>
      <c r="H1351" s="25">
        <v>45249</v>
      </c>
      <c r="I1351" s="24" t="s">
        <v>16</v>
      </c>
      <c r="J1351" s="24" t="s">
        <v>30</v>
      </c>
      <c r="K1351" s="24" t="str">
        <f>IF(certifications[[#This Row],[ISSUE DATE]]="", "", TEXT(certifications[[#This Row],[ISSUE DATE]], "MMM"))</f>
        <v>Nov</v>
      </c>
      <c r="L1351" s="35" t="str">
        <f>IF(certifications[[#This Row],[ISSUE DATE]]="", "", TEXT(certifications[[#This Row],[ISSUE DATE]], "YYYY"))</f>
        <v>2021</v>
      </c>
    </row>
    <row r="1352" spans="1:12" s="29" customFormat="1" ht="23.95" customHeight="1" x14ac:dyDescent="0.3">
      <c r="A1352" s="31"/>
      <c r="B1352" s="24">
        <v>1339</v>
      </c>
      <c r="C1352" s="24" t="s">
        <v>1418</v>
      </c>
      <c r="D1352" s="24" t="s">
        <v>305</v>
      </c>
      <c r="E1352" s="24" t="s">
        <v>9</v>
      </c>
      <c r="F1352" s="24">
        <v>9977</v>
      </c>
      <c r="G1352" s="25">
        <v>42746</v>
      </c>
      <c r="H1352" s="25">
        <v>46398</v>
      </c>
      <c r="I1352" s="24" t="s">
        <v>10</v>
      </c>
      <c r="J1352" s="24" t="s">
        <v>22</v>
      </c>
      <c r="K1352" s="24" t="str">
        <f>IF(certifications[[#This Row],[ISSUE DATE]]="", "", TEXT(certifications[[#This Row],[ISSUE DATE]], "MMM"))</f>
        <v>Jan</v>
      </c>
      <c r="L1352" s="35" t="str">
        <f>IF(certifications[[#This Row],[ISSUE DATE]]="", "", TEXT(certifications[[#This Row],[ISSUE DATE]], "YYYY"))</f>
        <v>2017</v>
      </c>
    </row>
    <row r="1353" spans="1:12" s="29" customFormat="1" ht="23.95" customHeight="1" x14ac:dyDescent="0.3">
      <c r="A1353" s="31"/>
      <c r="B1353" s="24">
        <v>1340</v>
      </c>
      <c r="C1353" s="24" t="s">
        <v>1419</v>
      </c>
      <c r="D1353" s="24" t="s">
        <v>59</v>
      </c>
      <c r="E1353" s="24" t="s">
        <v>26</v>
      </c>
      <c r="F1353" s="24">
        <v>15812</v>
      </c>
      <c r="G1353" s="25">
        <v>44202</v>
      </c>
      <c r="H1353" s="25">
        <v>46393</v>
      </c>
      <c r="I1353" s="24" t="s">
        <v>10</v>
      </c>
      <c r="J1353" s="24" t="s">
        <v>30</v>
      </c>
      <c r="K1353" s="24" t="str">
        <f>IF(certifications[[#This Row],[ISSUE DATE]]="", "", TEXT(certifications[[#This Row],[ISSUE DATE]], "MMM"))</f>
        <v>Jan</v>
      </c>
      <c r="L1353" s="35" t="str">
        <f>IF(certifications[[#This Row],[ISSUE DATE]]="", "", TEXT(certifications[[#This Row],[ISSUE DATE]], "YYYY"))</f>
        <v>2021</v>
      </c>
    </row>
    <row r="1354" spans="1:12" s="29" customFormat="1" ht="23.95" customHeight="1" x14ac:dyDescent="0.3">
      <c r="A1354" s="31"/>
      <c r="B1354" s="24">
        <v>1341</v>
      </c>
      <c r="C1354" s="24" t="s">
        <v>1420</v>
      </c>
      <c r="D1354" s="24" t="s">
        <v>109</v>
      </c>
      <c r="E1354" s="24" t="s">
        <v>9</v>
      </c>
      <c r="F1354" s="24">
        <v>9716</v>
      </c>
      <c r="G1354" s="25">
        <v>42571</v>
      </c>
      <c r="H1354" s="25">
        <v>44762</v>
      </c>
      <c r="I1354" s="24" t="s">
        <v>16</v>
      </c>
      <c r="J1354" s="24" t="s">
        <v>38</v>
      </c>
      <c r="K1354" s="24" t="str">
        <f>IF(certifications[[#This Row],[ISSUE DATE]]="", "", TEXT(certifications[[#This Row],[ISSUE DATE]], "MMM"))</f>
        <v>Jul</v>
      </c>
      <c r="L1354" s="35" t="str">
        <f>IF(certifications[[#This Row],[ISSUE DATE]]="", "", TEXT(certifications[[#This Row],[ISSUE DATE]], "YYYY"))</f>
        <v>2016</v>
      </c>
    </row>
    <row r="1355" spans="1:12" s="29" customFormat="1" ht="23.95" customHeight="1" x14ac:dyDescent="0.3">
      <c r="A1355" s="31"/>
      <c r="B1355" s="24">
        <v>1342</v>
      </c>
      <c r="C1355" s="24" t="s">
        <v>1421</v>
      </c>
      <c r="D1355" s="24" t="s">
        <v>260</v>
      </c>
      <c r="E1355" s="24" t="s">
        <v>9</v>
      </c>
      <c r="F1355" s="24">
        <v>17046</v>
      </c>
      <c r="G1355" s="25">
        <v>44545</v>
      </c>
      <c r="H1355" s="25">
        <v>45275</v>
      </c>
      <c r="I1355" s="24" t="s">
        <v>16</v>
      </c>
      <c r="J1355" s="24" t="s">
        <v>14</v>
      </c>
      <c r="K1355" s="24" t="str">
        <f>IF(certifications[[#This Row],[ISSUE DATE]]="", "", TEXT(certifications[[#This Row],[ISSUE DATE]], "MMM"))</f>
        <v>Dec</v>
      </c>
      <c r="L1355" s="35" t="str">
        <f>IF(certifications[[#This Row],[ISSUE DATE]]="", "", TEXT(certifications[[#This Row],[ISSUE DATE]], "YYYY"))</f>
        <v>2021</v>
      </c>
    </row>
    <row r="1356" spans="1:12" s="29" customFormat="1" ht="23.95" customHeight="1" x14ac:dyDescent="0.3">
      <c r="A1356" s="31"/>
      <c r="B1356" s="24">
        <v>1343</v>
      </c>
      <c r="C1356" s="24" t="s">
        <v>1422</v>
      </c>
      <c r="D1356" s="24" t="s">
        <v>32</v>
      </c>
      <c r="E1356" s="24" t="s">
        <v>9</v>
      </c>
      <c r="F1356" s="24">
        <v>16856</v>
      </c>
      <c r="G1356" s="25">
        <v>44461</v>
      </c>
      <c r="H1356" s="25">
        <v>45922</v>
      </c>
      <c r="I1356" s="24" t="s">
        <v>10</v>
      </c>
      <c r="J1356" s="24" t="s">
        <v>33</v>
      </c>
      <c r="K1356" s="24" t="str">
        <f>IF(certifications[[#This Row],[ISSUE DATE]]="", "", TEXT(certifications[[#This Row],[ISSUE DATE]], "MMM"))</f>
        <v>Sep</v>
      </c>
      <c r="L1356" s="35" t="str">
        <f>IF(certifications[[#This Row],[ISSUE DATE]]="", "", TEXT(certifications[[#This Row],[ISSUE DATE]], "YYYY"))</f>
        <v>2021</v>
      </c>
    </row>
    <row r="1357" spans="1:12" s="29" customFormat="1" ht="23.95" customHeight="1" x14ac:dyDescent="0.3">
      <c r="A1357" s="31"/>
      <c r="B1357" s="24">
        <v>1344</v>
      </c>
      <c r="C1357" s="24" t="s">
        <v>1423</v>
      </c>
      <c r="D1357" s="24" t="s">
        <v>32</v>
      </c>
      <c r="E1357" s="24" t="s">
        <v>9</v>
      </c>
      <c r="F1357" s="24">
        <v>21040</v>
      </c>
      <c r="G1357" s="25">
        <v>45590</v>
      </c>
      <c r="H1357" s="25">
        <v>46320</v>
      </c>
      <c r="I1357" s="24" t="s">
        <v>10</v>
      </c>
      <c r="J1357" s="24" t="s">
        <v>33</v>
      </c>
      <c r="K1357" s="24" t="str">
        <f>IF(certifications[[#This Row],[ISSUE DATE]]="", "", TEXT(certifications[[#This Row],[ISSUE DATE]], "MMM"))</f>
        <v>Oct</v>
      </c>
      <c r="L1357" s="35" t="str">
        <f>IF(certifications[[#This Row],[ISSUE DATE]]="", "", TEXT(certifications[[#This Row],[ISSUE DATE]], "YYYY"))</f>
        <v>2024</v>
      </c>
    </row>
    <row r="1358" spans="1:12" s="29" customFormat="1" ht="23.95" customHeight="1" x14ac:dyDescent="0.3">
      <c r="A1358" s="31"/>
      <c r="B1358" s="24">
        <v>1345</v>
      </c>
      <c r="C1358" s="24" t="s">
        <v>1424</v>
      </c>
      <c r="D1358" s="24" t="s">
        <v>80</v>
      </c>
      <c r="E1358" s="24" t="s">
        <v>9</v>
      </c>
      <c r="F1358" s="24">
        <v>16534</v>
      </c>
      <c r="G1358" s="25">
        <v>44372</v>
      </c>
      <c r="H1358" s="25">
        <v>45102</v>
      </c>
      <c r="I1358" s="24" t="s">
        <v>16</v>
      </c>
      <c r="J1358" s="24" t="s">
        <v>38</v>
      </c>
      <c r="K1358" s="24" t="str">
        <f>IF(certifications[[#This Row],[ISSUE DATE]]="", "", TEXT(certifications[[#This Row],[ISSUE DATE]], "MMM"))</f>
        <v>Jun</v>
      </c>
      <c r="L1358" s="35" t="str">
        <f>IF(certifications[[#This Row],[ISSUE DATE]]="", "", TEXT(certifications[[#This Row],[ISSUE DATE]], "YYYY"))</f>
        <v>2021</v>
      </c>
    </row>
    <row r="1359" spans="1:12" s="29" customFormat="1" ht="23.95" customHeight="1" x14ac:dyDescent="0.3">
      <c r="A1359" s="31"/>
      <c r="B1359" s="24">
        <v>1346</v>
      </c>
      <c r="C1359" s="24" t="s">
        <v>1425</v>
      </c>
      <c r="D1359" s="24" t="s">
        <v>13</v>
      </c>
      <c r="E1359" s="24" t="s">
        <v>9</v>
      </c>
      <c r="F1359" s="24">
        <v>15030</v>
      </c>
      <c r="G1359" s="25">
        <v>43840</v>
      </c>
      <c r="H1359" s="25">
        <v>44571</v>
      </c>
      <c r="I1359" s="24" t="s">
        <v>16</v>
      </c>
      <c r="J1359" s="24" t="s">
        <v>14</v>
      </c>
      <c r="K1359" s="24" t="str">
        <f>IF(certifications[[#This Row],[ISSUE DATE]]="", "", TEXT(certifications[[#This Row],[ISSUE DATE]], "MMM"))</f>
        <v>Jan</v>
      </c>
      <c r="L1359" s="35" t="str">
        <f>IF(certifications[[#This Row],[ISSUE DATE]]="", "", TEXT(certifications[[#This Row],[ISSUE DATE]], "YYYY"))</f>
        <v>2020</v>
      </c>
    </row>
    <row r="1360" spans="1:12" s="29" customFormat="1" ht="23.95" customHeight="1" x14ac:dyDescent="0.3">
      <c r="A1360" s="31"/>
      <c r="B1360" s="24">
        <v>1347</v>
      </c>
      <c r="C1360" s="24" t="s">
        <v>1426</v>
      </c>
      <c r="D1360" s="24" t="s">
        <v>32</v>
      </c>
      <c r="E1360" s="24" t="s">
        <v>9</v>
      </c>
      <c r="F1360" s="24">
        <v>7771</v>
      </c>
      <c r="G1360" s="25">
        <v>40613</v>
      </c>
      <c r="H1360" s="25">
        <v>42074</v>
      </c>
      <c r="I1360" s="24" t="s">
        <v>16</v>
      </c>
      <c r="J1360" s="24" t="s">
        <v>33</v>
      </c>
      <c r="K1360" s="24" t="str">
        <f>IF(certifications[[#This Row],[ISSUE DATE]]="", "", TEXT(certifications[[#This Row],[ISSUE DATE]], "MMM"))</f>
        <v>Mar</v>
      </c>
      <c r="L1360" s="35" t="str">
        <f>IF(certifications[[#This Row],[ISSUE DATE]]="", "", TEXT(certifications[[#This Row],[ISSUE DATE]], "YYYY"))</f>
        <v>2011</v>
      </c>
    </row>
    <row r="1361" spans="1:12" s="29" customFormat="1" ht="23.95" customHeight="1" x14ac:dyDescent="0.3">
      <c r="A1361" s="31"/>
      <c r="B1361" s="24">
        <v>1348</v>
      </c>
      <c r="C1361" s="24" t="s">
        <v>1427</v>
      </c>
      <c r="D1361" s="24" t="s">
        <v>264</v>
      </c>
      <c r="E1361" s="24" t="s">
        <v>9</v>
      </c>
      <c r="F1361" s="24">
        <v>17884</v>
      </c>
      <c r="G1361" s="25">
        <v>44836</v>
      </c>
      <c r="H1361" s="25">
        <v>45567</v>
      </c>
      <c r="I1361" s="24" t="s">
        <v>82</v>
      </c>
      <c r="J1361" s="24" t="s">
        <v>22</v>
      </c>
      <c r="K1361" s="24" t="str">
        <f>IF(certifications[[#This Row],[ISSUE DATE]]="", "", TEXT(certifications[[#This Row],[ISSUE DATE]], "MMM"))</f>
        <v>Oct</v>
      </c>
      <c r="L1361" s="35" t="str">
        <f>IF(certifications[[#This Row],[ISSUE DATE]]="", "", TEXT(certifications[[#This Row],[ISSUE DATE]], "YYYY"))</f>
        <v>2022</v>
      </c>
    </row>
    <row r="1362" spans="1:12" s="29" customFormat="1" ht="23.95" customHeight="1" x14ac:dyDescent="0.3">
      <c r="A1362" s="31"/>
      <c r="B1362" s="24">
        <v>1349</v>
      </c>
      <c r="C1362" s="24" t="s">
        <v>1428</v>
      </c>
      <c r="D1362" s="24" t="s">
        <v>32</v>
      </c>
      <c r="E1362" s="24" t="s">
        <v>9</v>
      </c>
      <c r="F1362" s="24">
        <v>9448</v>
      </c>
      <c r="G1362" s="25">
        <v>42346</v>
      </c>
      <c r="H1362" s="25">
        <v>43807</v>
      </c>
      <c r="I1362" s="24" t="s">
        <v>16</v>
      </c>
      <c r="J1362" s="24" t="s">
        <v>33</v>
      </c>
      <c r="K1362" s="24" t="str">
        <f>IF(certifications[[#This Row],[ISSUE DATE]]="", "", TEXT(certifications[[#This Row],[ISSUE DATE]], "MMM"))</f>
        <v>Dec</v>
      </c>
      <c r="L1362" s="35" t="str">
        <f>IF(certifications[[#This Row],[ISSUE DATE]]="", "", TEXT(certifications[[#This Row],[ISSUE DATE]], "YYYY"))</f>
        <v>2015</v>
      </c>
    </row>
    <row r="1363" spans="1:12" s="29" customFormat="1" ht="23.95" customHeight="1" x14ac:dyDescent="0.3">
      <c r="A1363" s="31"/>
      <c r="B1363" s="24">
        <v>1350</v>
      </c>
      <c r="C1363" s="24" t="s">
        <v>1429</v>
      </c>
      <c r="D1363" s="24" t="s">
        <v>32</v>
      </c>
      <c r="E1363" s="24" t="s">
        <v>9</v>
      </c>
      <c r="F1363" s="24">
        <v>13869</v>
      </c>
      <c r="G1363" s="25">
        <v>43697</v>
      </c>
      <c r="H1363" s="25">
        <v>45158</v>
      </c>
      <c r="I1363" s="24" t="s">
        <v>16</v>
      </c>
      <c r="J1363" s="24" t="s">
        <v>33</v>
      </c>
      <c r="K1363" s="24" t="str">
        <f>IF(certifications[[#This Row],[ISSUE DATE]]="", "", TEXT(certifications[[#This Row],[ISSUE DATE]], "MMM"))</f>
        <v>Aug</v>
      </c>
      <c r="L1363" s="35" t="str">
        <f>IF(certifications[[#This Row],[ISSUE DATE]]="", "", TEXT(certifications[[#This Row],[ISSUE DATE]], "YYYY"))</f>
        <v>2019</v>
      </c>
    </row>
    <row r="1364" spans="1:12" s="29" customFormat="1" ht="23.95" customHeight="1" x14ac:dyDescent="0.3">
      <c r="A1364" s="31"/>
      <c r="B1364" s="24">
        <v>1351</v>
      </c>
      <c r="C1364" s="24" t="s">
        <v>1430</v>
      </c>
      <c r="D1364" s="24" t="s">
        <v>377</v>
      </c>
      <c r="E1364" s="24" t="s">
        <v>9</v>
      </c>
      <c r="F1364" s="24">
        <v>17972</v>
      </c>
      <c r="G1364" s="25">
        <v>44854</v>
      </c>
      <c r="H1364" s="25">
        <v>46315</v>
      </c>
      <c r="I1364" s="24" t="s">
        <v>10</v>
      </c>
      <c r="J1364" s="24" t="s">
        <v>14</v>
      </c>
      <c r="K1364" s="24" t="str">
        <f>IF(certifications[[#This Row],[ISSUE DATE]]="", "", TEXT(certifications[[#This Row],[ISSUE DATE]], "MMM"))</f>
        <v>Oct</v>
      </c>
      <c r="L1364" s="35" t="str">
        <f>IF(certifications[[#This Row],[ISSUE DATE]]="", "", TEXT(certifications[[#This Row],[ISSUE DATE]], "YYYY"))</f>
        <v>2022</v>
      </c>
    </row>
    <row r="1365" spans="1:12" s="29" customFormat="1" ht="23.95" customHeight="1" x14ac:dyDescent="0.3">
      <c r="A1365" s="31"/>
      <c r="B1365" s="24">
        <v>1352</v>
      </c>
      <c r="C1365" s="24" t="s">
        <v>1431</v>
      </c>
      <c r="D1365" s="24" t="s">
        <v>32</v>
      </c>
      <c r="E1365" s="24" t="s">
        <v>9</v>
      </c>
      <c r="F1365" s="24">
        <v>8389</v>
      </c>
      <c r="G1365" s="25">
        <v>41393</v>
      </c>
      <c r="H1365" s="25">
        <v>42123</v>
      </c>
      <c r="I1365" s="24" t="s">
        <v>16</v>
      </c>
      <c r="J1365" s="24" t="s">
        <v>33</v>
      </c>
      <c r="K1365" s="24" t="str">
        <f>IF(certifications[[#This Row],[ISSUE DATE]]="", "", TEXT(certifications[[#This Row],[ISSUE DATE]], "MMM"))</f>
        <v>Apr</v>
      </c>
      <c r="L1365" s="35" t="str">
        <f>IF(certifications[[#This Row],[ISSUE DATE]]="", "", TEXT(certifications[[#This Row],[ISSUE DATE]], "YYYY"))</f>
        <v>2013</v>
      </c>
    </row>
    <row r="1366" spans="1:12" s="29" customFormat="1" ht="23.95" customHeight="1" x14ac:dyDescent="0.3">
      <c r="A1366" s="31"/>
      <c r="B1366" s="24">
        <v>1353</v>
      </c>
      <c r="C1366" s="24" t="s">
        <v>1432</v>
      </c>
      <c r="D1366" s="24" t="s">
        <v>46</v>
      </c>
      <c r="E1366" s="24" t="s">
        <v>9</v>
      </c>
      <c r="F1366" s="24">
        <v>9536</v>
      </c>
      <c r="G1366" s="25">
        <v>42440</v>
      </c>
      <c r="H1366" s="25">
        <v>43170</v>
      </c>
      <c r="I1366" s="24" t="s">
        <v>16</v>
      </c>
      <c r="J1366" s="24" t="s">
        <v>38</v>
      </c>
      <c r="K1366" s="24" t="str">
        <f>IF(certifications[[#This Row],[ISSUE DATE]]="", "", TEXT(certifications[[#This Row],[ISSUE DATE]], "MMM"))</f>
        <v>Mar</v>
      </c>
      <c r="L1366" s="35" t="str">
        <f>IF(certifications[[#This Row],[ISSUE DATE]]="", "", TEXT(certifications[[#This Row],[ISSUE DATE]], "YYYY"))</f>
        <v>2016</v>
      </c>
    </row>
    <row r="1367" spans="1:12" s="29" customFormat="1" ht="23.95" customHeight="1" x14ac:dyDescent="0.3">
      <c r="A1367" s="31"/>
      <c r="B1367" s="24">
        <v>1354</v>
      </c>
      <c r="C1367" s="24" t="s">
        <v>1433</v>
      </c>
      <c r="D1367" s="24" t="s">
        <v>46</v>
      </c>
      <c r="E1367" s="24" t="s">
        <v>9</v>
      </c>
      <c r="F1367" s="24">
        <v>10243</v>
      </c>
      <c r="G1367" s="25">
        <v>42908</v>
      </c>
      <c r="H1367" s="25">
        <v>43638</v>
      </c>
      <c r="I1367" s="24" t="s">
        <v>16</v>
      </c>
      <c r="J1367" s="24" t="s">
        <v>38</v>
      </c>
      <c r="K1367" s="24" t="str">
        <f>IF(certifications[[#This Row],[ISSUE DATE]]="", "", TEXT(certifications[[#This Row],[ISSUE DATE]], "MMM"))</f>
        <v>Jun</v>
      </c>
      <c r="L1367" s="35" t="str">
        <f>IF(certifications[[#This Row],[ISSUE DATE]]="", "", TEXT(certifications[[#This Row],[ISSUE DATE]], "YYYY"))</f>
        <v>2017</v>
      </c>
    </row>
    <row r="1368" spans="1:12" s="29" customFormat="1" ht="23.95" customHeight="1" x14ac:dyDescent="0.3">
      <c r="A1368" s="31"/>
      <c r="B1368" s="24">
        <v>1355</v>
      </c>
      <c r="C1368" s="24" t="s">
        <v>1434</v>
      </c>
      <c r="D1368" s="24" t="s">
        <v>145</v>
      </c>
      <c r="E1368" s="24" t="s">
        <v>9</v>
      </c>
      <c r="F1368" s="24">
        <v>22089</v>
      </c>
      <c r="G1368" s="25">
        <v>45813</v>
      </c>
      <c r="H1368" s="25">
        <v>46543</v>
      </c>
      <c r="I1368" s="24" t="s">
        <v>10</v>
      </c>
      <c r="J1368" s="24" t="s">
        <v>14</v>
      </c>
      <c r="K1368" s="24" t="str">
        <f>IF(certifications[[#This Row],[ISSUE DATE]]="", "", TEXT(certifications[[#This Row],[ISSUE DATE]], "MMM"))</f>
        <v>Jun</v>
      </c>
      <c r="L1368" s="35" t="str">
        <f>IF(certifications[[#This Row],[ISSUE DATE]]="", "", TEXT(certifications[[#This Row],[ISSUE DATE]], "YYYY"))</f>
        <v>2025</v>
      </c>
    </row>
    <row r="1369" spans="1:12" s="29" customFormat="1" ht="23.95" customHeight="1" x14ac:dyDescent="0.3">
      <c r="A1369" s="31"/>
      <c r="B1369" s="24">
        <v>1356</v>
      </c>
      <c r="C1369" s="24" t="s">
        <v>1435</v>
      </c>
      <c r="D1369" s="24" t="s">
        <v>1071</v>
      </c>
      <c r="E1369" s="24" t="s">
        <v>26</v>
      </c>
      <c r="F1369" s="24">
        <v>16253</v>
      </c>
      <c r="G1369" s="25">
        <v>44335</v>
      </c>
      <c r="H1369" s="25">
        <v>45796</v>
      </c>
      <c r="I1369" s="24" t="s">
        <v>82</v>
      </c>
      <c r="J1369" s="24" t="s">
        <v>30</v>
      </c>
      <c r="K1369" s="24" t="str">
        <f>IF(certifications[[#This Row],[ISSUE DATE]]="", "", TEXT(certifications[[#This Row],[ISSUE DATE]], "MMM"))</f>
        <v>May</v>
      </c>
      <c r="L1369" s="35" t="str">
        <f>IF(certifications[[#This Row],[ISSUE DATE]]="", "", TEXT(certifications[[#This Row],[ISSUE DATE]], "YYYY"))</f>
        <v>2021</v>
      </c>
    </row>
    <row r="1370" spans="1:12" s="29" customFormat="1" ht="23.95" customHeight="1" x14ac:dyDescent="0.3">
      <c r="A1370" s="31"/>
      <c r="B1370" s="24">
        <v>1357</v>
      </c>
      <c r="C1370" s="24" t="s">
        <v>1436</v>
      </c>
      <c r="D1370" s="24" t="s">
        <v>32</v>
      </c>
      <c r="E1370" s="24" t="s">
        <v>9</v>
      </c>
      <c r="F1370" s="24">
        <v>21196</v>
      </c>
      <c r="G1370" s="25">
        <v>45626</v>
      </c>
      <c r="H1370" s="25">
        <v>46356</v>
      </c>
      <c r="I1370" s="24" t="s">
        <v>10</v>
      </c>
      <c r="J1370" s="24" t="s">
        <v>33</v>
      </c>
      <c r="K1370" s="24" t="str">
        <f>IF(certifications[[#This Row],[ISSUE DATE]]="", "", TEXT(certifications[[#This Row],[ISSUE DATE]], "MMM"))</f>
        <v>Nov</v>
      </c>
      <c r="L1370" s="35" t="str">
        <f>IF(certifications[[#This Row],[ISSUE DATE]]="", "", TEXT(certifications[[#This Row],[ISSUE DATE]], "YYYY"))</f>
        <v>2024</v>
      </c>
    </row>
    <row r="1371" spans="1:12" s="29" customFormat="1" ht="23.95" customHeight="1" x14ac:dyDescent="0.3">
      <c r="A1371" s="31"/>
      <c r="B1371" s="24">
        <v>1358</v>
      </c>
      <c r="C1371" s="24" t="s">
        <v>1437</v>
      </c>
      <c r="D1371" s="24" t="s">
        <v>148</v>
      </c>
      <c r="E1371" s="24" t="s">
        <v>9</v>
      </c>
      <c r="F1371" s="24">
        <v>15768</v>
      </c>
      <c r="G1371" s="25">
        <v>44186</v>
      </c>
      <c r="H1371" s="25">
        <v>44916</v>
      </c>
      <c r="I1371" s="24" t="s">
        <v>16</v>
      </c>
      <c r="J1371" s="24" t="s">
        <v>14</v>
      </c>
      <c r="K1371" s="24" t="str">
        <f>IF(certifications[[#This Row],[ISSUE DATE]]="", "", TEXT(certifications[[#This Row],[ISSUE DATE]], "MMM"))</f>
        <v>Dec</v>
      </c>
      <c r="L1371" s="35" t="str">
        <f>IF(certifications[[#This Row],[ISSUE DATE]]="", "", TEXT(certifications[[#This Row],[ISSUE DATE]], "YYYY"))</f>
        <v>2020</v>
      </c>
    </row>
    <row r="1372" spans="1:12" s="29" customFormat="1" ht="23.95" customHeight="1" x14ac:dyDescent="0.3">
      <c r="A1372" s="31"/>
      <c r="B1372" s="24">
        <v>1359</v>
      </c>
      <c r="C1372" s="24" t="s">
        <v>1438</v>
      </c>
      <c r="D1372" s="24" t="s">
        <v>80</v>
      </c>
      <c r="E1372" s="24" t="s">
        <v>9</v>
      </c>
      <c r="F1372" s="24">
        <v>8915</v>
      </c>
      <c r="G1372" s="25">
        <v>41816</v>
      </c>
      <c r="H1372" s="25">
        <v>43277</v>
      </c>
      <c r="I1372" s="24" t="s">
        <v>16</v>
      </c>
      <c r="J1372" s="24" t="s">
        <v>38</v>
      </c>
      <c r="K1372" s="24" t="str">
        <f>IF(certifications[[#This Row],[ISSUE DATE]]="", "", TEXT(certifications[[#This Row],[ISSUE DATE]], "MMM"))</f>
        <v>Jun</v>
      </c>
      <c r="L1372" s="35" t="str">
        <f>IF(certifications[[#This Row],[ISSUE DATE]]="", "", TEXT(certifications[[#This Row],[ISSUE DATE]], "YYYY"))</f>
        <v>2014</v>
      </c>
    </row>
    <row r="1373" spans="1:12" s="29" customFormat="1" ht="23.95" customHeight="1" x14ac:dyDescent="0.3">
      <c r="A1373" s="31"/>
      <c r="B1373" s="24">
        <v>1360</v>
      </c>
      <c r="C1373" s="24" t="s">
        <v>1439</v>
      </c>
      <c r="D1373" s="24" t="s">
        <v>32</v>
      </c>
      <c r="E1373" s="24" t="s">
        <v>9</v>
      </c>
      <c r="F1373" s="24">
        <v>16153</v>
      </c>
      <c r="G1373" s="25">
        <v>44372</v>
      </c>
      <c r="H1373" s="25">
        <v>45102</v>
      </c>
      <c r="I1373" s="24" t="s">
        <v>16</v>
      </c>
      <c r="J1373" s="24" t="s">
        <v>33</v>
      </c>
      <c r="K1373" s="24" t="str">
        <f>IF(certifications[[#This Row],[ISSUE DATE]]="", "", TEXT(certifications[[#This Row],[ISSUE DATE]], "MMM"))</f>
        <v>Jun</v>
      </c>
      <c r="L1373" s="35" t="str">
        <f>IF(certifications[[#This Row],[ISSUE DATE]]="", "", TEXT(certifications[[#This Row],[ISSUE DATE]], "YYYY"))</f>
        <v>2021</v>
      </c>
    </row>
    <row r="1374" spans="1:12" s="29" customFormat="1" ht="23.95" customHeight="1" x14ac:dyDescent="0.3">
      <c r="A1374" s="31"/>
      <c r="B1374" s="24">
        <v>1361</v>
      </c>
      <c r="C1374" s="24" t="s">
        <v>1439</v>
      </c>
      <c r="D1374" s="24" t="s">
        <v>32</v>
      </c>
      <c r="E1374" s="24" t="s">
        <v>26</v>
      </c>
      <c r="F1374" s="24">
        <v>16153</v>
      </c>
      <c r="G1374" s="25">
        <v>44291</v>
      </c>
      <c r="H1374" s="25">
        <v>45021</v>
      </c>
      <c r="I1374" s="24" t="s">
        <v>16</v>
      </c>
      <c r="J1374" s="24" t="s">
        <v>33</v>
      </c>
      <c r="K1374" s="24" t="str">
        <f>IF(certifications[[#This Row],[ISSUE DATE]]="", "", TEXT(certifications[[#This Row],[ISSUE DATE]], "MMM"))</f>
        <v>Apr</v>
      </c>
      <c r="L1374" s="35" t="str">
        <f>IF(certifications[[#This Row],[ISSUE DATE]]="", "", TEXT(certifications[[#This Row],[ISSUE DATE]], "YYYY"))</f>
        <v>2021</v>
      </c>
    </row>
    <row r="1375" spans="1:12" s="29" customFormat="1" ht="23.95" customHeight="1" x14ac:dyDescent="0.3">
      <c r="A1375" s="31"/>
      <c r="B1375" s="24">
        <v>1362</v>
      </c>
      <c r="C1375" s="24" t="s">
        <v>1440</v>
      </c>
      <c r="D1375" s="24" t="s">
        <v>13</v>
      </c>
      <c r="E1375" s="24" t="s">
        <v>9</v>
      </c>
      <c r="F1375" s="24">
        <v>17624</v>
      </c>
      <c r="G1375" s="25">
        <v>44751</v>
      </c>
      <c r="H1375" s="25">
        <v>46212</v>
      </c>
      <c r="I1375" s="24" t="s">
        <v>10</v>
      </c>
      <c r="J1375" s="24" t="s">
        <v>14</v>
      </c>
      <c r="K1375" s="24" t="str">
        <f>IF(certifications[[#This Row],[ISSUE DATE]]="", "", TEXT(certifications[[#This Row],[ISSUE DATE]], "MMM"))</f>
        <v>Jul</v>
      </c>
      <c r="L1375" s="35" t="str">
        <f>IF(certifications[[#This Row],[ISSUE DATE]]="", "", TEXT(certifications[[#This Row],[ISSUE DATE]], "YYYY"))</f>
        <v>2022</v>
      </c>
    </row>
    <row r="1376" spans="1:12" s="29" customFormat="1" ht="23.95" customHeight="1" x14ac:dyDescent="0.3">
      <c r="A1376" s="31"/>
      <c r="B1376" s="24">
        <v>1363</v>
      </c>
      <c r="C1376" s="24" t="s">
        <v>1441</v>
      </c>
      <c r="D1376" s="24" t="s">
        <v>1442</v>
      </c>
      <c r="E1376" s="24" t="s">
        <v>9</v>
      </c>
      <c r="F1376" s="24">
        <v>12724</v>
      </c>
      <c r="G1376" s="25">
        <v>43479</v>
      </c>
      <c r="H1376" s="25">
        <v>45671</v>
      </c>
      <c r="I1376" s="24" t="s">
        <v>82</v>
      </c>
      <c r="J1376" s="24" t="s">
        <v>19</v>
      </c>
      <c r="K1376" s="24" t="str">
        <f>IF(certifications[[#This Row],[ISSUE DATE]]="", "", TEXT(certifications[[#This Row],[ISSUE DATE]], "MMM"))</f>
        <v>Jan</v>
      </c>
      <c r="L1376" s="35" t="str">
        <f>IF(certifications[[#This Row],[ISSUE DATE]]="", "", TEXT(certifications[[#This Row],[ISSUE DATE]], "YYYY"))</f>
        <v>2019</v>
      </c>
    </row>
    <row r="1377" spans="1:12" s="29" customFormat="1" ht="23.95" customHeight="1" x14ac:dyDescent="0.3">
      <c r="A1377" s="31"/>
      <c r="B1377" s="24">
        <v>1364</v>
      </c>
      <c r="C1377" s="24" t="s">
        <v>1443</v>
      </c>
      <c r="D1377" s="24" t="s">
        <v>13</v>
      </c>
      <c r="E1377" s="24" t="s">
        <v>9</v>
      </c>
      <c r="F1377" s="24">
        <v>13568</v>
      </c>
      <c r="G1377" s="25">
        <v>43630</v>
      </c>
      <c r="H1377" s="25">
        <v>44361</v>
      </c>
      <c r="I1377" s="24" t="s">
        <v>16</v>
      </c>
      <c r="J1377" s="24" t="s">
        <v>14</v>
      </c>
      <c r="K1377" s="24" t="str">
        <f>IF(certifications[[#This Row],[ISSUE DATE]]="", "", TEXT(certifications[[#This Row],[ISSUE DATE]], "MMM"))</f>
        <v>Jun</v>
      </c>
      <c r="L1377" s="35" t="str">
        <f>IF(certifications[[#This Row],[ISSUE DATE]]="", "", TEXT(certifications[[#This Row],[ISSUE DATE]], "YYYY"))</f>
        <v>2019</v>
      </c>
    </row>
    <row r="1378" spans="1:12" s="29" customFormat="1" ht="23.95" customHeight="1" x14ac:dyDescent="0.3">
      <c r="A1378" s="31"/>
      <c r="B1378" s="24">
        <v>1365</v>
      </c>
      <c r="C1378" s="24" t="s">
        <v>1444</v>
      </c>
      <c r="D1378" s="24" t="s">
        <v>48</v>
      </c>
      <c r="E1378" s="24" t="s">
        <v>9</v>
      </c>
      <c r="F1378" s="24">
        <v>16130</v>
      </c>
      <c r="G1378" s="25">
        <v>44372</v>
      </c>
      <c r="H1378" s="25">
        <v>45102</v>
      </c>
      <c r="I1378" s="24" t="s">
        <v>16</v>
      </c>
      <c r="J1378" s="24" t="s">
        <v>38</v>
      </c>
      <c r="K1378" s="24" t="str">
        <f>IF(certifications[[#This Row],[ISSUE DATE]]="", "", TEXT(certifications[[#This Row],[ISSUE DATE]], "MMM"))</f>
        <v>Jun</v>
      </c>
      <c r="L1378" s="35" t="str">
        <f>IF(certifications[[#This Row],[ISSUE DATE]]="", "", TEXT(certifications[[#This Row],[ISSUE DATE]], "YYYY"))</f>
        <v>2021</v>
      </c>
    </row>
    <row r="1379" spans="1:12" s="29" customFormat="1" ht="23.95" customHeight="1" x14ac:dyDescent="0.3">
      <c r="A1379" s="31"/>
      <c r="B1379" s="24">
        <v>1366</v>
      </c>
      <c r="C1379" s="24" t="s">
        <v>1444</v>
      </c>
      <c r="D1379" s="24" t="s">
        <v>48</v>
      </c>
      <c r="E1379" s="24" t="s">
        <v>26</v>
      </c>
      <c r="F1379" s="24">
        <v>16130</v>
      </c>
      <c r="G1379" s="25">
        <v>44284</v>
      </c>
      <c r="H1379" s="25">
        <v>45014</v>
      </c>
      <c r="I1379" s="24" t="s">
        <v>16</v>
      </c>
      <c r="J1379" s="24" t="s">
        <v>38</v>
      </c>
      <c r="K1379" s="24" t="str">
        <f>IF(certifications[[#This Row],[ISSUE DATE]]="", "", TEXT(certifications[[#This Row],[ISSUE DATE]], "MMM"))</f>
        <v>Mar</v>
      </c>
      <c r="L1379" s="35" t="str">
        <f>IF(certifications[[#This Row],[ISSUE DATE]]="", "", TEXT(certifications[[#This Row],[ISSUE DATE]], "YYYY"))</f>
        <v>2021</v>
      </c>
    </row>
    <row r="1380" spans="1:12" s="29" customFormat="1" ht="23.95" customHeight="1" x14ac:dyDescent="0.3">
      <c r="A1380" s="31"/>
      <c r="B1380" s="24">
        <v>1367</v>
      </c>
      <c r="C1380" s="24" t="s">
        <v>1445</v>
      </c>
      <c r="D1380" s="24" t="s">
        <v>80</v>
      </c>
      <c r="E1380" s="24" t="s">
        <v>9</v>
      </c>
      <c r="F1380" s="24">
        <v>8918</v>
      </c>
      <c r="G1380" s="25">
        <v>41816</v>
      </c>
      <c r="H1380" s="25">
        <v>42547</v>
      </c>
      <c r="I1380" s="24" t="s">
        <v>16</v>
      </c>
      <c r="J1380" s="24" t="s">
        <v>38</v>
      </c>
      <c r="K1380" s="24" t="str">
        <f>IF(certifications[[#This Row],[ISSUE DATE]]="", "", TEXT(certifications[[#This Row],[ISSUE DATE]], "MMM"))</f>
        <v>Jun</v>
      </c>
      <c r="L1380" s="35" t="str">
        <f>IF(certifications[[#This Row],[ISSUE DATE]]="", "", TEXT(certifications[[#This Row],[ISSUE DATE]], "YYYY"))</f>
        <v>2014</v>
      </c>
    </row>
    <row r="1381" spans="1:12" s="29" customFormat="1" ht="23.95" customHeight="1" x14ac:dyDescent="0.3">
      <c r="A1381" s="31"/>
      <c r="B1381" s="24">
        <v>1368</v>
      </c>
      <c r="C1381" s="24" t="s">
        <v>1446</v>
      </c>
      <c r="D1381" s="24" t="s">
        <v>32</v>
      </c>
      <c r="E1381" s="24" t="s">
        <v>9</v>
      </c>
      <c r="F1381" s="24">
        <v>15775</v>
      </c>
      <c r="G1381" s="25">
        <v>44186</v>
      </c>
      <c r="H1381" s="25">
        <v>45647</v>
      </c>
      <c r="I1381" s="24" t="s">
        <v>82</v>
      </c>
      <c r="J1381" s="24" t="s">
        <v>33</v>
      </c>
      <c r="K1381" s="24" t="str">
        <f>IF(certifications[[#This Row],[ISSUE DATE]]="", "", TEXT(certifications[[#This Row],[ISSUE DATE]], "MMM"))</f>
        <v>Dec</v>
      </c>
      <c r="L1381" s="35" t="str">
        <f>IF(certifications[[#This Row],[ISSUE DATE]]="", "", TEXT(certifications[[#This Row],[ISSUE DATE]], "YYYY"))</f>
        <v>2020</v>
      </c>
    </row>
    <row r="1382" spans="1:12" s="29" customFormat="1" ht="23.95" customHeight="1" x14ac:dyDescent="0.3">
      <c r="A1382" s="31"/>
      <c r="B1382" s="24">
        <v>1369</v>
      </c>
      <c r="C1382" s="24" t="s">
        <v>1447</v>
      </c>
      <c r="D1382" s="24" t="s">
        <v>46</v>
      </c>
      <c r="E1382" s="24" t="s">
        <v>9</v>
      </c>
      <c r="F1382" s="24">
        <v>12901</v>
      </c>
      <c r="G1382" s="25">
        <v>45310</v>
      </c>
      <c r="H1382" s="25">
        <v>46041</v>
      </c>
      <c r="I1382" s="24" t="s">
        <v>10</v>
      </c>
      <c r="J1382" s="24" t="s">
        <v>38</v>
      </c>
      <c r="K1382" s="24" t="str">
        <f>IF(certifications[[#This Row],[ISSUE DATE]]="", "", TEXT(certifications[[#This Row],[ISSUE DATE]], "MMM"))</f>
        <v>Jan</v>
      </c>
      <c r="L1382" s="35" t="str">
        <f>IF(certifications[[#This Row],[ISSUE DATE]]="", "", TEXT(certifications[[#This Row],[ISSUE DATE]], "YYYY"))</f>
        <v>2024</v>
      </c>
    </row>
    <row r="1383" spans="1:12" s="29" customFormat="1" ht="23.95" customHeight="1" x14ac:dyDescent="0.3">
      <c r="A1383" s="31"/>
      <c r="B1383" s="24">
        <v>1370</v>
      </c>
      <c r="C1383" s="24" t="s">
        <v>1448</v>
      </c>
      <c r="D1383" s="24" t="s">
        <v>32</v>
      </c>
      <c r="E1383" s="24" t="s">
        <v>9</v>
      </c>
      <c r="F1383" s="24">
        <v>19700</v>
      </c>
      <c r="G1383" s="25">
        <v>45300</v>
      </c>
      <c r="H1383" s="25">
        <v>46031</v>
      </c>
      <c r="I1383" s="24" t="s">
        <v>10</v>
      </c>
      <c r="J1383" s="24" t="s">
        <v>33</v>
      </c>
      <c r="K1383" s="24" t="str">
        <f>IF(certifications[[#This Row],[ISSUE DATE]]="", "", TEXT(certifications[[#This Row],[ISSUE DATE]], "MMM"))</f>
        <v>Jan</v>
      </c>
      <c r="L1383" s="35" t="str">
        <f>IF(certifications[[#This Row],[ISSUE DATE]]="", "", TEXT(certifications[[#This Row],[ISSUE DATE]], "YYYY"))</f>
        <v>2024</v>
      </c>
    </row>
    <row r="1384" spans="1:12" s="29" customFormat="1" ht="23.95" customHeight="1" x14ac:dyDescent="0.3">
      <c r="A1384" s="31"/>
      <c r="B1384" s="24">
        <v>1371</v>
      </c>
      <c r="C1384" s="24" t="s">
        <v>1449</v>
      </c>
      <c r="D1384" s="24" t="s">
        <v>24</v>
      </c>
      <c r="E1384" s="24" t="s">
        <v>9</v>
      </c>
      <c r="F1384" s="24">
        <v>22018</v>
      </c>
      <c r="G1384" s="25">
        <v>45804</v>
      </c>
      <c r="H1384" s="25">
        <v>46534</v>
      </c>
      <c r="I1384" s="24" t="s">
        <v>10</v>
      </c>
      <c r="J1384" s="24" t="s">
        <v>25</v>
      </c>
      <c r="K1384" s="24" t="str">
        <f>IF(certifications[[#This Row],[ISSUE DATE]]="", "", TEXT(certifications[[#This Row],[ISSUE DATE]], "MMM"))</f>
        <v>May</v>
      </c>
      <c r="L1384" s="35" t="str">
        <f>IF(certifications[[#This Row],[ISSUE DATE]]="", "", TEXT(certifications[[#This Row],[ISSUE DATE]], "YYYY"))</f>
        <v>2025</v>
      </c>
    </row>
    <row r="1385" spans="1:12" s="29" customFormat="1" ht="23.95" customHeight="1" x14ac:dyDescent="0.3">
      <c r="A1385" s="31"/>
      <c r="B1385" s="24">
        <v>1372</v>
      </c>
      <c r="C1385" s="24" t="s">
        <v>1450</v>
      </c>
      <c r="D1385" s="24" t="s">
        <v>32</v>
      </c>
      <c r="E1385" s="24" t="s">
        <v>9</v>
      </c>
      <c r="F1385" s="24">
        <v>16123</v>
      </c>
      <c r="G1385" s="25">
        <v>44280</v>
      </c>
      <c r="H1385" s="25">
        <v>45741</v>
      </c>
      <c r="I1385" s="24" t="s">
        <v>82</v>
      </c>
      <c r="J1385" s="24" t="s">
        <v>33</v>
      </c>
      <c r="K1385" s="24" t="str">
        <f>IF(certifications[[#This Row],[ISSUE DATE]]="", "", TEXT(certifications[[#This Row],[ISSUE DATE]], "MMM"))</f>
        <v>Mar</v>
      </c>
      <c r="L1385" s="35" t="str">
        <f>IF(certifications[[#This Row],[ISSUE DATE]]="", "", TEXT(certifications[[#This Row],[ISSUE DATE]], "YYYY"))</f>
        <v>2021</v>
      </c>
    </row>
    <row r="1386" spans="1:12" s="29" customFormat="1" ht="23.95" customHeight="1" x14ac:dyDescent="0.3">
      <c r="A1386" s="31"/>
      <c r="B1386" s="24">
        <v>1373</v>
      </c>
      <c r="C1386" s="24" t="s">
        <v>1451</v>
      </c>
      <c r="D1386" s="24" t="s">
        <v>46</v>
      </c>
      <c r="E1386" s="24" t="s">
        <v>9</v>
      </c>
      <c r="F1386" s="24">
        <v>8156</v>
      </c>
      <c r="G1386" s="25">
        <v>42576</v>
      </c>
      <c r="H1386" s="25">
        <v>44767</v>
      </c>
      <c r="I1386" s="24" t="s">
        <v>16</v>
      </c>
      <c r="J1386" s="24" t="s">
        <v>38</v>
      </c>
      <c r="K1386" s="24" t="str">
        <f>IF(certifications[[#This Row],[ISSUE DATE]]="", "", TEXT(certifications[[#This Row],[ISSUE DATE]], "MMM"))</f>
        <v>Jul</v>
      </c>
      <c r="L1386" s="35" t="str">
        <f>IF(certifications[[#This Row],[ISSUE DATE]]="", "", TEXT(certifications[[#This Row],[ISSUE DATE]], "YYYY"))</f>
        <v>2016</v>
      </c>
    </row>
    <row r="1387" spans="1:12" s="29" customFormat="1" ht="23.95" customHeight="1" x14ac:dyDescent="0.3">
      <c r="A1387" s="31"/>
      <c r="B1387" s="24">
        <v>1374</v>
      </c>
      <c r="C1387" s="24" t="s">
        <v>1452</v>
      </c>
      <c r="D1387" s="24" t="s">
        <v>32</v>
      </c>
      <c r="E1387" s="24" t="s">
        <v>9</v>
      </c>
      <c r="F1387" s="24">
        <v>20077</v>
      </c>
      <c r="G1387" s="25">
        <v>45383</v>
      </c>
      <c r="H1387" s="25">
        <v>46113</v>
      </c>
      <c r="I1387" s="24" t="s">
        <v>10</v>
      </c>
      <c r="J1387" s="24" t="s">
        <v>33</v>
      </c>
      <c r="K1387" s="24" t="str">
        <f>IF(certifications[[#This Row],[ISSUE DATE]]="", "", TEXT(certifications[[#This Row],[ISSUE DATE]], "MMM"))</f>
        <v>Apr</v>
      </c>
      <c r="L1387" s="35" t="str">
        <f>IF(certifications[[#This Row],[ISSUE DATE]]="", "", TEXT(certifications[[#This Row],[ISSUE DATE]], "YYYY"))</f>
        <v>2024</v>
      </c>
    </row>
    <row r="1388" spans="1:12" s="29" customFormat="1" ht="23.95" customHeight="1" x14ac:dyDescent="0.3">
      <c r="A1388" s="31"/>
      <c r="B1388" s="24">
        <v>1375</v>
      </c>
      <c r="C1388" s="24" t="s">
        <v>1453</v>
      </c>
      <c r="D1388" s="24" t="s">
        <v>40</v>
      </c>
      <c r="E1388" s="24" t="s">
        <v>9</v>
      </c>
      <c r="F1388" s="24">
        <v>21174</v>
      </c>
      <c r="G1388" s="25">
        <v>45619</v>
      </c>
      <c r="H1388" s="25">
        <v>46349</v>
      </c>
      <c r="I1388" s="24" t="s">
        <v>10</v>
      </c>
      <c r="J1388" s="24" t="s">
        <v>25</v>
      </c>
      <c r="K1388" s="24" t="str">
        <f>IF(certifications[[#This Row],[ISSUE DATE]]="", "", TEXT(certifications[[#This Row],[ISSUE DATE]], "MMM"))</f>
        <v>Nov</v>
      </c>
      <c r="L1388" s="35" t="str">
        <f>IF(certifications[[#This Row],[ISSUE DATE]]="", "", TEXT(certifications[[#This Row],[ISSUE DATE]], "YYYY"))</f>
        <v>2024</v>
      </c>
    </row>
    <row r="1389" spans="1:12" s="29" customFormat="1" ht="23.95" customHeight="1" x14ac:dyDescent="0.3">
      <c r="A1389" s="31"/>
      <c r="B1389" s="24">
        <v>1376</v>
      </c>
      <c r="C1389" s="24" t="s">
        <v>1454</v>
      </c>
      <c r="D1389" s="24" t="s">
        <v>32</v>
      </c>
      <c r="E1389" s="24" t="s">
        <v>9</v>
      </c>
      <c r="F1389" s="24">
        <v>16529</v>
      </c>
      <c r="G1389" s="25">
        <v>44372</v>
      </c>
      <c r="H1389" s="25">
        <v>45833</v>
      </c>
      <c r="I1389" s="24" t="s">
        <v>10</v>
      </c>
      <c r="J1389" s="24" t="s">
        <v>33</v>
      </c>
      <c r="K1389" s="24" t="str">
        <f>IF(certifications[[#This Row],[ISSUE DATE]]="", "", TEXT(certifications[[#This Row],[ISSUE DATE]], "MMM"))</f>
        <v>Jun</v>
      </c>
      <c r="L1389" s="35" t="str">
        <f>IF(certifications[[#This Row],[ISSUE DATE]]="", "", TEXT(certifications[[#This Row],[ISSUE DATE]], "YYYY"))</f>
        <v>2021</v>
      </c>
    </row>
    <row r="1390" spans="1:12" s="29" customFormat="1" ht="23.95" customHeight="1" x14ac:dyDescent="0.3">
      <c r="A1390" s="31"/>
      <c r="B1390" s="24">
        <v>1377</v>
      </c>
      <c r="C1390" s="24" t="s">
        <v>1455</v>
      </c>
      <c r="D1390" s="24" t="s">
        <v>32</v>
      </c>
      <c r="E1390" s="24" t="s">
        <v>9</v>
      </c>
      <c r="F1390" s="24">
        <v>17770</v>
      </c>
      <c r="G1390" s="25">
        <v>44791</v>
      </c>
      <c r="H1390" s="25">
        <v>45522</v>
      </c>
      <c r="I1390" s="24" t="s">
        <v>82</v>
      </c>
      <c r="J1390" s="24" t="s">
        <v>33</v>
      </c>
      <c r="K1390" s="24" t="str">
        <f>IF(certifications[[#This Row],[ISSUE DATE]]="", "", TEXT(certifications[[#This Row],[ISSUE DATE]], "MMM"))</f>
        <v>Aug</v>
      </c>
      <c r="L1390" s="35" t="str">
        <f>IF(certifications[[#This Row],[ISSUE DATE]]="", "", TEXT(certifications[[#This Row],[ISSUE DATE]], "YYYY"))</f>
        <v>2022</v>
      </c>
    </row>
    <row r="1391" spans="1:12" s="29" customFormat="1" ht="23.95" customHeight="1" x14ac:dyDescent="0.3">
      <c r="A1391" s="31"/>
      <c r="B1391" s="24">
        <v>1378</v>
      </c>
      <c r="C1391" s="24" t="s">
        <v>1456</v>
      </c>
      <c r="D1391" s="24" t="s">
        <v>32</v>
      </c>
      <c r="E1391" s="24" t="s">
        <v>9</v>
      </c>
      <c r="F1391" s="24">
        <v>14418</v>
      </c>
      <c r="G1391" s="25">
        <v>43697</v>
      </c>
      <c r="H1391" s="25">
        <v>45889</v>
      </c>
      <c r="I1391" s="24" t="s">
        <v>10</v>
      </c>
      <c r="J1391" s="24" t="s">
        <v>33</v>
      </c>
      <c r="K1391" s="24" t="str">
        <f>IF(certifications[[#This Row],[ISSUE DATE]]="", "", TEXT(certifications[[#This Row],[ISSUE DATE]], "MMM"))</f>
        <v>Aug</v>
      </c>
      <c r="L1391" s="35" t="str">
        <f>IF(certifications[[#This Row],[ISSUE DATE]]="", "", TEXT(certifications[[#This Row],[ISSUE DATE]], "YYYY"))</f>
        <v>2019</v>
      </c>
    </row>
    <row r="1392" spans="1:12" s="29" customFormat="1" ht="23.95" customHeight="1" x14ac:dyDescent="0.3">
      <c r="A1392" s="31"/>
      <c r="B1392" s="24">
        <v>1379</v>
      </c>
      <c r="C1392" s="3" t="s">
        <v>1456</v>
      </c>
      <c r="D1392" s="3" t="s">
        <v>32</v>
      </c>
      <c r="E1392" s="3" t="s">
        <v>27</v>
      </c>
      <c r="F1392" s="3">
        <v>14418</v>
      </c>
      <c r="G1392" s="4">
        <v>44953</v>
      </c>
      <c r="H1392" s="4">
        <v>45889</v>
      </c>
      <c r="I1392" s="3" t="s">
        <v>10</v>
      </c>
      <c r="J1392" s="3" t="s">
        <v>33</v>
      </c>
      <c r="K1392" s="3" t="str">
        <f>IF(certifications[[#This Row],[ISSUE DATE]]="", "", TEXT(certifications[[#This Row],[ISSUE DATE]], "MMM"))</f>
        <v>Jan</v>
      </c>
      <c r="L1392" s="36" t="str">
        <f>IF(certifications[[#This Row],[ISSUE DATE]]="", "", TEXT(certifications[[#This Row],[ISSUE DATE]], "YYYY"))</f>
        <v>2023</v>
      </c>
    </row>
    <row r="1393" spans="1:12" s="29" customFormat="1" ht="23.95" customHeight="1" x14ac:dyDescent="0.3">
      <c r="A1393" s="31"/>
      <c r="B1393" s="24">
        <v>1380</v>
      </c>
      <c r="C1393" s="24" t="s">
        <v>1457</v>
      </c>
      <c r="D1393" s="24" t="s">
        <v>884</v>
      </c>
      <c r="E1393" s="24" t="s">
        <v>9</v>
      </c>
      <c r="F1393" s="24">
        <v>20509</v>
      </c>
      <c r="G1393" s="25">
        <v>45469</v>
      </c>
      <c r="H1393" s="25">
        <v>46199</v>
      </c>
      <c r="I1393" s="24" t="s">
        <v>10</v>
      </c>
      <c r="J1393" s="24" t="s">
        <v>22</v>
      </c>
      <c r="K1393" s="24" t="str">
        <f>IF(certifications[[#This Row],[ISSUE DATE]]="", "", TEXT(certifications[[#This Row],[ISSUE DATE]], "MMM"))</f>
        <v>Jun</v>
      </c>
      <c r="L1393" s="35" t="str">
        <f>IF(certifications[[#This Row],[ISSUE DATE]]="", "", TEXT(certifications[[#This Row],[ISSUE DATE]], "YYYY"))</f>
        <v>2024</v>
      </c>
    </row>
    <row r="1394" spans="1:12" s="29" customFormat="1" ht="23.95" customHeight="1" x14ac:dyDescent="0.3">
      <c r="A1394" s="31"/>
      <c r="B1394" s="24">
        <v>1381</v>
      </c>
      <c r="C1394" s="24" t="s">
        <v>1458</v>
      </c>
      <c r="D1394" s="24" t="s">
        <v>13</v>
      </c>
      <c r="E1394" s="24" t="s">
        <v>9</v>
      </c>
      <c r="F1394" s="24">
        <v>10594</v>
      </c>
      <c r="G1394" s="25">
        <v>43081</v>
      </c>
      <c r="H1394" s="25">
        <v>45272</v>
      </c>
      <c r="I1394" s="24" t="s">
        <v>16</v>
      </c>
      <c r="J1394" s="24" t="s">
        <v>14</v>
      </c>
      <c r="K1394" s="24" t="str">
        <f>IF(certifications[[#This Row],[ISSUE DATE]]="", "", TEXT(certifications[[#This Row],[ISSUE DATE]], "MMM"))</f>
        <v>Dec</v>
      </c>
      <c r="L1394" s="35" t="str">
        <f>IF(certifications[[#This Row],[ISSUE DATE]]="", "", TEXT(certifications[[#This Row],[ISSUE DATE]], "YYYY"))</f>
        <v>2017</v>
      </c>
    </row>
    <row r="1395" spans="1:12" s="29" customFormat="1" ht="23.95" customHeight="1" x14ac:dyDescent="0.3">
      <c r="A1395" s="31"/>
      <c r="B1395" s="24">
        <v>1382</v>
      </c>
      <c r="C1395" s="24" t="s">
        <v>1459</v>
      </c>
      <c r="D1395" s="24" t="s">
        <v>13</v>
      </c>
      <c r="E1395" s="24" t="s">
        <v>9</v>
      </c>
      <c r="F1395" s="24">
        <v>9192</v>
      </c>
      <c r="G1395" s="25">
        <v>42144</v>
      </c>
      <c r="H1395" s="25">
        <v>46527</v>
      </c>
      <c r="I1395" s="24" t="s">
        <v>10</v>
      </c>
      <c r="J1395" s="24" t="s">
        <v>14</v>
      </c>
      <c r="K1395" s="24" t="str">
        <f>IF(certifications[[#This Row],[ISSUE DATE]]="", "", TEXT(certifications[[#This Row],[ISSUE DATE]], "MMM"))</f>
        <v>May</v>
      </c>
      <c r="L1395" s="35" t="str">
        <f>IF(certifications[[#This Row],[ISSUE DATE]]="", "", TEXT(certifications[[#This Row],[ISSUE DATE]], "YYYY"))</f>
        <v>2015</v>
      </c>
    </row>
    <row r="1396" spans="1:12" s="29" customFormat="1" ht="23.95" customHeight="1" x14ac:dyDescent="0.3">
      <c r="A1396" s="31"/>
      <c r="B1396" s="24">
        <v>1383</v>
      </c>
      <c r="C1396" s="24" t="s">
        <v>1459</v>
      </c>
      <c r="D1396" s="24" t="s">
        <v>13</v>
      </c>
      <c r="E1396" s="24" t="s">
        <v>26</v>
      </c>
      <c r="F1396" s="24">
        <v>9192</v>
      </c>
      <c r="G1396" s="25">
        <v>43604</v>
      </c>
      <c r="H1396" s="25">
        <v>46526</v>
      </c>
      <c r="I1396" s="24" t="s">
        <v>10</v>
      </c>
      <c r="J1396" s="24" t="s">
        <v>14</v>
      </c>
      <c r="K1396" s="24" t="str">
        <f>IF(certifications[[#This Row],[ISSUE DATE]]="", "", TEXT(certifications[[#This Row],[ISSUE DATE]], "MMM"))</f>
        <v>May</v>
      </c>
      <c r="L1396" s="35" t="str">
        <f>IF(certifications[[#This Row],[ISSUE DATE]]="", "", TEXT(certifications[[#This Row],[ISSUE DATE]], "YYYY"))</f>
        <v>2019</v>
      </c>
    </row>
    <row r="1397" spans="1:12" s="29" customFormat="1" ht="23.95" customHeight="1" x14ac:dyDescent="0.3">
      <c r="A1397" s="31"/>
      <c r="B1397" s="24">
        <v>1384</v>
      </c>
      <c r="C1397" s="24" t="s">
        <v>1460</v>
      </c>
      <c r="D1397" s="24" t="s">
        <v>1250</v>
      </c>
      <c r="E1397" s="24" t="s">
        <v>9</v>
      </c>
      <c r="F1397" s="24">
        <v>10181</v>
      </c>
      <c r="G1397" s="25">
        <v>42896</v>
      </c>
      <c r="H1397" s="25">
        <v>45087</v>
      </c>
      <c r="I1397" s="24" t="s">
        <v>16</v>
      </c>
      <c r="J1397" s="24" t="s">
        <v>11</v>
      </c>
      <c r="K1397" s="24" t="str">
        <f>IF(certifications[[#This Row],[ISSUE DATE]]="", "", TEXT(certifications[[#This Row],[ISSUE DATE]], "MMM"))</f>
        <v>Jun</v>
      </c>
      <c r="L1397" s="35" t="str">
        <f>IF(certifications[[#This Row],[ISSUE DATE]]="", "", TEXT(certifications[[#This Row],[ISSUE DATE]], "YYYY"))</f>
        <v>2017</v>
      </c>
    </row>
    <row r="1398" spans="1:12" s="29" customFormat="1" ht="23.95" customHeight="1" x14ac:dyDescent="0.3">
      <c r="A1398" s="31"/>
      <c r="B1398" s="24">
        <v>1385</v>
      </c>
      <c r="C1398" s="24" t="s">
        <v>1460</v>
      </c>
      <c r="D1398" s="24" t="s">
        <v>1250</v>
      </c>
      <c r="E1398" s="24" t="s">
        <v>26</v>
      </c>
      <c r="F1398" s="24">
        <v>10181</v>
      </c>
      <c r="G1398" s="25">
        <v>43634</v>
      </c>
      <c r="H1398" s="25">
        <v>45095</v>
      </c>
      <c r="I1398" s="24" t="s">
        <v>16</v>
      </c>
      <c r="J1398" s="24" t="s">
        <v>11</v>
      </c>
      <c r="K1398" s="24" t="str">
        <f>IF(certifications[[#This Row],[ISSUE DATE]]="", "", TEXT(certifications[[#This Row],[ISSUE DATE]], "MMM"))</f>
        <v>Jun</v>
      </c>
      <c r="L1398" s="35" t="str">
        <f>IF(certifications[[#This Row],[ISSUE DATE]]="", "", TEXT(certifications[[#This Row],[ISSUE DATE]], "YYYY"))</f>
        <v>2019</v>
      </c>
    </row>
    <row r="1399" spans="1:12" s="29" customFormat="1" ht="23.95" customHeight="1" x14ac:dyDescent="0.3">
      <c r="A1399" s="31"/>
      <c r="B1399" s="24">
        <v>1386</v>
      </c>
      <c r="C1399" s="24" t="s">
        <v>1461</v>
      </c>
      <c r="D1399" s="24" t="s">
        <v>179</v>
      </c>
      <c r="E1399" s="24" t="s">
        <v>9</v>
      </c>
      <c r="F1399" s="24">
        <v>8335</v>
      </c>
      <c r="G1399" s="25">
        <v>41331</v>
      </c>
      <c r="H1399" s="25">
        <v>42061</v>
      </c>
      <c r="I1399" s="24" t="s">
        <v>16</v>
      </c>
      <c r="J1399" s="24" t="s">
        <v>14</v>
      </c>
      <c r="K1399" s="24" t="str">
        <f>IF(certifications[[#This Row],[ISSUE DATE]]="", "", TEXT(certifications[[#This Row],[ISSUE DATE]], "MMM"))</f>
        <v>Feb</v>
      </c>
      <c r="L1399" s="35" t="str">
        <f>IF(certifications[[#This Row],[ISSUE DATE]]="", "", TEXT(certifications[[#This Row],[ISSUE DATE]], "YYYY"))</f>
        <v>2013</v>
      </c>
    </row>
    <row r="1400" spans="1:12" s="29" customFormat="1" ht="23.95" customHeight="1" x14ac:dyDescent="0.3">
      <c r="A1400" s="31"/>
      <c r="B1400" s="24">
        <v>1387</v>
      </c>
      <c r="C1400" s="24" t="s">
        <v>1462</v>
      </c>
      <c r="D1400" s="24" t="s">
        <v>452</v>
      </c>
      <c r="E1400" s="24" t="s">
        <v>9</v>
      </c>
      <c r="F1400" s="24">
        <v>21179</v>
      </c>
      <c r="G1400" s="25">
        <v>45648</v>
      </c>
      <c r="H1400" s="25">
        <v>46378</v>
      </c>
      <c r="I1400" s="24" t="s">
        <v>10</v>
      </c>
      <c r="J1400" s="24" t="s">
        <v>25</v>
      </c>
      <c r="K1400" s="24" t="str">
        <f>IF(certifications[[#This Row],[ISSUE DATE]]="", "", TEXT(certifications[[#This Row],[ISSUE DATE]], "MMM"))</f>
        <v>Dec</v>
      </c>
      <c r="L1400" s="35" t="str">
        <f>IF(certifications[[#This Row],[ISSUE DATE]]="", "", TEXT(certifications[[#This Row],[ISSUE DATE]], "YYYY"))</f>
        <v>2024</v>
      </c>
    </row>
    <row r="1401" spans="1:12" s="29" customFormat="1" ht="23.95" customHeight="1" x14ac:dyDescent="0.3">
      <c r="A1401" s="31"/>
      <c r="B1401" s="24">
        <v>1388</v>
      </c>
      <c r="C1401" s="24" t="s">
        <v>1462</v>
      </c>
      <c r="D1401" s="24" t="s">
        <v>452</v>
      </c>
      <c r="E1401" s="24" t="s">
        <v>26</v>
      </c>
      <c r="F1401" s="24">
        <v>21179</v>
      </c>
      <c r="G1401" s="25">
        <v>45621</v>
      </c>
      <c r="H1401" s="25">
        <v>46351</v>
      </c>
      <c r="I1401" s="24" t="s">
        <v>10</v>
      </c>
      <c r="J1401" s="24" t="s">
        <v>25</v>
      </c>
      <c r="K1401" s="24" t="str">
        <f>IF(certifications[[#This Row],[ISSUE DATE]]="", "", TEXT(certifications[[#This Row],[ISSUE DATE]], "MMM"))</f>
        <v>Nov</v>
      </c>
      <c r="L1401" s="35" t="str">
        <f>IF(certifications[[#This Row],[ISSUE DATE]]="", "", TEXT(certifications[[#This Row],[ISSUE DATE]], "YYYY"))</f>
        <v>2024</v>
      </c>
    </row>
    <row r="1402" spans="1:12" s="29" customFormat="1" ht="23.95" customHeight="1" x14ac:dyDescent="0.3">
      <c r="A1402" s="31"/>
      <c r="B1402" s="24">
        <v>1389</v>
      </c>
      <c r="C1402" s="24" t="s">
        <v>1463</v>
      </c>
      <c r="D1402" s="24" t="s">
        <v>13</v>
      </c>
      <c r="E1402" s="24" t="s">
        <v>9</v>
      </c>
      <c r="F1402" s="24">
        <v>13586</v>
      </c>
      <c r="G1402" s="25">
        <v>43630</v>
      </c>
      <c r="H1402" s="25">
        <v>44361</v>
      </c>
      <c r="I1402" s="24" t="s">
        <v>16</v>
      </c>
      <c r="J1402" s="24" t="s">
        <v>14</v>
      </c>
      <c r="K1402" s="24" t="str">
        <f>IF(certifications[[#This Row],[ISSUE DATE]]="", "", TEXT(certifications[[#This Row],[ISSUE DATE]], "MMM"))</f>
        <v>Jun</v>
      </c>
      <c r="L1402" s="35" t="str">
        <f>IF(certifications[[#This Row],[ISSUE DATE]]="", "", TEXT(certifications[[#This Row],[ISSUE DATE]], "YYYY"))</f>
        <v>2019</v>
      </c>
    </row>
    <row r="1403" spans="1:12" s="29" customFormat="1" ht="23.95" customHeight="1" x14ac:dyDescent="0.3">
      <c r="A1403" s="31"/>
      <c r="B1403" s="24">
        <v>1390</v>
      </c>
      <c r="C1403" s="24" t="s">
        <v>1464</v>
      </c>
      <c r="D1403" s="24" t="s">
        <v>32</v>
      </c>
      <c r="E1403" s="24" t="s">
        <v>9</v>
      </c>
      <c r="F1403" s="24">
        <v>17383</v>
      </c>
      <c r="G1403" s="25">
        <v>44673</v>
      </c>
      <c r="H1403" s="25">
        <v>45404</v>
      </c>
      <c r="I1403" s="24" t="s">
        <v>16</v>
      </c>
      <c r="J1403" s="24" t="s">
        <v>33</v>
      </c>
      <c r="K1403" s="24" t="str">
        <f>IF(certifications[[#This Row],[ISSUE DATE]]="", "", TEXT(certifications[[#This Row],[ISSUE DATE]], "MMM"))</f>
        <v>Apr</v>
      </c>
      <c r="L1403" s="35" t="str">
        <f>IF(certifications[[#This Row],[ISSUE DATE]]="", "", TEXT(certifications[[#This Row],[ISSUE DATE]], "YYYY"))</f>
        <v>2022</v>
      </c>
    </row>
    <row r="1404" spans="1:12" s="29" customFormat="1" ht="23.95" customHeight="1" x14ac:dyDescent="0.3">
      <c r="A1404" s="31"/>
      <c r="B1404" s="24">
        <v>1391</v>
      </c>
      <c r="C1404" s="24" t="s">
        <v>1465</v>
      </c>
      <c r="D1404" s="24" t="s">
        <v>561</v>
      </c>
      <c r="E1404" s="24" t="s">
        <v>9</v>
      </c>
      <c r="F1404" s="24">
        <v>8926</v>
      </c>
      <c r="G1404" s="25">
        <v>41816</v>
      </c>
      <c r="H1404" s="25">
        <v>42547</v>
      </c>
      <c r="I1404" s="24" t="s">
        <v>16</v>
      </c>
      <c r="J1404" s="24" t="s">
        <v>19</v>
      </c>
      <c r="K1404" s="24" t="str">
        <f>IF(certifications[[#This Row],[ISSUE DATE]]="", "", TEXT(certifications[[#This Row],[ISSUE DATE]], "MMM"))</f>
        <v>Jun</v>
      </c>
      <c r="L1404" s="35" t="str">
        <f>IF(certifications[[#This Row],[ISSUE DATE]]="", "", TEXT(certifications[[#This Row],[ISSUE DATE]], "YYYY"))</f>
        <v>2014</v>
      </c>
    </row>
    <row r="1405" spans="1:12" s="29" customFormat="1" ht="23.95" customHeight="1" x14ac:dyDescent="0.3">
      <c r="A1405" s="31"/>
      <c r="B1405" s="24">
        <v>1392</v>
      </c>
      <c r="C1405" s="24" t="s">
        <v>1466</v>
      </c>
      <c r="D1405" s="24" t="s">
        <v>848</v>
      </c>
      <c r="E1405" s="24" t="s">
        <v>9</v>
      </c>
      <c r="F1405" s="24">
        <v>8784</v>
      </c>
      <c r="G1405" s="25">
        <v>41710</v>
      </c>
      <c r="H1405" s="25">
        <v>42441</v>
      </c>
      <c r="I1405" s="24" t="s">
        <v>16</v>
      </c>
      <c r="J1405" s="24" t="s">
        <v>38</v>
      </c>
      <c r="K1405" s="24" t="str">
        <f>IF(certifications[[#This Row],[ISSUE DATE]]="", "", TEXT(certifications[[#This Row],[ISSUE DATE]], "MMM"))</f>
        <v>Mar</v>
      </c>
      <c r="L1405" s="35" t="str">
        <f>IF(certifications[[#This Row],[ISSUE DATE]]="", "", TEXT(certifications[[#This Row],[ISSUE DATE]], "YYYY"))</f>
        <v>2014</v>
      </c>
    </row>
    <row r="1406" spans="1:12" s="29" customFormat="1" ht="23.95" customHeight="1" x14ac:dyDescent="0.3">
      <c r="A1406" s="31"/>
      <c r="B1406" s="24">
        <v>1393</v>
      </c>
      <c r="C1406" s="24" t="s">
        <v>1467</v>
      </c>
      <c r="D1406" s="24" t="s">
        <v>32</v>
      </c>
      <c r="E1406" s="24" t="s">
        <v>9</v>
      </c>
      <c r="F1406" s="24">
        <v>19735</v>
      </c>
      <c r="G1406" s="25">
        <v>45303</v>
      </c>
      <c r="H1406" s="25">
        <v>46034</v>
      </c>
      <c r="I1406" s="24" t="s">
        <v>10</v>
      </c>
      <c r="J1406" s="24" t="s">
        <v>33</v>
      </c>
      <c r="K1406" s="24" t="str">
        <f>IF(certifications[[#This Row],[ISSUE DATE]]="", "", TEXT(certifications[[#This Row],[ISSUE DATE]], "MMM"))</f>
        <v>Jan</v>
      </c>
      <c r="L1406" s="35" t="str">
        <f>IF(certifications[[#This Row],[ISSUE DATE]]="", "", TEXT(certifications[[#This Row],[ISSUE DATE]], "YYYY"))</f>
        <v>2024</v>
      </c>
    </row>
    <row r="1407" spans="1:12" s="29" customFormat="1" ht="23.95" customHeight="1" x14ac:dyDescent="0.3">
      <c r="A1407" s="31"/>
      <c r="B1407" s="24">
        <v>1394</v>
      </c>
      <c r="C1407" s="24" t="s">
        <v>1468</v>
      </c>
      <c r="D1407" s="24" t="s">
        <v>18</v>
      </c>
      <c r="E1407" s="24" t="s">
        <v>9</v>
      </c>
      <c r="F1407" s="24">
        <v>17792</v>
      </c>
      <c r="G1407" s="25">
        <v>44802</v>
      </c>
      <c r="H1407" s="25">
        <v>45533</v>
      </c>
      <c r="I1407" s="24" t="s">
        <v>82</v>
      </c>
      <c r="J1407" s="24" t="s">
        <v>19</v>
      </c>
      <c r="K1407" s="24" t="str">
        <f>IF(certifications[[#This Row],[ISSUE DATE]]="", "", TEXT(certifications[[#This Row],[ISSUE DATE]], "MMM"))</f>
        <v>Aug</v>
      </c>
      <c r="L1407" s="35" t="str">
        <f>IF(certifications[[#This Row],[ISSUE DATE]]="", "", TEXT(certifications[[#This Row],[ISSUE DATE]], "YYYY"))</f>
        <v>2022</v>
      </c>
    </row>
    <row r="1408" spans="1:12" s="29" customFormat="1" ht="23.95" customHeight="1" x14ac:dyDescent="0.3">
      <c r="A1408" s="31"/>
      <c r="B1408" s="24">
        <v>1395</v>
      </c>
      <c r="C1408" s="24" t="s">
        <v>1468</v>
      </c>
      <c r="D1408" s="24" t="s">
        <v>363</v>
      </c>
      <c r="E1408" s="24" t="s">
        <v>9</v>
      </c>
      <c r="F1408" s="24">
        <v>20236</v>
      </c>
      <c r="G1408" s="25">
        <v>45420</v>
      </c>
      <c r="H1408" s="25">
        <v>46150</v>
      </c>
      <c r="I1408" s="24" t="s">
        <v>10</v>
      </c>
      <c r="J1408" s="24" t="s">
        <v>19</v>
      </c>
      <c r="K1408" s="24" t="str">
        <f>IF(certifications[[#This Row],[ISSUE DATE]]="", "", TEXT(certifications[[#This Row],[ISSUE DATE]], "MMM"))</f>
        <v>May</v>
      </c>
      <c r="L1408" s="35" t="str">
        <f>IF(certifications[[#This Row],[ISSUE DATE]]="", "", TEXT(certifications[[#This Row],[ISSUE DATE]], "YYYY"))</f>
        <v>2024</v>
      </c>
    </row>
    <row r="1409" spans="1:12" s="29" customFormat="1" ht="23.95" customHeight="1" x14ac:dyDescent="0.3">
      <c r="A1409" s="31"/>
      <c r="B1409" s="24">
        <v>1396</v>
      </c>
      <c r="C1409" s="24" t="s">
        <v>1469</v>
      </c>
      <c r="D1409" s="24" t="s">
        <v>32</v>
      </c>
      <c r="E1409" s="24" t="s">
        <v>9</v>
      </c>
      <c r="F1409" s="24">
        <v>11343</v>
      </c>
      <c r="G1409" s="25">
        <v>43227</v>
      </c>
      <c r="H1409" s="25">
        <v>43958</v>
      </c>
      <c r="I1409" s="24" t="s">
        <v>16</v>
      </c>
      <c r="J1409" s="24" t="s">
        <v>33</v>
      </c>
      <c r="K1409" s="24" t="str">
        <f>IF(certifications[[#This Row],[ISSUE DATE]]="", "", TEXT(certifications[[#This Row],[ISSUE DATE]], "MMM"))</f>
        <v>May</v>
      </c>
      <c r="L1409" s="35" t="str">
        <f>IF(certifications[[#This Row],[ISSUE DATE]]="", "", TEXT(certifications[[#This Row],[ISSUE DATE]], "YYYY"))</f>
        <v>2018</v>
      </c>
    </row>
    <row r="1410" spans="1:12" s="29" customFormat="1" ht="23.95" customHeight="1" x14ac:dyDescent="0.3">
      <c r="A1410" s="31"/>
      <c r="B1410" s="24">
        <v>1397</v>
      </c>
      <c r="C1410" s="24" t="s">
        <v>1470</v>
      </c>
      <c r="D1410" s="24" t="s">
        <v>78</v>
      </c>
      <c r="E1410" s="24" t="s">
        <v>9</v>
      </c>
      <c r="F1410" s="24">
        <v>8392</v>
      </c>
      <c r="G1410" s="25">
        <v>41393</v>
      </c>
      <c r="H1410" s="25">
        <v>42123</v>
      </c>
      <c r="I1410" s="24" t="s">
        <v>16</v>
      </c>
      <c r="J1410" s="24" t="s">
        <v>25</v>
      </c>
      <c r="K1410" s="24" t="str">
        <f>IF(certifications[[#This Row],[ISSUE DATE]]="", "", TEXT(certifications[[#This Row],[ISSUE DATE]], "MMM"))</f>
        <v>Apr</v>
      </c>
      <c r="L1410" s="35" t="str">
        <f>IF(certifications[[#This Row],[ISSUE DATE]]="", "", TEXT(certifications[[#This Row],[ISSUE DATE]], "YYYY"))</f>
        <v>2013</v>
      </c>
    </row>
    <row r="1411" spans="1:12" s="29" customFormat="1" ht="23.95" customHeight="1" x14ac:dyDescent="0.3">
      <c r="A1411" s="31"/>
      <c r="B1411" s="24">
        <v>1398</v>
      </c>
      <c r="C1411" s="24" t="s">
        <v>1471</v>
      </c>
      <c r="D1411" s="24" t="s">
        <v>53</v>
      </c>
      <c r="E1411" s="24" t="s">
        <v>9</v>
      </c>
      <c r="F1411" s="24">
        <v>8710</v>
      </c>
      <c r="G1411" s="25">
        <v>41620</v>
      </c>
      <c r="H1411" s="25">
        <v>43081</v>
      </c>
      <c r="I1411" s="24" t="s">
        <v>16</v>
      </c>
      <c r="J1411" s="24" t="s">
        <v>25</v>
      </c>
      <c r="K1411" s="24" t="str">
        <f>IF(certifications[[#This Row],[ISSUE DATE]]="", "", TEXT(certifications[[#This Row],[ISSUE DATE]], "MMM"))</f>
        <v>Dec</v>
      </c>
      <c r="L1411" s="35" t="str">
        <f>IF(certifications[[#This Row],[ISSUE DATE]]="", "", TEXT(certifications[[#This Row],[ISSUE DATE]], "YYYY"))</f>
        <v>2013</v>
      </c>
    </row>
    <row r="1412" spans="1:12" s="29" customFormat="1" ht="23.95" customHeight="1" x14ac:dyDescent="0.3">
      <c r="A1412" s="31"/>
      <c r="B1412" s="24">
        <v>1399</v>
      </c>
      <c r="C1412" s="24" t="s">
        <v>1472</v>
      </c>
      <c r="D1412" s="24" t="s">
        <v>215</v>
      </c>
      <c r="E1412" s="24" t="s">
        <v>9</v>
      </c>
      <c r="F1412" s="24">
        <v>15493</v>
      </c>
      <c r="G1412" s="25">
        <v>44091</v>
      </c>
      <c r="H1412" s="25">
        <v>44821</v>
      </c>
      <c r="I1412" s="24" t="s">
        <v>16</v>
      </c>
      <c r="J1412" s="24" t="s">
        <v>14</v>
      </c>
      <c r="K1412" s="24" t="str">
        <f>IF(certifications[[#This Row],[ISSUE DATE]]="", "", TEXT(certifications[[#This Row],[ISSUE DATE]], "MMM"))</f>
        <v>Sep</v>
      </c>
      <c r="L1412" s="35" t="str">
        <f>IF(certifications[[#This Row],[ISSUE DATE]]="", "", TEXT(certifications[[#This Row],[ISSUE DATE]], "YYYY"))</f>
        <v>2020</v>
      </c>
    </row>
    <row r="1413" spans="1:12" s="29" customFormat="1" ht="23.95" customHeight="1" x14ac:dyDescent="0.3">
      <c r="A1413" s="31"/>
      <c r="B1413" s="24">
        <v>1400</v>
      </c>
      <c r="C1413" s="24" t="s">
        <v>1473</v>
      </c>
      <c r="D1413" s="24" t="s">
        <v>53</v>
      </c>
      <c r="E1413" s="24" t="s">
        <v>9</v>
      </c>
      <c r="F1413" s="24">
        <v>19428</v>
      </c>
      <c r="G1413" s="25">
        <v>45250</v>
      </c>
      <c r="H1413" s="25">
        <v>45981</v>
      </c>
      <c r="I1413" s="24" t="s">
        <v>10</v>
      </c>
      <c r="J1413" s="24" t="s">
        <v>25</v>
      </c>
      <c r="K1413" s="24" t="str">
        <f>IF(certifications[[#This Row],[ISSUE DATE]]="", "", TEXT(certifications[[#This Row],[ISSUE DATE]], "MMM"))</f>
        <v>Nov</v>
      </c>
      <c r="L1413" s="35" t="str">
        <f>IF(certifications[[#This Row],[ISSUE DATE]]="", "", TEXT(certifications[[#This Row],[ISSUE DATE]], "YYYY"))</f>
        <v>2023</v>
      </c>
    </row>
    <row r="1414" spans="1:12" s="29" customFormat="1" ht="23.95" customHeight="1" x14ac:dyDescent="0.3">
      <c r="A1414" s="31"/>
      <c r="B1414" s="24">
        <v>1401</v>
      </c>
      <c r="C1414" s="24" t="s">
        <v>1474</v>
      </c>
      <c r="D1414" s="24" t="s">
        <v>1272</v>
      </c>
      <c r="E1414" s="24" t="s">
        <v>9</v>
      </c>
      <c r="F1414" s="24">
        <v>8277</v>
      </c>
      <c r="G1414" s="25">
        <v>41255</v>
      </c>
      <c r="H1414" s="25">
        <v>41985</v>
      </c>
      <c r="I1414" s="24" t="s">
        <v>16</v>
      </c>
      <c r="J1414" s="24" t="s">
        <v>38</v>
      </c>
      <c r="K1414" s="24" t="str">
        <f>IF(certifications[[#This Row],[ISSUE DATE]]="", "", TEXT(certifications[[#This Row],[ISSUE DATE]], "MMM"))</f>
        <v>Dec</v>
      </c>
      <c r="L1414" s="35" t="str">
        <f>IF(certifications[[#This Row],[ISSUE DATE]]="", "", TEXT(certifications[[#This Row],[ISSUE DATE]], "YYYY"))</f>
        <v>2012</v>
      </c>
    </row>
    <row r="1415" spans="1:12" s="29" customFormat="1" ht="23.95" customHeight="1" x14ac:dyDescent="0.3">
      <c r="A1415" s="31"/>
      <c r="B1415" s="24">
        <v>1402</v>
      </c>
      <c r="C1415" s="24" t="s">
        <v>1475</v>
      </c>
      <c r="D1415" s="24" t="s">
        <v>13</v>
      </c>
      <c r="E1415" s="24" t="s">
        <v>9</v>
      </c>
      <c r="F1415" s="24">
        <v>15017</v>
      </c>
      <c r="G1415" s="25">
        <v>43840</v>
      </c>
      <c r="H1415" s="25">
        <v>46032</v>
      </c>
      <c r="I1415" s="24" t="s">
        <v>10</v>
      </c>
      <c r="J1415" s="24" t="s">
        <v>14</v>
      </c>
      <c r="K1415" s="24" t="str">
        <f>IF(certifications[[#This Row],[ISSUE DATE]]="", "", TEXT(certifications[[#This Row],[ISSUE DATE]], "MMM"))</f>
        <v>Jan</v>
      </c>
      <c r="L1415" s="35" t="str">
        <f>IF(certifications[[#This Row],[ISSUE DATE]]="", "", TEXT(certifications[[#This Row],[ISSUE DATE]], "YYYY"))</f>
        <v>2020</v>
      </c>
    </row>
    <row r="1416" spans="1:12" s="29" customFormat="1" ht="23.95" customHeight="1" x14ac:dyDescent="0.3">
      <c r="A1416" s="31"/>
      <c r="B1416" s="24">
        <v>1403</v>
      </c>
      <c r="C1416" s="24" t="s">
        <v>1476</v>
      </c>
      <c r="D1416" s="24" t="s">
        <v>32</v>
      </c>
      <c r="E1416" s="24" t="s">
        <v>9</v>
      </c>
      <c r="F1416" s="24">
        <v>17391</v>
      </c>
      <c r="G1416" s="25">
        <v>44677</v>
      </c>
      <c r="H1416" s="25">
        <v>46138</v>
      </c>
      <c r="I1416" s="24" t="s">
        <v>10</v>
      </c>
      <c r="J1416" s="24" t="s">
        <v>33</v>
      </c>
      <c r="K1416" s="24" t="str">
        <f>IF(certifications[[#This Row],[ISSUE DATE]]="", "", TEXT(certifications[[#This Row],[ISSUE DATE]], "MMM"))</f>
        <v>Apr</v>
      </c>
      <c r="L1416" s="35" t="str">
        <f>IF(certifications[[#This Row],[ISSUE DATE]]="", "", TEXT(certifications[[#This Row],[ISSUE DATE]], "YYYY"))</f>
        <v>2022</v>
      </c>
    </row>
    <row r="1417" spans="1:12" s="29" customFormat="1" ht="23.95" customHeight="1" x14ac:dyDescent="0.3">
      <c r="A1417" s="31"/>
      <c r="B1417" s="24">
        <v>1404</v>
      </c>
      <c r="C1417" s="24" t="s">
        <v>1477</v>
      </c>
      <c r="D1417" s="24" t="s">
        <v>32</v>
      </c>
      <c r="E1417" s="24" t="s">
        <v>9</v>
      </c>
      <c r="F1417" s="24">
        <v>16121</v>
      </c>
      <c r="G1417" s="25">
        <v>44280</v>
      </c>
      <c r="H1417" s="25">
        <v>45741</v>
      </c>
      <c r="I1417" s="24" t="s">
        <v>82</v>
      </c>
      <c r="J1417" s="24" t="s">
        <v>33</v>
      </c>
      <c r="K1417" s="24" t="str">
        <f>IF(certifications[[#This Row],[ISSUE DATE]]="", "", TEXT(certifications[[#This Row],[ISSUE DATE]], "MMM"))</f>
        <v>Mar</v>
      </c>
      <c r="L1417" s="35" t="str">
        <f>IF(certifications[[#This Row],[ISSUE DATE]]="", "", TEXT(certifications[[#This Row],[ISSUE DATE]], "YYYY"))</f>
        <v>2021</v>
      </c>
    </row>
    <row r="1418" spans="1:12" s="29" customFormat="1" ht="23.95" customHeight="1" x14ac:dyDescent="0.3">
      <c r="A1418" s="31"/>
      <c r="B1418" s="24">
        <v>1405</v>
      </c>
      <c r="C1418" s="24" t="s">
        <v>1478</v>
      </c>
      <c r="D1418" s="24" t="s">
        <v>13</v>
      </c>
      <c r="E1418" s="24" t="s">
        <v>9</v>
      </c>
      <c r="F1418" s="24">
        <v>8905</v>
      </c>
      <c r="G1418" s="25">
        <v>41815</v>
      </c>
      <c r="H1418" s="25">
        <v>43276</v>
      </c>
      <c r="I1418" s="24" t="s">
        <v>16</v>
      </c>
      <c r="J1418" s="24" t="s">
        <v>14</v>
      </c>
      <c r="K1418" s="24" t="str">
        <f>IF(certifications[[#This Row],[ISSUE DATE]]="", "", TEXT(certifications[[#This Row],[ISSUE DATE]], "MMM"))</f>
        <v>Jun</v>
      </c>
      <c r="L1418" s="35" t="str">
        <f>IF(certifications[[#This Row],[ISSUE DATE]]="", "", TEXT(certifications[[#This Row],[ISSUE DATE]], "YYYY"))</f>
        <v>2014</v>
      </c>
    </row>
    <row r="1419" spans="1:12" s="29" customFormat="1" ht="23.95" customHeight="1" x14ac:dyDescent="0.3">
      <c r="A1419" s="31"/>
      <c r="B1419" s="24">
        <v>1406</v>
      </c>
      <c r="C1419" s="24" t="s">
        <v>1479</v>
      </c>
      <c r="D1419" s="24" t="s">
        <v>164</v>
      </c>
      <c r="E1419" s="24" t="s">
        <v>9</v>
      </c>
      <c r="F1419" s="24">
        <v>16986</v>
      </c>
      <c r="G1419" s="25">
        <v>44516</v>
      </c>
      <c r="H1419" s="25">
        <v>45977</v>
      </c>
      <c r="I1419" s="24" t="s">
        <v>10</v>
      </c>
      <c r="J1419" s="24" t="s">
        <v>22</v>
      </c>
      <c r="K1419" s="24" t="str">
        <f>IF(certifications[[#This Row],[ISSUE DATE]]="", "", TEXT(certifications[[#This Row],[ISSUE DATE]], "MMM"))</f>
        <v>Nov</v>
      </c>
      <c r="L1419" s="35" t="str">
        <f>IF(certifications[[#This Row],[ISSUE DATE]]="", "", TEXT(certifications[[#This Row],[ISSUE DATE]], "YYYY"))</f>
        <v>2021</v>
      </c>
    </row>
    <row r="1420" spans="1:12" s="29" customFormat="1" ht="23.95" customHeight="1" x14ac:dyDescent="0.3">
      <c r="A1420" s="31"/>
      <c r="B1420" s="24">
        <v>1407</v>
      </c>
      <c r="C1420" s="24" t="s">
        <v>1480</v>
      </c>
      <c r="D1420" s="24" t="s">
        <v>24</v>
      </c>
      <c r="E1420" s="24" t="s">
        <v>9</v>
      </c>
      <c r="F1420" s="24">
        <v>9985</v>
      </c>
      <c r="G1420" s="25">
        <v>42746</v>
      </c>
      <c r="H1420" s="25">
        <v>46398</v>
      </c>
      <c r="I1420" s="24" t="s">
        <v>10</v>
      </c>
      <c r="J1420" s="24" t="s">
        <v>25</v>
      </c>
      <c r="K1420" s="24" t="str">
        <f>IF(certifications[[#This Row],[ISSUE DATE]]="", "", TEXT(certifications[[#This Row],[ISSUE DATE]], "MMM"))</f>
        <v>Jan</v>
      </c>
      <c r="L1420" s="35" t="str">
        <f>IF(certifications[[#This Row],[ISSUE DATE]]="", "", TEXT(certifications[[#This Row],[ISSUE DATE]], "YYYY"))</f>
        <v>2017</v>
      </c>
    </row>
    <row r="1421" spans="1:12" s="29" customFormat="1" ht="23.95" customHeight="1" x14ac:dyDescent="0.3">
      <c r="A1421" s="31"/>
      <c r="B1421" s="24">
        <v>1408</v>
      </c>
      <c r="C1421" s="24" t="s">
        <v>1481</v>
      </c>
      <c r="D1421" s="24" t="s">
        <v>150</v>
      </c>
      <c r="E1421" s="24" t="s">
        <v>9</v>
      </c>
      <c r="F1421" s="24">
        <v>20041</v>
      </c>
      <c r="G1421" s="25">
        <v>45376</v>
      </c>
      <c r="H1421" s="25">
        <v>46106</v>
      </c>
      <c r="I1421" s="24" t="s">
        <v>10</v>
      </c>
      <c r="J1421" s="24" t="s">
        <v>14</v>
      </c>
      <c r="K1421" s="24" t="str">
        <f>IF(certifications[[#This Row],[ISSUE DATE]]="", "", TEXT(certifications[[#This Row],[ISSUE DATE]], "MMM"))</f>
        <v>Mar</v>
      </c>
      <c r="L1421" s="35" t="str">
        <f>IF(certifications[[#This Row],[ISSUE DATE]]="", "", TEXT(certifications[[#This Row],[ISSUE DATE]], "YYYY"))</f>
        <v>2024</v>
      </c>
    </row>
    <row r="1422" spans="1:12" s="29" customFormat="1" ht="23.95" customHeight="1" x14ac:dyDescent="0.3">
      <c r="A1422" s="31"/>
      <c r="B1422" s="24">
        <v>1409</v>
      </c>
      <c r="C1422" s="24" t="s">
        <v>1482</v>
      </c>
      <c r="D1422" s="24" t="s">
        <v>269</v>
      </c>
      <c r="E1422" s="24" t="s">
        <v>9</v>
      </c>
      <c r="F1422" s="24">
        <v>11707</v>
      </c>
      <c r="G1422" s="25">
        <v>43272</v>
      </c>
      <c r="H1422" s="25">
        <v>44733</v>
      </c>
      <c r="I1422" s="24" t="s">
        <v>16</v>
      </c>
      <c r="J1422" s="24" t="s">
        <v>25</v>
      </c>
      <c r="K1422" s="24" t="str">
        <f>IF(certifications[[#This Row],[ISSUE DATE]]="", "", TEXT(certifications[[#This Row],[ISSUE DATE]], "MMM"))</f>
        <v>Jun</v>
      </c>
      <c r="L1422" s="35" t="str">
        <f>IF(certifications[[#This Row],[ISSUE DATE]]="", "", TEXT(certifications[[#This Row],[ISSUE DATE]], "YYYY"))</f>
        <v>2018</v>
      </c>
    </row>
    <row r="1423" spans="1:12" s="29" customFormat="1" ht="23.95" customHeight="1" x14ac:dyDescent="0.3">
      <c r="A1423" s="31"/>
      <c r="B1423" s="24">
        <v>1410</v>
      </c>
      <c r="C1423" s="24" t="s">
        <v>1483</v>
      </c>
      <c r="D1423" s="24" t="s">
        <v>169</v>
      </c>
      <c r="E1423" s="24" t="s">
        <v>9</v>
      </c>
      <c r="F1423" s="24">
        <v>11681</v>
      </c>
      <c r="G1423" s="25">
        <v>43269</v>
      </c>
      <c r="H1423" s="25">
        <v>44000</v>
      </c>
      <c r="I1423" s="24" t="s">
        <v>16</v>
      </c>
      <c r="J1423" s="24" t="s">
        <v>14</v>
      </c>
      <c r="K1423" s="24" t="str">
        <f>IF(certifications[[#This Row],[ISSUE DATE]]="", "", TEXT(certifications[[#This Row],[ISSUE DATE]], "MMM"))</f>
        <v>Jun</v>
      </c>
      <c r="L1423" s="35" t="str">
        <f>IF(certifications[[#This Row],[ISSUE DATE]]="", "", TEXT(certifications[[#This Row],[ISSUE DATE]], "YYYY"))</f>
        <v>2018</v>
      </c>
    </row>
    <row r="1424" spans="1:12" s="29" customFormat="1" ht="23.95" customHeight="1" x14ac:dyDescent="0.3">
      <c r="A1424" s="31"/>
      <c r="B1424" s="24">
        <v>1411</v>
      </c>
      <c r="C1424" s="24" t="s">
        <v>1484</v>
      </c>
      <c r="D1424" s="24" t="s">
        <v>141</v>
      </c>
      <c r="E1424" s="24" t="s">
        <v>9</v>
      </c>
      <c r="F1424" s="24">
        <v>8919</v>
      </c>
      <c r="G1424" s="25">
        <v>41816</v>
      </c>
      <c r="H1424" s="25">
        <v>44008</v>
      </c>
      <c r="I1424" s="24" t="s">
        <v>16</v>
      </c>
      <c r="J1424" s="24" t="s">
        <v>38</v>
      </c>
      <c r="K1424" s="24" t="str">
        <f>IF(certifications[[#This Row],[ISSUE DATE]]="", "", TEXT(certifications[[#This Row],[ISSUE DATE]], "MMM"))</f>
        <v>Jun</v>
      </c>
      <c r="L1424" s="35" t="str">
        <f>IF(certifications[[#This Row],[ISSUE DATE]]="", "", TEXT(certifications[[#This Row],[ISSUE DATE]], "YYYY"))</f>
        <v>2014</v>
      </c>
    </row>
    <row r="1425" spans="1:12" s="29" customFormat="1" ht="23.95" customHeight="1" x14ac:dyDescent="0.3">
      <c r="A1425" s="31"/>
      <c r="B1425" s="24">
        <v>1412</v>
      </c>
      <c r="C1425" s="24" t="s">
        <v>1484</v>
      </c>
      <c r="D1425" s="24" t="s">
        <v>141</v>
      </c>
      <c r="E1425" s="24" t="s">
        <v>26</v>
      </c>
      <c r="F1425" s="24">
        <v>8919</v>
      </c>
      <c r="G1425" s="25">
        <v>43334</v>
      </c>
      <c r="H1425" s="25">
        <v>44065</v>
      </c>
      <c r="I1425" s="24" t="s">
        <v>16</v>
      </c>
      <c r="J1425" s="24" t="s">
        <v>38</v>
      </c>
      <c r="K1425" s="24" t="str">
        <f>IF(certifications[[#This Row],[ISSUE DATE]]="", "", TEXT(certifications[[#This Row],[ISSUE DATE]], "MMM"))</f>
        <v>Aug</v>
      </c>
      <c r="L1425" s="35" t="str">
        <f>IF(certifications[[#This Row],[ISSUE DATE]]="", "", TEXT(certifications[[#This Row],[ISSUE DATE]], "YYYY"))</f>
        <v>2018</v>
      </c>
    </row>
    <row r="1426" spans="1:12" s="29" customFormat="1" ht="23.95" customHeight="1" x14ac:dyDescent="0.3">
      <c r="A1426" s="31"/>
      <c r="B1426" s="24">
        <v>1413</v>
      </c>
      <c r="C1426" s="24" t="s">
        <v>1485</v>
      </c>
      <c r="D1426" s="24" t="s">
        <v>1486</v>
      </c>
      <c r="E1426" s="24" t="s">
        <v>9</v>
      </c>
      <c r="F1426" s="24">
        <v>15705</v>
      </c>
      <c r="G1426" s="25">
        <v>44172</v>
      </c>
      <c r="H1426" s="25">
        <v>45633</v>
      </c>
      <c r="I1426" s="24" t="s">
        <v>82</v>
      </c>
      <c r="J1426" s="24" t="s">
        <v>30</v>
      </c>
      <c r="K1426" s="24" t="str">
        <f>IF(certifications[[#This Row],[ISSUE DATE]]="", "", TEXT(certifications[[#This Row],[ISSUE DATE]], "MMM"))</f>
        <v>Dec</v>
      </c>
      <c r="L1426" s="35" t="str">
        <f>IF(certifications[[#This Row],[ISSUE DATE]]="", "", TEXT(certifications[[#This Row],[ISSUE DATE]], "YYYY"))</f>
        <v>2020</v>
      </c>
    </row>
    <row r="1427" spans="1:12" s="29" customFormat="1" ht="23.95" customHeight="1" x14ac:dyDescent="0.3">
      <c r="A1427" s="31"/>
      <c r="B1427" s="24">
        <v>1414</v>
      </c>
      <c r="C1427" s="24" t="s">
        <v>1487</v>
      </c>
      <c r="D1427" s="24" t="s">
        <v>158</v>
      </c>
      <c r="E1427" s="24" t="s">
        <v>9</v>
      </c>
      <c r="F1427" s="24">
        <v>16309</v>
      </c>
      <c r="G1427" s="25">
        <v>44351</v>
      </c>
      <c r="H1427" s="25">
        <v>46542</v>
      </c>
      <c r="I1427" s="24" t="s">
        <v>10</v>
      </c>
      <c r="J1427" s="24" t="s">
        <v>30</v>
      </c>
      <c r="K1427" s="24" t="str">
        <f>IF(certifications[[#This Row],[ISSUE DATE]]="", "", TEXT(certifications[[#This Row],[ISSUE DATE]], "MMM"))</f>
        <v>Jun</v>
      </c>
      <c r="L1427" s="35" t="str">
        <f>IF(certifications[[#This Row],[ISSUE DATE]]="", "", TEXT(certifications[[#This Row],[ISSUE DATE]], "YYYY"))</f>
        <v>2021</v>
      </c>
    </row>
    <row r="1428" spans="1:12" s="29" customFormat="1" ht="23.95" customHeight="1" x14ac:dyDescent="0.3">
      <c r="A1428" s="31"/>
      <c r="B1428" s="24">
        <v>1415</v>
      </c>
      <c r="C1428" s="24" t="s">
        <v>1488</v>
      </c>
      <c r="D1428" s="24" t="s">
        <v>29</v>
      </c>
      <c r="E1428" s="24" t="s">
        <v>9</v>
      </c>
      <c r="F1428" s="24">
        <v>7163</v>
      </c>
      <c r="G1428" s="25">
        <v>43546</v>
      </c>
      <c r="H1428" s="25">
        <v>46341</v>
      </c>
      <c r="I1428" s="24" t="s">
        <v>10</v>
      </c>
      <c r="J1428" s="24" t="s">
        <v>30</v>
      </c>
      <c r="K1428" s="24" t="str">
        <f>IF(certifications[[#This Row],[ISSUE DATE]]="", "", TEXT(certifications[[#This Row],[ISSUE DATE]], "MMM"))</f>
        <v>Mar</v>
      </c>
      <c r="L1428" s="35" t="str">
        <f>IF(certifications[[#This Row],[ISSUE DATE]]="", "", TEXT(certifications[[#This Row],[ISSUE DATE]], "YYYY"))</f>
        <v>2019</v>
      </c>
    </row>
    <row r="1429" spans="1:12" s="29" customFormat="1" ht="23.95" customHeight="1" x14ac:dyDescent="0.3">
      <c r="A1429" s="31"/>
      <c r="B1429" s="24">
        <v>1416</v>
      </c>
      <c r="C1429" s="24" t="s">
        <v>1488</v>
      </c>
      <c r="D1429" s="24" t="s">
        <v>29</v>
      </c>
      <c r="E1429" s="24" t="s">
        <v>26</v>
      </c>
      <c r="F1429" s="24">
        <v>7163</v>
      </c>
      <c r="G1429" s="25">
        <v>43419</v>
      </c>
      <c r="H1429" s="25">
        <v>46341</v>
      </c>
      <c r="I1429" s="24" t="s">
        <v>10</v>
      </c>
      <c r="J1429" s="24" t="s">
        <v>30</v>
      </c>
      <c r="K1429" s="24" t="str">
        <f>IF(certifications[[#This Row],[ISSUE DATE]]="", "", TEXT(certifications[[#This Row],[ISSUE DATE]], "MMM"))</f>
        <v>Nov</v>
      </c>
      <c r="L1429" s="35" t="str">
        <f>IF(certifications[[#This Row],[ISSUE DATE]]="", "", TEXT(certifications[[#This Row],[ISSUE DATE]], "YYYY"))</f>
        <v>2018</v>
      </c>
    </row>
    <row r="1430" spans="1:12" s="29" customFormat="1" ht="23.95" customHeight="1" x14ac:dyDescent="0.3">
      <c r="A1430" s="31"/>
      <c r="B1430" s="24">
        <v>1417</v>
      </c>
      <c r="C1430" s="24" t="s">
        <v>1489</v>
      </c>
      <c r="D1430" s="24" t="s">
        <v>32</v>
      </c>
      <c r="E1430" s="24" t="s">
        <v>9</v>
      </c>
      <c r="F1430" s="24">
        <v>22102</v>
      </c>
      <c r="G1430" s="25">
        <v>45812</v>
      </c>
      <c r="H1430" s="25">
        <v>46542</v>
      </c>
      <c r="I1430" s="24" t="s">
        <v>10</v>
      </c>
      <c r="J1430" s="24" t="s">
        <v>33</v>
      </c>
      <c r="K1430" s="24" t="str">
        <f>IF(certifications[[#This Row],[ISSUE DATE]]="", "", TEXT(certifications[[#This Row],[ISSUE DATE]], "MMM"))</f>
        <v>Jun</v>
      </c>
      <c r="L1430" s="35" t="str">
        <f>IF(certifications[[#This Row],[ISSUE DATE]]="", "", TEXT(certifications[[#This Row],[ISSUE DATE]], "YYYY"))</f>
        <v>2025</v>
      </c>
    </row>
    <row r="1431" spans="1:12" s="29" customFormat="1" ht="23.95" customHeight="1" x14ac:dyDescent="0.3">
      <c r="A1431" s="31"/>
      <c r="B1431" s="24">
        <v>1418</v>
      </c>
      <c r="C1431" s="24" t="s">
        <v>1490</v>
      </c>
      <c r="D1431" s="24" t="s">
        <v>1272</v>
      </c>
      <c r="E1431" s="24" t="s">
        <v>9</v>
      </c>
      <c r="F1431" s="24">
        <v>10267</v>
      </c>
      <c r="G1431" s="25">
        <v>42908</v>
      </c>
      <c r="H1431" s="25">
        <v>44369</v>
      </c>
      <c r="I1431" s="24" t="s">
        <v>16</v>
      </c>
      <c r="J1431" s="24" t="s">
        <v>38</v>
      </c>
      <c r="K1431" s="24" t="str">
        <f>IF(certifications[[#This Row],[ISSUE DATE]]="", "", TEXT(certifications[[#This Row],[ISSUE DATE]], "MMM"))</f>
        <v>Jun</v>
      </c>
      <c r="L1431" s="35" t="str">
        <f>IF(certifications[[#This Row],[ISSUE DATE]]="", "", TEXT(certifications[[#This Row],[ISSUE DATE]], "YYYY"))</f>
        <v>2017</v>
      </c>
    </row>
    <row r="1432" spans="1:12" s="29" customFormat="1" ht="23.95" customHeight="1" x14ac:dyDescent="0.3">
      <c r="A1432" s="31"/>
      <c r="B1432" s="24">
        <v>1419</v>
      </c>
      <c r="C1432" s="24" t="s">
        <v>1490</v>
      </c>
      <c r="D1432" s="24" t="s">
        <v>1272</v>
      </c>
      <c r="E1432" s="24" t="s">
        <v>26</v>
      </c>
      <c r="F1432" s="24">
        <v>10267</v>
      </c>
      <c r="G1432" s="25">
        <v>43487</v>
      </c>
      <c r="H1432" s="25">
        <v>44218</v>
      </c>
      <c r="I1432" s="24" t="s">
        <v>16</v>
      </c>
      <c r="J1432" s="24" t="s">
        <v>38</v>
      </c>
      <c r="K1432" s="24" t="str">
        <f>IF(certifications[[#This Row],[ISSUE DATE]]="", "", TEXT(certifications[[#This Row],[ISSUE DATE]], "MMM"))</f>
        <v>Jan</v>
      </c>
      <c r="L1432" s="35" t="str">
        <f>IF(certifications[[#This Row],[ISSUE DATE]]="", "", TEXT(certifications[[#This Row],[ISSUE DATE]], "YYYY"))</f>
        <v>2019</v>
      </c>
    </row>
    <row r="1433" spans="1:12" s="29" customFormat="1" ht="23.95" customHeight="1" x14ac:dyDescent="0.3">
      <c r="A1433" s="31"/>
      <c r="B1433" s="24">
        <v>1420</v>
      </c>
      <c r="C1433" s="24" t="s">
        <v>1491</v>
      </c>
      <c r="D1433" s="24" t="s">
        <v>32</v>
      </c>
      <c r="E1433" s="24" t="s">
        <v>9</v>
      </c>
      <c r="F1433" s="24">
        <v>19308</v>
      </c>
      <c r="G1433" s="25">
        <v>45213</v>
      </c>
      <c r="H1433" s="25">
        <v>45944</v>
      </c>
      <c r="I1433" s="24" t="s">
        <v>10</v>
      </c>
      <c r="J1433" s="24" t="s">
        <v>33</v>
      </c>
      <c r="K1433" s="24" t="str">
        <f>IF(certifications[[#This Row],[ISSUE DATE]]="", "", TEXT(certifications[[#This Row],[ISSUE DATE]], "MMM"))</f>
        <v>Oct</v>
      </c>
      <c r="L1433" s="35" t="str">
        <f>IF(certifications[[#This Row],[ISSUE DATE]]="", "", TEXT(certifications[[#This Row],[ISSUE DATE]], "YYYY"))</f>
        <v>2023</v>
      </c>
    </row>
    <row r="1434" spans="1:12" s="29" customFormat="1" ht="23.95" customHeight="1" x14ac:dyDescent="0.3">
      <c r="A1434" s="31"/>
      <c r="B1434" s="24">
        <v>1421</v>
      </c>
      <c r="C1434" s="24" t="s">
        <v>1492</v>
      </c>
      <c r="D1434" s="24" t="s">
        <v>167</v>
      </c>
      <c r="E1434" s="24" t="s">
        <v>9</v>
      </c>
      <c r="F1434" s="24">
        <v>8763</v>
      </c>
      <c r="G1434" s="25">
        <v>41688</v>
      </c>
      <c r="H1434" s="25">
        <v>42418</v>
      </c>
      <c r="I1434" s="24" t="s">
        <v>16</v>
      </c>
      <c r="J1434" s="24" t="s">
        <v>30</v>
      </c>
      <c r="K1434" s="24" t="str">
        <f>IF(certifications[[#This Row],[ISSUE DATE]]="", "", TEXT(certifications[[#This Row],[ISSUE DATE]], "MMM"))</f>
        <v>Feb</v>
      </c>
      <c r="L1434" s="35" t="str">
        <f>IF(certifications[[#This Row],[ISSUE DATE]]="", "", TEXT(certifications[[#This Row],[ISSUE DATE]], "YYYY"))</f>
        <v>2014</v>
      </c>
    </row>
    <row r="1435" spans="1:12" s="29" customFormat="1" ht="23.95" customHeight="1" x14ac:dyDescent="0.3">
      <c r="A1435" s="31"/>
      <c r="B1435" s="24">
        <v>1422</v>
      </c>
      <c r="C1435" s="24" t="s">
        <v>1493</v>
      </c>
      <c r="D1435" s="24" t="s">
        <v>32</v>
      </c>
      <c r="E1435" s="24" t="s">
        <v>9</v>
      </c>
      <c r="F1435" s="24">
        <v>7899</v>
      </c>
      <c r="G1435" s="25">
        <v>44896</v>
      </c>
      <c r="H1435" s="25">
        <v>46357</v>
      </c>
      <c r="I1435" s="24" t="s">
        <v>10</v>
      </c>
      <c r="J1435" s="24" t="s">
        <v>33</v>
      </c>
      <c r="K1435" s="24" t="str">
        <f>IF(certifications[[#This Row],[ISSUE DATE]]="", "", TEXT(certifications[[#This Row],[ISSUE DATE]], "MMM"))</f>
        <v>Dec</v>
      </c>
      <c r="L1435" s="35" t="str">
        <f>IF(certifications[[#This Row],[ISSUE DATE]]="", "", TEXT(certifications[[#This Row],[ISSUE DATE]], "YYYY"))</f>
        <v>2022</v>
      </c>
    </row>
    <row r="1436" spans="1:12" s="29" customFormat="1" ht="23.95" customHeight="1" x14ac:dyDescent="0.3">
      <c r="A1436" s="31"/>
      <c r="B1436" s="24">
        <v>1423</v>
      </c>
      <c r="C1436" s="24" t="s">
        <v>1494</v>
      </c>
      <c r="D1436" s="24" t="s">
        <v>32</v>
      </c>
      <c r="E1436" s="24" t="s">
        <v>9</v>
      </c>
      <c r="F1436" s="24">
        <v>21573</v>
      </c>
      <c r="G1436" s="25">
        <v>45703</v>
      </c>
      <c r="H1436" s="25">
        <v>46433</v>
      </c>
      <c r="I1436" s="24" t="s">
        <v>10</v>
      </c>
      <c r="J1436" s="24" t="s">
        <v>33</v>
      </c>
      <c r="K1436" s="24" t="str">
        <f>IF(certifications[[#This Row],[ISSUE DATE]]="", "", TEXT(certifications[[#This Row],[ISSUE DATE]], "MMM"))</f>
        <v>Feb</v>
      </c>
      <c r="L1436" s="35" t="str">
        <f>IF(certifications[[#This Row],[ISSUE DATE]]="", "", TEXT(certifications[[#This Row],[ISSUE DATE]], "YYYY"))</f>
        <v>2025</v>
      </c>
    </row>
    <row r="1437" spans="1:12" s="29" customFormat="1" ht="23.95" customHeight="1" x14ac:dyDescent="0.3">
      <c r="A1437" s="31"/>
      <c r="B1437" s="24">
        <v>1424</v>
      </c>
      <c r="C1437" s="24" t="s">
        <v>1495</v>
      </c>
      <c r="D1437" s="24" t="s">
        <v>48</v>
      </c>
      <c r="E1437" s="24" t="s">
        <v>9</v>
      </c>
      <c r="F1437" s="24">
        <v>15698</v>
      </c>
      <c r="G1437" s="25">
        <v>44172</v>
      </c>
      <c r="H1437" s="25">
        <v>46363</v>
      </c>
      <c r="I1437" s="24" t="s">
        <v>10</v>
      </c>
      <c r="J1437" s="24" t="s">
        <v>38</v>
      </c>
      <c r="K1437" s="24" t="str">
        <f>IF(certifications[[#This Row],[ISSUE DATE]]="", "", TEXT(certifications[[#This Row],[ISSUE DATE]], "MMM"))</f>
        <v>Dec</v>
      </c>
      <c r="L1437" s="35" t="str">
        <f>IF(certifications[[#This Row],[ISSUE DATE]]="", "", TEXT(certifications[[#This Row],[ISSUE DATE]], "YYYY"))</f>
        <v>2020</v>
      </c>
    </row>
    <row r="1438" spans="1:12" s="29" customFormat="1" ht="23.95" customHeight="1" x14ac:dyDescent="0.3">
      <c r="A1438" s="31"/>
      <c r="B1438" s="24">
        <v>1425</v>
      </c>
      <c r="C1438" s="24" t="s">
        <v>1496</v>
      </c>
      <c r="D1438" s="24" t="s">
        <v>48</v>
      </c>
      <c r="E1438" s="24" t="s">
        <v>9</v>
      </c>
      <c r="F1438" s="24">
        <v>9730</v>
      </c>
      <c r="G1438" s="25">
        <v>42571</v>
      </c>
      <c r="H1438" s="25">
        <v>43301</v>
      </c>
      <c r="I1438" s="24" t="s">
        <v>16</v>
      </c>
      <c r="J1438" s="24" t="s">
        <v>38</v>
      </c>
      <c r="K1438" s="24" t="str">
        <f>IF(certifications[[#This Row],[ISSUE DATE]]="", "", TEXT(certifications[[#This Row],[ISSUE DATE]], "MMM"))</f>
        <v>Jul</v>
      </c>
      <c r="L1438" s="35" t="str">
        <f>IF(certifications[[#This Row],[ISSUE DATE]]="", "", TEXT(certifications[[#This Row],[ISSUE DATE]], "YYYY"))</f>
        <v>2016</v>
      </c>
    </row>
    <row r="1439" spans="1:12" s="29" customFormat="1" ht="23.95" customHeight="1" x14ac:dyDescent="0.3">
      <c r="A1439" s="31"/>
      <c r="B1439" s="24">
        <v>1426</v>
      </c>
      <c r="C1439" s="24" t="s">
        <v>1497</v>
      </c>
      <c r="D1439" s="24" t="s">
        <v>347</v>
      </c>
      <c r="E1439" s="24" t="s">
        <v>9</v>
      </c>
      <c r="F1439" s="24">
        <v>20327</v>
      </c>
      <c r="G1439" s="25">
        <v>45433</v>
      </c>
      <c r="H1439" s="25">
        <v>46163</v>
      </c>
      <c r="I1439" s="24" t="s">
        <v>10</v>
      </c>
      <c r="J1439" s="24" t="s">
        <v>25</v>
      </c>
      <c r="K1439" s="24" t="str">
        <f>IF(certifications[[#This Row],[ISSUE DATE]]="", "", TEXT(certifications[[#This Row],[ISSUE DATE]], "MMM"))</f>
        <v>May</v>
      </c>
      <c r="L1439" s="35" t="str">
        <f>IF(certifications[[#This Row],[ISSUE DATE]]="", "", TEXT(certifications[[#This Row],[ISSUE DATE]], "YYYY"))</f>
        <v>2024</v>
      </c>
    </row>
    <row r="1440" spans="1:12" s="29" customFormat="1" ht="23.95" customHeight="1" x14ac:dyDescent="0.3">
      <c r="A1440" s="31"/>
      <c r="B1440" s="24">
        <v>1427</v>
      </c>
      <c r="C1440" s="24" t="s">
        <v>1498</v>
      </c>
      <c r="D1440" s="24" t="s">
        <v>32</v>
      </c>
      <c r="E1440" s="24" t="s">
        <v>9</v>
      </c>
      <c r="F1440" s="24">
        <v>19737</v>
      </c>
      <c r="G1440" s="25">
        <v>45335</v>
      </c>
      <c r="H1440" s="25">
        <v>46066</v>
      </c>
      <c r="I1440" s="24" t="s">
        <v>10</v>
      </c>
      <c r="J1440" s="24" t="s">
        <v>33</v>
      </c>
      <c r="K1440" s="24" t="str">
        <f>IF(certifications[[#This Row],[ISSUE DATE]]="", "", TEXT(certifications[[#This Row],[ISSUE DATE]], "MMM"))</f>
        <v>Feb</v>
      </c>
      <c r="L1440" s="35" t="str">
        <f>IF(certifications[[#This Row],[ISSUE DATE]]="", "", TEXT(certifications[[#This Row],[ISSUE DATE]], "YYYY"))</f>
        <v>2024</v>
      </c>
    </row>
    <row r="1441" spans="1:12" s="29" customFormat="1" ht="23.95" customHeight="1" x14ac:dyDescent="0.3">
      <c r="A1441" s="31"/>
      <c r="B1441" s="24">
        <v>1428</v>
      </c>
      <c r="C1441" s="24" t="s">
        <v>1498</v>
      </c>
      <c r="D1441" s="24" t="s">
        <v>32</v>
      </c>
      <c r="E1441" s="24" t="s">
        <v>26</v>
      </c>
      <c r="F1441" s="24">
        <v>19737</v>
      </c>
      <c r="G1441" s="25">
        <v>45307</v>
      </c>
      <c r="H1441" s="25">
        <v>46038</v>
      </c>
      <c r="I1441" s="24" t="s">
        <v>10</v>
      </c>
      <c r="J1441" s="24" t="s">
        <v>33</v>
      </c>
      <c r="K1441" s="24" t="str">
        <f>IF(certifications[[#This Row],[ISSUE DATE]]="", "", TEXT(certifications[[#This Row],[ISSUE DATE]], "MMM"))</f>
        <v>Jan</v>
      </c>
      <c r="L1441" s="35" t="str">
        <f>IF(certifications[[#This Row],[ISSUE DATE]]="", "", TEXT(certifications[[#This Row],[ISSUE DATE]], "YYYY"))</f>
        <v>2024</v>
      </c>
    </row>
    <row r="1442" spans="1:12" s="29" customFormat="1" ht="23.95" customHeight="1" x14ac:dyDescent="0.3">
      <c r="A1442" s="31"/>
      <c r="B1442" s="24">
        <v>1429</v>
      </c>
      <c r="C1442" s="24" t="s">
        <v>1499</v>
      </c>
      <c r="D1442" s="24" t="s">
        <v>32</v>
      </c>
      <c r="E1442" s="24" t="s">
        <v>9</v>
      </c>
      <c r="F1442" s="24">
        <v>9564</v>
      </c>
      <c r="G1442" s="25">
        <v>42466</v>
      </c>
      <c r="H1442" s="25">
        <v>43196</v>
      </c>
      <c r="I1442" s="24" t="s">
        <v>16</v>
      </c>
      <c r="J1442" s="24" t="s">
        <v>33</v>
      </c>
      <c r="K1442" s="24" t="str">
        <f>IF(certifications[[#This Row],[ISSUE DATE]]="", "", TEXT(certifications[[#This Row],[ISSUE DATE]], "MMM"))</f>
        <v>Apr</v>
      </c>
      <c r="L1442" s="35" t="str">
        <f>IF(certifications[[#This Row],[ISSUE DATE]]="", "", TEXT(certifications[[#This Row],[ISSUE DATE]], "YYYY"))</f>
        <v>2016</v>
      </c>
    </row>
    <row r="1443" spans="1:12" s="29" customFormat="1" ht="23.95" customHeight="1" x14ac:dyDescent="0.3">
      <c r="A1443" s="31"/>
      <c r="B1443" s="24">
        <v>1430</v>
      </c>
      <c r="C1443" s="24" t="s">
        <v>1500</v>
      </c>
      <c r="D1443" s="24" t="s">
        <v>73</v>
      </c>
      <c r="E1443" s="24" t="s">
        <v>9</v>
      </c>
      <c r="F1443" s="24">
        <v>17243</v>
      </c>
      <c r="G1443" s="25">
        <v>44642</v>
      </c>
      <c r="H1443" s="25">
        <v>46103</v>
      </c>
      <c r="I1443" s="24" t="s">
        <v>10</v>
      </c>
      <c r="J1443" s="24" t="s">
        <v>30</v>
      </c>
      <c r="K1443" s="24" t="str">
        <f>IF(certifications[[#This Row],[ISSUE DATE]]="", "", TEXT(certifications[[#This Row],[ISSUE DATE]], "MMM"))</f>
        <v>Mar</v>
      </c>
      <c r="L1443" s="35" t="str">
        <f>IF(certifications[[#This Row],[ISSUE DATE]]="", "", TEXT(certifications[[#This Row],[ISSUE DATE]], "YYYY"))</f>
        <v>2022</v>
      </c>
    </row>
    <row r="1444" spans="1:12" s="29" customFormat="1" ht="23.95" customHeight="1" x14ac:dyDescent="0.3">
      <c r="A1444" s="31"/>
      <c r="B1444" s="24">
        <v>1431</v>
      </c>
      <c r="C1444" s="24" t="s">
        <v>1500</v>
      </c>
      <c r="D1444" s="24" t="s">
        <v>73</v>
      </c>
      <c r="E1444" s="24" t="s">
        <v>26</v>
      </c>
      <c r="F1444" s="24">
        <v>17243</v>
      </c>
      <c r="G1444" s="25">
        <v>44637</v>
      </c>
      <c r="H1444" s="25">
        <v>46098</v>
      </c>
      <c r="I1444" s="24" t="s">
        <v>10</v>
      </c>
      <c r="J1444" s="24" t="s">
        <v>30</v>
      </c>
      <c r="K1444" s="24" t="str">
        <f>IF(certifications[[#This Row],[ISSUE DATE]]="", "", TEXT(certifications[[#This Row],[ISSUE DATE]], "MMM"))</f>
        <v>Mar</v>
      </c>
      <c r="L1444" s="35" t="str">
        <f>IF(certifications[[#This Row],[ISSUE DATE]]="", "", TEXT(certifications[[#This Row],[ISSUE DATE]], "YYYY"))</f>
        <v>2022</v>
      </c>
    </row>
    <row r="1445" spans="1:12" s="29" customFormat="1" ht="23.95" customHeight="1" x14ac:dyDescent="0.3">
      <c r="A1445" s="31"/>
      <c r="B1445" s="24">
        <v>1432</v>
      </c>
      <c r="C1445" s="24" t="s">
        <v>1501</v>
      </c>
      <c r="D1445" s="24" t="s">
        <v>18</v>
      </c>
      <c r="E1445" s="24" t="s">
        <v>9</v>
      </c>
      <c r="F1445" s="24">
        <v>9822</v>
      </c>
      <c r="G1445" s="25">
        <v>45153</v>
      </c>
      <c r="H1445" s="25">
        <v>45884</v>
      </c>
      <c r="I1445" s="24" t="s">
        <v>10</v>
      </c>
      <c r="J1445" s="24" t="s">
        <v>19</v>
      </c>
      <c r="K1445" s="24" t="str">
        <f>IF(certifications[[#This Row],[ISSUE DATE]]="", "", TEXT(certifications[[#This Row],[ISSUE DATE]], "MMM"))</f>
        <v>Aug</v>
      </c>
      <c r="L1445" s="35" t="str">
        <f>IF(certifications[[#This Row],[ISSUE DATE]]="", "", TEXT(certifications[[#This Row],[ISSUE DATE]], "YYYY"))</f>
        <v>2023</v>
      </c>
    </row>
    <row r="1446" spans="1:12" s="29" customFormat="1" ht="23.95" customHeight="1" x14ac:dyDescent="0.3">
      <c r="A1446" s="31"/>
      <c r="B1446" s="24">
        <v>1433</v>
      </c>
      <c r="C1446" s="24" t="s">
        <v>1501</v>
      </c>
      <c r="D1446" s="24" t="s">
        <v>18</v>
      </c>
      <c r="E1446" s="24" t="s">
        <v>26</v>
      </c>
      <c r="F1446" s="24">
        <v>9822</v>
      </c>
      <c r="G1446" s="25">
        <v>45118</v>
      </c>
      <c r="H1446" s="25">
        <v>45849</v>
      </c>
      <c r="I1446" s="24" t="s">
        <v>10</v>
      </c>
      <c r="J1446" s="24" t="s">
        <v>19</v>
      </c>
      <c r="K1446" s="24" t="str">
        <f>IF(certifications[[#This Row],[ISSUE DATE]]="", "", TEXT(certifications[[#This Row],[ISSUE DATE]], "MMM"))</f>
        <v>Jul</v>
      </c>
      <c r="L1446" s="35" t="str">
        <f>IF(certifications[[#This Row],[ISSUE DATE]]="", "", TEXT(certifications[[#This Row],[ISSUE DATE]], "YYYY"))</f>
        <v>2023</v>
      </c>
    </row>
    <row r="1447" spans="1:12" s="29" customFormat="1" ht="23.95" customHeight="1" x14ac:dyDescent="0.3">
      <c r="A1447" s="31"/>
      <c r="B1447" s="24">
        <v>1434</v>
      </c>
      <c r="C1447" s="24" t="s">
        <v>1502</v>
      </c>
      <c r="D1447" s="24" t="s">
        <v>55</v>
      </c>
      <c r="E1447" s="24" t="s">
        <v>9</v>
      </c>
      <c r="F1447" s="24">
        <v>13584</v>
      </c>
      <c r="G1447" s="25">
        <v>43630</v>
      </c>
      <c r="H1447" s="25">
        <v>44361</v>
      </c>
      <c r="I1447" s="24" t="s">
        <v>321</v>
      </c>
      <c r="J1447" s="24" t="s">
        <v>11</v>
      </c>
      <c r="K1447" s="24" t="str">
        <f>IF(certifications[[#This Row],[ISSUE DATE]]="", "", TEXT(certifications[[#This Row],[ISSUE DATE]], "MMM"))</f>
        <v>Jun</v>
      </c>
      <c r="L1447" s="35" t="str">
        <f>IF(certifications[[#This Row],[ISSUE DATE]]="", "", TEXT(certifications[[#This Row],[ISSUE DATE]], "YYYY"))</f>
        <v>2019</v>
      </c>
    </row>
    <row r="1448" spans="1:12" s="29" customFormat="1" ht="23.95" customHeight="1" x14ac:dyDescent="0.3">
      <c r="A1448" s="31"/>
      <c r="B1448" s="24">
        <v>1435</v>
      </c>
      <c r="C1448" s="24" t="s">
        <v>1503</v>
      </c>
      <c r="D1448" s="24" t="s">
        <v>226</v>
      </c>
      <c r="E1448" s="24" t="s">
        <v>9</v>
      </c>
      <c r="F1448" s="24">
        <v>14954</v>
      </c>
      <c r="G1448" s="25">
        <v>43818</v>
      </c>
      <c r="H1448" s="25">
        <v>46010</v>
      </c>
      <c r="I1448" s="24" t="s">
        <v>10</v>
      </c>
      <c r="J1448" s="24" t="s">
        <v>30</v>
      </c>
      <c r="K1448" s="24" t="str">
        <f>IF(certifications[[#This Row],[ISSUE DATE]]="", "", TEXT(certifications[[#This Row],[ISSUE DATE]], "MMM"))</f>
        <v>Dec</v>
      </c>
      <c r="L1448" s="35" t="str">
        <f>IF(certifications[[#This Row],[ISSUE DATE]]="", "", TEXT(certifications[[#This Row],[ISSUE DATE]], "YYYY"))</f>
        <v>2019</v>
      </c>
    </row>
    <row r="1449" spans="1:12" s="29" customFormat="1" ht="23.95" customHeight="1" x14ac:dyDescent="0.3">
      <c r="A1449" s="31"/>
      <c r="B1449" s="24">
        <v>1436</v>
      </c>
      <c r="C1449" s="24" t="s">
        <v>1503</v>
      </c>
      <c r="D1449" s="24" t="s">
        <v>226</v>
      </c>
      <c r="E1449" s="24" t="s">
        <v>26</v>
      </c>
      <c r="F1449" s="24">
        <v>14954</v>
      </c>
      <c r="G1449" s="25">
        <v>44244</v>
      </c>
      <c r="H1449" s="25">
        <v>46010</v>
      </c>
      <c r="I1449" s="24" t="s">
        <v>10</v>
      </c>
      <c r="J1449" s="24" t="s">
        <v>30</v>
      </c>
      <c r="K1449" s="24" t="str">
        <f>IF(certifications[[#This Row],[ISSUE DATE]]="", "", TEXT(certifications[[#This Row],[ISSUE DATE]], "MMM"))</f>
        <v>Feb</v>
      </c>
      <c r="L1449" s="35" t="str">
        <f>IF(certifications[[#This Row],[ISSUE DATE]]="", "", TEXT(certifications[[#This Row],[ISSUE DATE]], "YYYY"))</f>
        <v>2021</v>
      </c>
    </row>
    <row r="1450" spans="1:12" s="29" customFormat="1" ht="23.95" customHeight="1" x14ac:dyDescent="0.3">
      <c r="A1450" s="31"/>
      <c r="B1450" s="24">
        <v>1437</v>
      </c>
      <c r="C1450" s="24" t="s">
        <v>1504</v>
      </c>
      <c r="D1450" s="24" t="s">
        <v>80</v>
      </c>
      <c r="E1450" s="24" t="s">
        <v>9</v>
      </c>
      <c r="F1450" s="24">
        <v>17308</v>
      </c>
      <c r="G1450" s="25">
        <v>44656</v>
      </c>
      <c r="H1450" s="25">
        <v>45387</v>
      </c>
      <c r="I1450" s="24" t="s">
        <v>16</v>
      </c>
      <c r="J1450" s="24" t="s">
        <v>38</v>
      </c>
      <c r="K1450" s="24" t="str">
        <f>IF(certifications[[#This Row],[ISSUE DATE]]="", "", TEXT(certifications[[#This Row],[ISSUE DATE]], "MMM"))</f>
        <v>Apr</v>
      </c>
      <c r="L1450" s="35" t="str">
        <f>IF(certifications[[#This Row],[ISSUE DATE]]="", "", TEXT(certifications[[#This Row],[ISSUE DATE]], "YYYY"))</f>
        <v>2022</v>
      </c>
    </row>
    <row r="1451" spans="1:12" s="29" customFormat="1" ht="23.95" customHeight="1" x14ac:dyDescent="0.3">
      <c r="A1451" s="31"/>
      <c r="B1451" s="24">
        <v>1438</v>
      </c>
      <c r="C1451" s="24" t="s">
        <v>1505</v>
      </c>
      <c r="D1451" s="24" t="s">
        <v>1272</v>
      </c>
      <c r="E1451" s="24" t="s">
        <v>9</v>
      </c>
      <c r="F1451" s="24">
        <v>16184</v>
      </c>
      <c r="G1451" s="25">
        <v>44304</v>
      </c>
      <c r="H1451" s="25">
        <v>45034</v>
      </c>
      <c r="I1451" s="24" t="s">
        <v>16</v>
      </c>
      <c r="J1451" s="24" t="s">
        <v>38</v>
      </c>
      <c r="K1451" s="24" t="str">
        <f>IF(certifications[[#This Row],[ISSUE DATE]]="", "", TEXT(certifications[[#This Row],[ISSUE DATE]], "MMM"))</f>
        <v>Apr</v>
      </c>
      <c r="L1451" s="35" t="str">
        <f>IF(certifications[[#This Row],[ISSUE DATE]]="", "", TEXT(certifications[[#This Row],[ISSUE DATE]], "YYYY"))</f>
        <v>2021</v>
      </c>
    </row>
    <row r="1452" spans="1:12" s="29" customFormat="1" ht="23.95" customHeight="1" x14ac:dyDescent="0.3">
      <c r="A1452" s="31"/>
      <c r="B1452" s="24">
        <v>1439</v>
      </c>
      <c r="C1452" s="24" t="s">
        <v>1506</v>
      </c>
      <c r="D1452" s="24" t="s">
        <v>1507</v>
      </c>
      <c r="E1452" s="24" t="s">
        <v>9</v>
      </c>
      <c r="F1452" s="24">
        <v>18950</v>
      </c>
      <c r="G1452" s="25">
        <v>45139</v>
      </c>
      <c r="H1452" s="25">
        <v>45870</v>
      </c>
      <c r="I1452" s="24" t="s">
        <v>10</v>
      </c>
      <c r="J1452" s="24" t="s">
        <v>30</v>
      </c>
      <c r="K1452" s="24" t="str">
        <f>IF(certifications[[#This Row],[ISSUE DATE]]="", "", TEXT(certifications[[#This Row],[ISSUE DATE]], "MMM"))</f>
        <v>Aug</v>
      </c>
      <c r="L1452" s="35" t="str">
        <f>IF(certifications[[#This Row],[ISSUE DATE]]="", "", TEXT(certifications[[#This Row],[ISSUE DATE]], "YYYY"))</f>
        <v>2023</v>
      </c>
    </row>
    <row r="1453" spans="1:12" s="29" customFormat="1" ht="23.95" customHeight="1" x14ac:dyDescent="0.3">
      <c r="A1453" s="31"/>
      <c r="B1453" s="24">
        <v>1440</v>
      </c>
      <c r="C1453" s="24" t="s">
        <v>1508</v>
      </c>
      <c r="D1453" s="24" t="s">
        <v>40</v>
      </c>
      <c r="E1453" s="24" t="s">
        <v>9</v>
      </c>
      <c r="F1453" s="24">
        <v>11708</v>
      </c>
      <c r="G1453" s="25">
        <v>43272</v>
      </c>
      <c r="H1453" s="25">
        <v>44003</v>
      </c>
      <c r="I1453" s="24" t="s">
        <v>16</v>
      </c>
      <c r="J1453" s="24" t="s">
        <v>25</v>
      </c>
      <c r="K1453" s="24" t="str">
        <f>IF(certifications[[#This Row],[ISSUE DATE]]="", "", TEXT(certifications[[#This Row],[ISSUE DATE]], "MMM"))</f>
        <v>Jun</v>
      </c>
      <c r="L1453" s="35" t="str">
        <f>IF(certifications[[#This Row],[ISSUE DATE]]="", "", TEXT(certifications[[#This Row],[ISSUE DATE]], "YYYY"))</f>
        <v>2018</v>
      </c>
    </row>
    <row r="1454" spans="1:12" s="29" customFormat="1" ht="23.95" customHeight="1" x14ac:dyDescent="0.3">
      <c r="A1454" s="31"/>
      <c r="B1454" s="24">
        <v>1441</v>
      </c>
      <c r="C1454" s="24" t="s">
        <v>1509</v>
      </c>
      <c r="D1454" s="24" t="s">
        <v>13</v>
      </c>
      <c r="E1454" s="24" t="s">
        <v>9</v>
      </c>
      <c r="F1454" s="24">
        <v>9182</v>
      </c>
      <c r="G1454" s="25">
        <v>42144</v>
      </c>
      <c r="H1454" s="25">
        <v>42875</v>
      </c>
      <c r="I1454" s="24" t="s">
        <v>16</v>
      </c>
      <c r="J1454" s="24" t="s">
        <v>14</v>
      </c>
      <c r="K1454" s="24" t="str">
        <f>IF(certifications[[#This Row],[ISSUE DATE]]="", "", TEXT(certifications[[#This Row],[ISSUE DATE]], "MMM"))</f>
        <v>May</v>
      </c>
      <c r="L1454" s="35" t="str">
        <f>IF(certifications[[#This Row],[ISSUE DATE]]="", "", TEXT(certifications[[#This Row],[ISSUE DATE]], "YYYY"))</f>
        <v>2015</v>
      </c>
    </row>
    <row r="1455" spans="1:12" s="29" customFormat="1" ht="23.95" customHeight="1" x14ac:dyDescent="0.3">
      <c r="A1455" s="31"/>
      <c r="B1455" s="24">
        <v>1442</v>
      </c>
      <c r="C1455" s="24" t="s">
        <v>1510</v>
      </c>
      <c r="D1455" s="24" t="s">
        <v>18</v>
      </c>
      <c r="E1455" s="24" t="s">
        <v>9</v>
      </c>
      <c r="F1455" s="24">
        <v>7445</v>
      </c>
      <c r="G1455" s="25">
        <v>40169</v>
      </c>
      <c r="H1455" s="25">
        <v>46013</v>
      </c>
      <c r="I1455" s="24" t="s">
        <v>10</v>
      </c>
      <c r="J1455" s="24" t="s">
        <v>19</v>
      </c>
      <c r="K1455" s="24" t="str">
        <f>IF(certifications[[#This Row],[ISSUE DATE]]="", "", TEXT(certifications[[#This Row],[ISSUE DATE]], "MMM"))</f>
        <v>Dec</v>
      </c>
      <c r="L1455" s="35" t="str">
        <f>IF(certifications[[#This Row],[ISSUE DATE]]="", "", TEXT(certifications[[#This Row],[ISSUE DATE]], "YYYY"))</f>
        <v>2009</v>
      </c>
    </row>
    <row r="1456" spans="1:12" s="29" customFormat="1" ht="23.95" customHeight="1" x14ac:dyDescent="0.3">
      <c r="A1456" s="31"/>
      <c r="B1456" s="24">
        <v>1443</v>
      </c>
      <c r="C1456" s="24" t="s">
        <v>1511</v>
      </c>
      <c r="D1456" s="24" t="s">
        <v>465</v>
      </c>
      <c r="E1456" s="24" t="s">
        <v>9</v>
      </c>
      <c r="F1456" s="24">
        <v>17933</v>
      </c>
      <c r="G1456" s="25">
        <v>44840</v>
      </c>
      <c r="H1456" s="25">
        <v>45571</v>
      </c>
      <c r="I1456" s="24" t="s">
        <v>82</v>
      </c>
      <c r="J1456" s="24" t="s">
        <v>22</v>
      </c>
      <c r="K1456" s="24" t="str">
        <f>IF(certifications[[#This Row],[ISSUE DATE]]="", "", TEXT(certifications[[#This Row],[ISSUE DATE]], "MMM"))</f>
        <v>Oct</v>
      </c>
      <c r="L1456" s="35" t="str">
        <f>IF(certifications[[#This Row],[ISSUE DATE]]="", "", TEXT(certifications[[#This Row],[ISSUE DATE]], "YYYY"))</f>
        <v>2022</v>
      </c>
    </row>
    <row r="1457" spans="1:12" s="29" customFormat="1" ht="23.95" customHeight="1" x14ac:dyDescent="0.3">
      <c r="A1457" s="31"/>
      <c r="B1457" s="24">
        <v>1444</v>
      </c>
      <c r="C1457" s="24" t="s">
        <v>1512</v>
      </c>
      <c r="D1457" s="24" t="s">
        <v>32</v>
      </c>
      <c r="E1457" s="24" t="s">
        <v>9</v>
      </c>
      <c r="F1457" s="24">
        <v>18339</v>
      </c>
      <c r="G1457" s="25">
        <v>45387</v>
      </c>
      <c r="H1457" s="25">
        <v>46117</v>
      </c>
      <c r="I1457" s="24" t="s">
        <v>10</v>
      </c>
      <c r="J1457" s="24" t="s">
        <v>33</v>
      </c>
      <c r="K1457" s="24" t="str">
        <f>IF(certifications[[#This Row],[ISSUE DATE]]="", "", TEXT(certifications[[#This Row],[ISSUE DATE]], "MMM"))</f>
        <v>Apr</v>
      </c>
      <c r="L1457" s="35" t="str">
        <f>IF(certifications[[#This Row],[ISSUE DATE]]="", "", TEXT(certifications[[#This Row],[ISSUE DATE]], "YYYY"))</f>
        <v>2024</v>
      </c>
    </row>
    <row r="1458" spans="1:12" s="29" customFormat="1" ht="23.95" customHeight="1" x14ac:dyDescent="0.3">
      <c r="A1458" s="31"/>
      <c r="B1458" s="24">
        <v>1445</v>
      </c>
      <c r="C1458" s="24" t="s">
        <v>1512</v>
      </c>
      <c r="D1458" s="24" t="s">
        <v>32</v>
      </c>
      <c r="E1458" s="24" t="s">
        <v>26</v>
      </c>
      <c r="F1458" s="24">
        <v>18339</v>
      </c>
      <c r="G1458" s="25">
        <v>45383</v>
      </c>
      <c r="H1458" s="25">
        <v>46113</v>
      </c>
      <c r="I1458" s="24" t="s">
        <v>10</v>
      </c>
      <c r="J1458" s="24" t="s">
        <v>33</v>
      </c>
      <c r="K1458" s="24" t="str">
        <f>IF(certifications[[#This Row],[ISSUE DATE]]="", "", TEXT(certifications[[#This Row],[ISSUE DATE]], "MMM"))</f>
        <v>Apr</v>
      </c>
      <c r="L1458" s="35" t="str">
        <f>IF(certifications[[#This Row],[ISSUE DATE]]="", "", TEXT(certifications[[#This Row],[ISSUE DATE]], "YYYY"))</f>
        <v>2024</v>
      </c>
    </row>
    <row r="1459" spans="1:12" s="29" customFormat="1" ht="23.95" customHeight="1" x14ac:dyDescent="0.3">
      <c r="A1459" s="31"/>
      <c r="B1459" s="24">
        <v>1446</v>
      </c>
      <c r="C1459" s="24" t="s">
        <v>1513</v>
      </c>
      <c r="D1459" s="24" t="s">
        <v>32</v>
      </c>
      <c r="E1459" s="24" t="s">
        <v>9</v>
      </c>
      <c r="F1459" s="24">
        <v>20891</v>
      </c>
      <c r="G1459" s="25">
        <v>45561</v>
      </c>
      <c r="H1459" s="25">
        <v>46291</v>
      </c>
      <c r="I1459" s="24" t="s">
        <v>10</v>
      </c>
      <c r="J1459" s="24" t="s">
        <v>33</v>
      </c>
      <c r="K1459" s="24" t="str">
        <f>IF(certifications[[#This Row],[ISSUE DATE]]="", "", TEXT(certifications[[#This Row],[ISSUE DATE]], "MMM"))</f>
        <v>Sep</v>
      </c>
      <c r="L1459" s="35" t="str">
        <f>IF(certifications[[#This Row],[ISSUE DATE]]="", "", TEXT(certifications[[#This Row],[ISSUE DATE]], "YYYY"))</f>
        <v>2024</v>
      </c>
    </row>
    <row r="1460" spans="1:12" s="29" customFormat="1" ht="23.95" customHeight="1" x14ac:dyDescent="0.3">
      <c r="A1460" s="31"/>
      <c r="B1460" s="24">
        <v>1447</v>
      </c>
      <c r="C1460" s="24" t="s">
        <v>1514</v>
      </c>
      <c r="D1460" s="24" t="s">
        <v>32</v>
      </c>
      <c r="E1460" s="24" t="s">
        <v>9</v>
      </c>
      <c r="F1460" s="24">
        <v>13343</v>
      </c>
      <c r="G1460" s="25">
        <v>43599</v>
      </c>
      <c r="H1460" s="25">
        <v>44330</v>
      </c>
      <c r="I1460" s="24" t="s">
        <v>16</v>
      </c>
      <c r="J1460" s="24" t="s">
        <v>33</v>
      </c>
      <c r="K1460" s="24" t="str">
        <f>IF(certifications[[#This Row],[ISSUE DATE]]="", "", TEXT(certifications[[#This Row],[ISSUE DATE]], "MMM"))</f>
        <v>May</v>
      </c>
      <c r="L1460" s="35" t="str">
        <f>IF(certifications[[#This Row],[ISSUE DATE]]="", "", TEXT(certifications[[#This Row],[ISSUE DATE]], "YYYY"))</f>
        <v>2019</v>
      </c>
    </row>
    <row r="1461" spans="1:12" s="29" customFormat="1" ht="23.95" customHeight="1" x14ac:dyDescent="0.3">
      <c r="A1461" s="31"/>
      <c r="B1461" s="24">
        <v>1448</v>
      </c>
      <c r="C1461" s="24" t="s">
        <v>1515</v>
      </c>
      <c r="D1461" s="24" t="s">
        <v>700</v>
      </c>
      <c r="E1461" s="24" t="s">
        <v>9</v>
      </c>
      <c r="F1461" s="24">
        <v>10120</v>
      </c>
      <c r="G1461" s="25">
        <v>42846</v>
      </c>
      <c r="H1461" s="25">
        <v>43576</v>
      </c>
      <c r="I1461" s="24" t="s">
        <v>16</v>
      </c>
      <c r="J1461" s="24" t="s">
        <v>30</v>
      </c>
      <c r="K1461" s="24" t="str">
        <f>IF(certifications[[#This Row],[ISSUE DATE]]="", "", TEXT(certifications[[#This Row],[ISSUE DATE]], "MMM"))</f>
        <v>Apr</v>
      </c>
      <c r="L1461" s="35" t="str">
        <f>IF(certifications[[#This Row],[ISSUE DATE]]="", "", TEXT(certifications[[#This Row],[ISSUE DATE]], "YYYY"))</f>
        <v>2017</v>
      </c>
    </row>
    <row r="1462" spans="1:12" s="29" customFormat="1" ht="23.95" customHeight="1" x14ac:dyDescent="0.3">
      <c r="A1462" s="31"/>
      <c r="B1462" s="24">
        <v>1449</v>
      </c>
      <c r="C1462" s="24" t="s">
        <v>1516</v>
      </c>
      <c r="D1462" s="24" t="s">
        <v>1517</v>
      </c>
      <c r="E1462" s="24" t="s">
        <v>26</v>
      </c>
      <c r="F1462" s="24">
        <v>15787</v>
      </c>
      <c r="G1462" s="25">
        <v>44187</v>
      </c>
      <c r="H1462" s="25">
        <v>46378</v>
      </c>
      <c r="I1462" s="24" t="s">
        <v>10</v>
      </c>
      <c r="J1462" s="24" t="s">
        <v>22</v>
      </c>
      <c r="K1462" s="24" t="str">
        <f>IF(certifications[[#This Row],[ISSUE DATE]]="", "", TEXT(certifications[[#This Row],[ISSUE DATE]], "MMM"))</f>
        <v>Dec</v>
      </c>
      <c r="L1462" s="35" t="str">
        <f>IF(certifications[[#This Row],[ISSUE DATE]]="", "", TEXT(certifications[[#This Row],[ISSUE DATE]], "YYYY"))</f>
        <v>2020</v>
      </c>
    </row>
    <row r="1463" spans="1:12" s="29" customFormat="1" ht="23.95" customHeight="1" x14ac:dyDescent="0.3">
      <c r="A1463" s="31"/>
      <c r="B1463" s="24">
        <v>1450</v>
      </c>
      <c r="C1463" s="24" t="s">
        <v>1518</v>
      </c>
      <c r="D1463" s="24" t="s">
        <v>241</v>
      </c>
      <c r="E1463" s="24" t="s">
        <v>9</v>
      </c>
      <c r="F1463" s="24">
        <v>8476</v>
      </c>
      <c r="G1463" s="25">
        <v>44092</v>
      </c>
      <c r="H1463" s="25">
        <v>46283</v>
      </c>
      <c r="I1463" s="24" t="s">
        <v>10</v>
      </c>
      <c r="J1463" s="24" t="s">
        <v>22</v>
      </c>
      <c r="K1463" s="24" t="str">
        <f>IF(certifications[[#This Row],[ISSUE DATE]]="", "", TEXT(certifications[[#This Row],[ISSUE DATE]], "MMM"))</f>
        <v>Sep</v>
      </c>
      <c r="L1463" s="35" t="str">
        <f>IF(certifications[[#This Row],[ISSUE DATE]]="", "", TEXT(certifications[[#This Row],[ISSUE DATE]], "YYYY"))</f>
        <v>2020</v>
      </c>
    </row>
    <row r="1464" spans="1:12" s="29" customFormat="1" ht="23.95" customHeight="1" x14ac:dyDescent="0.3">
      <c r="A1464" s="31"/>
      <c r="B1464" s="24">
        <v>1451</v>
      </c>
      <c r="C1464" s="24" t="s">
        <v>1518</v>
      </c>
      <c r="D1464" s="24" t="s">
        <v>241</v>
      </c>
      <c r="E1464" s="24" t="s">
        <v>26</v>
      </c>
      <c r="F1464" s="24">
        <v>8476</v>
      </c>
      <c r="G1464" s="25">
        <v>44187</v>
      </c>
      <c r="H1464" s="25">
        <v>44917</v>
      </c>
      <c r="I1464" s="24" t="s">
        <v>16</v>
      </c>
      <c r="J1464" s="24" t="s">
        <v>22</v>
      </c>
      <c r="K1464" s="24" t="str">
        <f>IF(certifications[[#This Row],[ISSUE DATE]]="", "", TEXT(certifications[[#This Row],[ISSUE DATE]], "MMM"))</f>
        <v>Dec</v>
      </c>
      <c r="L1464" s="35" t="str">
        <f>IF(certifications[[#This Row],[ISSUE DATE]]="", "", TEXT(certifications[[#This Row],[ISSUE DATE]], "YYYY"))</f>
        <v>2020</v>
      </c>
    </row>
    <row r="1465" spans="1:12" s="29" customFormat="1" ht="23.95" customHeight="1" x14ac:dyDescent="0.3">
      <c r="A1465" s="31"/>
      <c r="B1465" s="24">
        <v>1452</v>
      </c>
      <c r="C1465" s="24" t="s">
        <v>1519</v>
      </c>
      <c r="D1465" s="24" t="s">
        <v>48</v>
      </c>
      <c r="E1465" s="24" t="s">
        <v>9</v>
      </c>
      <c r="F1465" s="24">
        <v>16515</v>
      </c>
      <c r="G1465" s="25">
        <v>44372</v>
      </c>
      <c r="H1465" s="25">
        <v>45833</v>
      </c>
      <c r="I1465" s="24" t="s">
        <v>10</v>
      </c>
      <c r="J1465" s="24" t="s">
        <v>38</v>
      </c>
      <c r="K1465" s="24" t="str">
        <f>IF(certifications[[#This Row],[ISSUE DATE]]="", "", TEXT(certifications[[#This Row],[ISSUE DATE]], "MMM"))</f>
        <v>Jun</v>
      </c>
      <c r="L1465" s="35" t="str">
        <f>IF(certifications[[#This Row],[ISSUE DATE]]="", "", TEXT(certifications[[#This Row],[ISSUE DATE]], "YYYY"))</f>
        <v>2021</v>
      </c>
    </row>
    <row r="1466" spans="1:12" s="29" customFormat="1" ht="23.95" customHeight="1" x14ac:dyDescent="0.3">
      <c r="A1466" s="31"/>
      <c r="B1466" s="24">
        <v>1453</v>
      </c>
      <c r="C1466" s="24" t="s">
        <v>1520</v>
      </c>
      <c r="D1466" s="24" t="s">
        <v>1272</v>
      </c>
      <c r="E1466" s="24" t="s">
        <v>9</v>
      </c>
      <c r="F1466" s="24">
        <v>13743</v>
      </c>
      <c r="G1466" s="25">
        <v>43641</v>
      </c>
      <c r="H1466" s="25">
        <v>45102</v>
      </c>
      <c r="I1466" s="24" t="s">
        <v>16</v>
      </c>
      <c r="J1466" s="24" t="s">
        <v>38</v>
      </c>
      <c r="K1466" s="24" t="str">
        <f>IF(certifications[[#This Row],[ISSUE DATE]]="", "", TEXT(certifications[[#This Row],[ISSUE DATE]], "MMM"))</f>
        <v>Jun</v>
      </c>
      <c r="L1466" s="35" t="str">
        <f>IF(certifications[[#This Row],[ISSUE DATE]]="", "", TEXT(certifications[[#This Row],[ISSUE DATE]], "YYYY"))</f>
        <v>2019</v>
      </c>
    </row>
    <row r="1467" spans="1:12" s="29" customFormat="1" ht="23.95" customHeight="1" x14ac:dyDescent="0.3">
      <c r="A1467" s="31"/>
      <c r="B1467" s="24">
        <v>1454</v>
      </c>
      <c r="C1467" s="24" t="s">
        <v>1521</v>
      </c>
      <c r="D1467" s="24" t="s">
        <v>260</v>
      </c>
      <c r="E1467" s="24" t="s">
        <v>9</v>
      </c>
      <c r="F1467" s="24">
        <v>13342</v>
      </c>
      <c r="G1467" s="25">
        <v>43599</v>
      </c>
      <c r="H1467" s="25">
        <v>46521</v>
      </c>
      <c r="I1467" s="24" t="s">
        <v>10</v>
      </c>
      <c r="J1467" s="24" t="s">
        <v>14</v>
      </c>
      <c r="K1467" s="24" t="str">
        <f>IF(certifications[[#This Row],[ISSUE DATE]]="", "", TEXT(certifications[[#This Row],[ISSUE DATE]], "MMM"))</f>
        <v>May</v>
      </c>
      <c r="L1467" s="35" t="str">
        <f>IF(certifications[[#This Row],[ISSUE DATE]]="", "", TEXT(certifications[[#This Row],[ISSUE DATE]], "YYYY"))</f>
        <v>2019</v>
      </c>
    </row>
    <row r="1468" spans="1:12" s="29" customFormat="1" ht="23.95" customHeight="1" x14ac:dyDescent="0.3">
      <c r="A1468" s="31"/>
      <c r="B1468" s="24">
        <v>1455</v>
      </c>
      <c r="C1468" s="24" t="s">
        <v>1522</v>
      </c>
      <c r="D1468" s="24" t="s">
        <v>32</v>
      </c>
      <c r="E1468" s="24" t="s">
        <v>9</v>
      </c>
      <c r="F1468" s="24">
        <v>10024</v>
      </c>
      <c r="G1468" s="25">
        <v>42766</v>
      </c>
      <c r="H1468" s="25">
        <v>43496</v>
      </c>
      <c r="I1468" s="24" t="s">
        <v>16</v>
      </c>
      <c r="J1468" s="24" t="s">
        <v>33</v>
      </c>
      <c r="K1468" s="24" t="str">
        <f>IF(certifications[[#This Row],[ISSUE DATE]]="", "", TEXT(certifications[[#This Row],[ISSUE DATE]], "MMM"))</f>
        <v>Jan</v>
      </c>
      <c r="L1468" s="35" t="str">
        <f>IF(certifications[[#This Row],[ISSUE DATE]]="", "", TEXT(certifications[[#This Row],[ISSUE DATE]], "YYYY"))</f>
        <v>2017</v>
      </c>
    </row>
    <row r="1469" spans="1:12" s="29" customFormat="1" ht="23.95" customHeight="1" x14ac:dyDescent="0.3">
      <c r="A1469" s="31"/>
      <c r="B1469" s="24">
        <v>1456</v>
      </c>
      <c r="C1469" s="24" t="s">
        <v>1523</v>
      </c>
      <c r="D1469" s="24" t="s">
        <v>32</v>
      </c>
      <c r="E1469" s="24" t="s">
        <v>9</v>
      </c>
      <c r="F1469" s="24">
        <v>9027</v>
      </c>
      <c r="G1469" s="25">
        <v>41905</v>
      </c>
      <c r="H1469" s="25">
        <v>42636</v>
      </c>
      <c r="I1469" s="24" t="s">
        <v>16</v>
      </c>
      <c r="J1469" s="24" t="s">
        <v>33</v>
      </c>
      <c r="K1469" s="24" t="str">
        <f>IF(certifications[[#This Row],[ISSUE DATE]]="", "", TEXT(certifications[[#This Row],[ISSUE DATE]], "MMM"))</f>
        <v>Sep</v>
      </c>
      <c r="L1469" s="35" t="str">
        <f>IF(certifications[[#This Row],[ISSUE DATE]]="", "", TEXT(certifications[[#This Row],[ISSUE DATE]], "YYYY"))</f>
        <v>2014</v>
      </c>
    </row>
    <row r="1470" spans="1:12" s="29" customFormat="1" ht="23.95" customHeight="1" x14ac:dyDescent="0.3">
      <c r="A1470" s="31"/>
      <c r="B1470" s="24">
        <v>1457</v>
      </c>
      <c r="C1470" s="24" t="s">
        <v>1524</v>
      </c>
      <c r="D1470" s="24" t="s">
        <v>1066</v>
      </c>
      <c r="E1470" s="24" t="s">
        <v>9</v>
      </c>
      <c r="F1470" s="24">
        <v>13721</v>
      </c>
      <c r="G1470" s="25">
        <v>43640</v>
      </c>
      <c r="H1470" s="25">
        <v>44371</v>
      </c>
      <c r="I1470" s="24" t="s">
        <v>16</v>
      </c>
      <c r="J1470" s="24" t="s">
        <v>19</v>
      </c>
      <c r="K1470" s="24" t="str">
        <f>IF(certifications[[#This Row],[ISSUE DATE]]="", "", TEXT(certifications[[#This Row],[ISSUE DATE]], "MMM"))</f>
        <v>Jun</v>
      </c>
      <c r="L1470" s="35" t="str">
        <f>IF(certifications[[#This Row],[ISSUE DATE]]="", "", TEXT(certifications[[#This Row],[ISSUE DATE]], "YYYY"))</f>
        <v>2019</v>
      </c>
    </row>
    <row r="1471" spans="1:12" s="29" customFormat="1" ht="23.95" customHeight="1" x14ac:dyDescent="0.3">
      <c r="A1471" s="31"/>
      <c r="B1471" s="24">
        <v>1458</v>
      </c>
      <c r="C1471" s="24" t="s">
        <v>1525</v>
      </c>
      <c r="D1471" s="24" t="s">
        <v>155</v>
      </c>
      <c r="E1471" s="24" t="s">
        <v>9</v>
      </c>
      <c r="F1471" s="24">
        <v>11582</v>
      </c>
      <c r="G1471" s="25">
        <v>43256</v>
      </c>
      <c r="H1471" s="25">
        <v>46178</v>
      </c>
      <c r="I1471" s="24" t="s">
        <v>1371</v>
      </c>
      <c r="J1471" s="24" t="s">
        <v>11</v>
      </c>
      <c r="K1471" s="24" t="str">
        <f>IF(certifications[[#This Row],[ISSUE DATE]]="", "", TEXT(certifications[[#This Row],[ISSUE DATE]], "MMM"))</f>
        <v>Jun</v>
      </c>
      <c r="L1471" s="35" t="str">
        <f>IF(certifications[[#This Row],[ISSUE DATE]]="", "", TEXT(certifications[[#This Row],[ISSUE DATE]], "YYYY"))</f>
        <v>2018</v>
      </c>
    </row>
    <row r="1472" spans="1:12" s="29" customFormat="1" ht="23.95" customHeight="1" x14ac:dyDescent="0.3">
      <c r="A1472" s="31"/>
      <c r="B1472" s="24">
        <v>1459</v>
      </c>
      <c r="C1472" s="24" t="s">
        <v>1525</v>
      </c>
      <c r="D1472" s="24" t="s">
        <v>155</v>
      </c>
      <c r="E1472" s="24" t="s">
        <v>26</v>
      </c>
      <c r="F1472" s="24">
        <v>11582</v>
      </c>
      <c r="G1472" s="25">
        <v>44204</v>
      </c>
      <c r="H1472" s="25">
        <v>46178</v>
      </c>
      <c r="I1472" s="24" t="s">
        <v>1371</v>
      </c>
      <c r="J1472" s="24" t="s">
        <v>11</v>
      </c>
      <c r="K1472" s="24" t="str">
        <f>IF(certifications[[#This Row],[ISSUE DATE]]="", "", TEXT(certifications[[#This Row],[ISSUE DATE]], "MMM"))</f>
        <v>Jan</v>
      </c>
      <c r="L1472" s="35" t="str">
        <f>IF(certifications[[#This Row],[ISSUE DATE]]="", "", TEXT(certifications[[#This Row],[ISSUE DATE]], "YYYY"))</f>
        <v>2021</v>
      </c>
    </row>
    <row r="1473" spans="1:12" s="29" customFormat="1" ht="23.95" customHeight="1" x14ac:dyDescent="0.3">
      <c r="A1473" s="31"/>
      <c r="B1473" s="24">
        <v>1460</v>
      </c>
      <c r="C1473" s="24" t="s">
        <v>1526</v>
      </c>
      <c r="D1473" s="24" t="s">
        <v>269</v>
      </c>
      <c r="E1473" s="24" t="s">
        <v>9</v>
      </c>
      <c r="F1473" s="24">
        <v>17387</v>
      </c>
      <c r="G1473" s="25">
        <v>44677</v>
      </c>
      <c r="H1473" s="25">
        <v>46138</v>
      </c>
      <c r="I1473" s="24" t="s">
        <v>10</v>
      </c>
      <c r="J1473" s="24" t="s">
        <v>25</v>
      </c>
      <c r="K1473" s="24" t="str">
        <f>IF(certifications[[#This Row],[ISSUE DATE]]="", "", TEXT(certifications[[#This Row],[ISSUE DATE]], "MMM"))</f>
        <v>Apr</v>
      </c>
      <c r="L1473" s="35" t="str">
        <f>IF(certifications[[#This Row],[ISSUE DATE]]="", "", TEXT(certifications[[#This Row],[ISSUE DATE]], "YYYY"))</f>
        <v>2022</v>
      </c>
    </row>
    <row r="1474" spans="1:12" s="29" customFormat="1" ht="23.95" customHeight="1" x14ac:dyDescent="0.3">
      <c r="A1474" s="31"/>
      <c r="B1474" s="24">
        <v>1461</v>
      </c>
      <c r="C1474" s="24" t="s">
        <v>1527</v>
      </c>
      <c r="D1474" s="24" t="s">
        <v>252</v>
      </c>
      <c r="E1474" s="24" t="s">
        <v>9</v>
      </c>
      <c r="F1474" s="24">
        <v>18305</v>
      </c>
      <c r="G1474" s="25">
        <v>44971</v>
      </c>
      <c r="H1474" s="25">
        <v>45702</v>
      </c>
      <c r="I1474" s="24" t="s">
        <v>82</v>
      </c>
      <c r="J1474" s="24" t="s">
        <v>38</v>
      </c>
      <c r="K1474" s="24" t="str">
        <f>IF(certifications[[#This Row],[ISSUE DATE]]="", "", TEXT(certifications[[#This Row],[ISSUE DATE]], "MMM"))</f>
        <v>Feb</v>
      </c>
      <c r="L1474" s="35" t="str">
        <f>IF(certifications[[#This Row],[ISSUE DATE]]="", "", TEXT(certifications[[#This Row],[ISSUE DATE]], "YYYY"))</f>
        <v>2023</v>
      </c>
    </row>
    <row r="1475" spans="1:12" s="29" customFormat="1" ht="23.95" customHeight="1" x14ac:dyDescent="0.3">
      <c r="A1475" s="31"/>
      <c r="B1475" s="24">
        <v>1462</v>
      </c>
      <c r="C1475" s="24" t="s">
        <v>1528</v>
      </c>
      <c r="D1475" s="24" t="s">
        <v>13</v>
      </c>
      <c r="E1475" s="24" t="s">
        <v>9</v>
      </c>
      <c r="F1475" s="24">
        <v>20144</v>
      </c>
      <c r="G1475" s="25">
        <v>45399</v>
      </c>
      <c r="H1475" s="25">
        <v>46129</v>
      </c>
      <c r="I1475" s="24" t="s">
        <v>321</v>
      </c>
      <c r="J1475" s="24" t="s">
        <v>14</v>
      </c>
      <c r="K1475" s="24" t="str">
        <f>IF(certifications[[#This Row],[ISSUE DATE]]="", "", TEXT(certifications[[#This Row],[ISSUE DATE]], "MMM"))</f>
        <v>Apr</v>
      </c>
      <c r="L1475" s="35" t="str">
        <f>IF(certifications[[#This Row],[ISSUE DATE]]="", "", TEXT(certifications[[#This Row],[ISSUE DATE]], "YYYY"))</f>
        <v>2024</v>
      </c>
    </row>
    <row r="1476" spans="1:12" s="29" customFormat="1" ht="23.95" customHeight="1" x14ac:dyDescent="0.3">
      <c r="A1476" s="31"/>
      <c r="B1476" s="24">
        <v>1463</v>
      </c>
      <c r="C1476" s="24" t="s">
        <v>1529</v>
      </c>
      <c r="D1476" s="24" t="s">
        <v>13</v>
      </c>
      <c r="E1476" s="24" t="s">
        <v>9</v>
      </c>
      <c r="F1476" s="24">
        <v>13581</v>
      </c>
      <c r="G1476" s="25">
        <v>43630</v>
      </c>
      <c r="H1476" s="25">
        <v>45091</v>
      </c>
      <c r="I1476" s="24" t="s">
        <v>16</v>
      </c>
      <c r="J1476" s="24" t="s">
        <v>14</v>
      </c>
      <c r="K1476" s="24" t="str">
        <f>IF(certifications[[#This Row],[ISSUE DATE]]="", "", TEXT(certifications[[#This Row],[ISSUE DATE]], "MMM"))</f>
        <v>Jun</v>
      </c>
      <c r="L1476" s="35" t="str">
        <f>IF(certifications[[#This Row],[ISSUE DATE]]="", "", TEXT(certifications[[#This Row],[ISSUE DATE]], "YYYY"))</f>
        <v>2019</v>
      </c>
    </row>
    <row r="1477" spans="1:12" s="29" customFormat="1" ht="23.95" customHeight="1" x14ac:dyDescent="0.3">
      <c r="A1477" s="31"/>
      <c r="B1477" s="24">
        <v>1464</v>
      </c>
      <c r="C1477" s="24" t="s">
        <v>1530</v>
      </c>
      <c r="D1477" s="24" t="s">
        <v>1015</v>
      </c>
      <c r="E1477" s="24" t="s">
        <v>9</v>
      </c>
      <c r="F1477" s="24">
        <v>10487</v>
      </c>
      <c r="G1477" s="25">
        <v>43035</v>
      </c>
      <c r="H1477" s="25">
        <v>44496</v>
      </c>
      <c r="I1477" s="24" t="s">
        <v>321</v>
      </c>
      <c r="J1477" s="24" t="s">
        <v>19</v>
      </c>
      <c r="K1477" s="24" t="str">
        <f>IF(certifications[[#This Row],[ISSUE DATE]]="", "", TEXT(certifications[[#This Row],[ISSUE DATE]], "MMM"))</f>
        <v>Oct</v>
      </c>
      <c r="L1477" s="35" t="str">
        <f>IF(certifications[[#This Row],[ISSUE DATE]]="", "", TEXT(certifications[[#This Row],[ISSUE DATE]], "YYYY"))</f>
        <v>2017</v>
      </c>
    </row>
    <row r="1478" spans="1:12" s="29" customFormat="1" ht="23.95" customHeight="1" x14ac:dyDescent="0.3">
      <c r="A1478" s="31"/>
      <c r="B1478" s="24">
        <v>1465</v>
      </c>
      <c r="C1478" s="24" t="s">
        <v>1531</v>
      </c>
      <c r="D1478" s="24" t="s">
        <v>32</v>
      </c>
      <c r="E1478" s="24" t="s">
        <v>9</v>
      </c>
      <c r="F1478" s="24">
        <v>20268</v>
      </c>
      <c r="G1478" s="25">
        <v>45426</v>
      </c>
      <c r="H1478" s="25">
        <v>46156</v>
      </c>
      <c r="I1478" s="24" t="s">
        <v>10</v>
      </c>
      <c r="J1478" s="24" t="s">
        <v>33</v>
      </c>
      <c r="K1478" s="24" t="str">
        <f>IF(certifications[[#This Row],[ISSUE DATE]]="", "", TEXT(certifications[[#This Row],[ISSUE DATE]], "MMM"))</f>
        <v>May</v>
      </c>
      <c r="L1478" s="35" t="str">
        <f>IF(certifications[[#This Row],[ISSUE DATE]]="", "", TEXT(certifications[[#This Row],[ISSUE DATE]], "YYYY"))</f>
        <v>2024</v>
      </c>
    </row>
    <row r="1479" spans="1:12" s="29" customFormat="1" ht="23.95" customHeight="1" x14ac:dyDescent="0.3">
      <c r="A1479" s="31"/>
      <c r="B1479" s="24">
        <v>1466</v>
      </c>
      <c r="C1479" s="24" t="s">
        <v>1532</v>
      </c>
      <c r="D1479" s="24" t="s">
        <v>337</v>
      </c>
      <c r="E1479" s="24" t="s">
        <v>9</v>
      </c>
      <c r="F1479" s="24">
        <v>16139</v>
      </c>
      <c r="G1479" s="25">
        <v>44286</v>
      </c>
      <c r="H1479" s="25">
        <v>46477</v>
      </c>
      <c r="I1479" s="24" t="s">
        <v>10</v>
      </c>
      <c r="J1479" s="24" t="s">
        <v>30</v>
      </c>
      <c r="K1479" s="24" t="str">
        <f>IF(certifications[[#This Row],[ISSUE DATE]]="", "", TEXT(certifications[[#This Row],[ISSUE DATE]], "MMM"))</f>
        <v>Mar</v>
      </c>
      <c r="L1479" s="35" t="str">
        <f>IF(certifications[[#This Row],[ISSUE DATE]]="", "", TEXT(certifications[[#This Row],[ISSUE DATE]], "YYYY"))</f>
        <v>2021</v>
      </c>
    </row>
    <row r="1480" spans="1:12" s="29" customFormat="1" ht="23.95" customHeight="1" x14ac:dyDescent="0.3">
      <c r="A1480" s="31"/>
      <c r="B1480" s="24">
        <v>1467</v>
      </c>
      <c r="C1480" s="24" t="s">
        <v>1532</v>
      </c>
      <c r="D1480" s="24" t="s">
        <v>337</v>
      </c>
      <c r="E1480" s="24" t="s">
        <v>26</v>
      </c>
      <c r="F1480" s="24">
        <v>16139</v>
      </c>
      <c r="G1480" s="25">
        <v>44419</v>
      </c>
      <c r="H1480" s="25">
        <v>46477</v>
      </c>
      <c r="I1480" s="24" t="s">
        <v>10</v>
      </c>
      <c r="J1480" s="24" t="s">
        <v>30</v>
      </c>
      <c r="K1480" s="24" t="str">
        <f>IF(certifications[[#This Row],[ISSUE DATE]]="", "", TEXT(certifications[[#This Row],[ISSUE DATE]], "MMM"))</f>
        <v>Aug</v>
      </c>
      <c r="L1480" s="35" t="str">
        <f>IF(certifications[[#This Row],[ISSUE DATE]]="", "", TEXT(certifications[[#This Row],[ISSUE DATE]], "YYYY"))</f>
        <v>2021</v>
      </c>
    </row>
    <row r="1481" spans="1:12" s="29" customFormat="1" ht="23.95" customHeight="1" x14ac:dyDescent="0.3">
      <c r="A1481" s="31"/>
      <c r="B1481" s="24">
        <v>1468</v>
      </c>
      <c r="C1481" s="24" t="s">
        <v>1533</v>
      </c>
      <c r="D1481" s="24" t="s">
        <v>148</v>
      </c>
      <c r="E1481" s="24" t="s">
        <v>9</v>
      </c>
      <c r="F1481" s="24">
        <v>21570</v>
      </c>
      <c r="G1481" s="25">
        <v>45707</v>
      </c>
      <c r="H1481" s="25">
        <v>46437</v>
      </c>
      <c r="I1481" s="24" t="s">
        <v>10</v>
      </c>
      <c r="J1481" s="24" t="s">
        <v>14</v>
      </c>
      <c r="K1481" s="24" t="str">
        <f>IF(certifications[[#This Row],[ISSUE DATE]]="", "", TEXT(certifications[[#This Row],[ISSUE DATE]], "MMM"))</f>
        <v>Feb</v>
      </c>
      <c r="L1481" s="35" t="str">
        <f>IF(certifications[[#This Row],[ISSUE DATE]]="", "", TEXT(certifications[[#This Row],[ISSUE DATE]], "YYYY"))</f>
        <v>2025</v>
      </c>
    </row>
    <row r="1482" spans="1:12" s="29" customFormat="1" ht="23.95" customHeight="1" x14ac:dyDescent="0.3">
      <c r="A1482" s="31"/>
      <c r="B1482" s="24">
        <v>1469</v>
      </c>
      <c r="C1482" s="24" t="s">
        <v>1534</v>
      </c>
      <c r="D1482" s="24" t="s">
        <v>13</v>
      </c>
      <c r="E1482" s="24" t="s">
        <v>9</v>
      </c>
      <c r="F1482" s="24">
        <v>15009</v>
      </c>
      <c r="G1482" s="25">
        <v>43840</v>
      </c>
      <c r="H1482" s="25">
        <v>45301</v>
      </c>
      <c r="I1482" s="24" t="s">
        <v>16</v>
      </c>
      <c r="J1482" s="24" t="s">
        <v>14</v>
      </c>
      <c r="K1482" s="24" t="str">
        <f>IF(certifications[[#This Row],[ISSUE DATE]]="", "", TEXT(certifications[[#This Row],[ISSUE DATE]], "MMM"))</f>
        <v>Jan</v>
      </c>
      <c r="L1482" s="35" t="str">
        <f>IF(certifications[[#This Row],[ISSUE DATE]]="", "", TEXT(certifications[[#This Row],[ISSUE DATE]], "YYYY"))</f>
        <v>2020</v>
      </c>
    </row>
    <row r="1483" spans="1:12" s="29" customFormat="1" ht="23.95" customHeight="1" x14ac:dyDescent="0.3">
      <c r="A1483" s="31"/>
      <c r="B1483" s="24">
        <v>1470</v>
      </c>
      <c r="C1483" s="24" t="s">
        <v>1535</v>
      </c>
      <c r="D1483" s="24" t="s">
        <v>737</v>
      </c>
      <c r="E1483" s="24" t="s">
        <v>9</v>
      </c>
      <c r="F1483" s="24">
        <v>14003</v>
      </c>
      <c r="G1483" s="25">
        <v>43670</v>
      </c>
      <c r="H1483" s="25">
        <v>45131</v>
      </c>
      <c r="I1483" s="24" t="s">
        <v>16</v>
      </c>
      <c r="J1483" s="24" t="s">
        <v>30</v>
      </c>
      <c r="K1483" s="24" t="str">
        <f>IF(certifications[[#This Row],[ISSUE DATE]]="", "", TEXT(certifications[[#This Row],[ISSUE DATE]], "MMM"))</f>
        <v>Jul</v>
      </c>
      <c r="L1483" s="35" t="str">
        <f>IF(certifications[[#This Row],[ISSUE DATE]]="", "", TEXT(certifications[[#This Row],[ISSUE DATE]], "YYYY"))</f>
        <v>2019</v>
      </c>
    </row>
    <row r="1484" spans="1:12" s="29" customFormat="1" ht="23.95" customHeight="1" x14ac:dyDescent="0.3">
      <c r="A1484" s="31"/>
      <c r="B1484" s="24">
        <v>1471</v>
      </c>
      <c r="C1484" s="24" t="s">
        <v>1536</v>
      </c>
      <c r="D1484" s="24" t="s">
        <v>179</v>
      </c>
      <c r="E1484" s="24" t="s">
        <v>9</v>
      </c>
      <c r="F1484" s="24">
        <v>9426</v>
      </c>
      <c r="G1484" s="25">
        <v>44188</v>
      </c>
      <c r="H1484" s="25">
        <v>46379</v>
      </c>
      <c r="I1484" s="24" t="s">
        <v>10</v>
      </c>
      <c r="J1484" s="24" t="s">
        <v>14</v>
      </c>
      <c r="K1484" s="24" t="str">
        <f>IF(certifications[[#This Row],[ISSUE DATE]]="", "", TEXT(certifications[[#This Row],[ISSUE DATE]], "MMM"))</f>
        <v>Dec</v>
      </c>
      <c r="L1484" s="35" t="str">
        <f>IF(certifications[[#This Row],[ISSUE DATE]]="", "", TEXT(certifications[[#This Row],[ISSUE DATE]], "YYYY"))</f>
        <v>2020</v>
      </c>
    </row>
    <row r="1485" spans="1:12" s="29" customFormat="1" ht="23.95" customHeight="1" x14ac:dyDescent="0.3">
      <c r="A1485" s="31"/>
      <c r="B1485" s="24">
        <v>1472</v>
      </c>
      <c r="C1485" s="24" t="s">
        <v>1537</v>
      </c>
      <c r="D1485" s="24" t="s">
        <v>1507</v>
      </c>
      <c r="E1485" s="24" t="s">
        <v>9</v>
      </c>
      <c r="F1485" s="24">
        <v>20995</v>
      </c>
      <c r="G1485" s="25">
        <v>45580</v>
      </c>
      <c r="H1485" s="25">
        <v>46310</v>
      </c>
      <c r="I1485" s="24" t="s">
        <v>10</v>
      </c>
      <c r="J1485" s="24" t="s">
        <v>30</v>
      </c>
      <c r="K1485" s="24" t="str">
        <f>IF(certifications[[#This Row],[ISSUE DATE]]="", "", TEXT(certifications[[#This Row],[ISSUE DATE]], "MMM"))</f>
        <v>Oct</v>
      </c>
      <c r="L1485" s="35" t="str">
        <f>IF(certifications[[#This Row],[ISSUE DATE]]="", "", TEXT(certifications[[#This Row],[ISSUE DATE]], "YYYY"))</f>
        <v>2024</v>
      </c>
    </row>
    <row r="1486" spans="1:12" s="29" customFormat="1" ht="23.95" customHeight="1" x14ac:dyDescent="0.3">
      <c r="A1486" s="31"/>
      <c r="B1486" s="24">
        <v>1473</v>
      </c>
      <c r="C1486" s="24" t="s">
        <v>1538</v>
      </c>
      <c r="D1486" s="24" t="s">
        <v>32</v>
      </c>
      <c r="E1486" s="24" t="s">
        <v>9</v>
      </c>
      <c r="F1486" s="24">
        <v>14412</v>
      </c>
      <c r="G1486" s="25">
        <v>43697</v>
      </c>
      <c r="H1486" s="25">
        <v>44428</v>
      </c>
      <c r="I1486" s="24" t="s">
        <v>16</v>
      </c>
      <c r="J1486" s="24" t="s">
        <v>33</v>
      </c>
      <c r="K1486" s="24" t="str">
        <f>IF(certifications[[#This Row],[ISSUE DATE]]="", "", TEXT(certifications[[#This Row],[ISSUE DATE]], "MMM"))</f>
        <v>Aug</v>
      </c>
      <c r="L1486" s="35" t="str">
        <f>IF(certifications[[#This Row],[ISSUE DATE]]="", "", TEXT(certifications[[#This Row],[ISSUE DATE]], "YYYY"))</f>
        <v>2019</v>
      </c>
    </row>
    <row r="1487" spans="1:12" s="29" customFormat="1" ht="23.95" customHeight="1" x14ac:dyDescent="0.3">
      <c r="A1487" s="31"/>
      <c r="B1487" s="24">
        <v>1474</v>
      </c>
      <c r="C1487" s="24" t="s">
        <v>1539</v>
      </c>
      <c r="D1487" s="24" t="s">
        <v>32</v>
      </c>
      <c r="E1487" s="24" t="s">
        <v>9</v>
      </c>
      <c r="F1487" s="24">
        <v>12969</v>
      </c>
      <c r="G1487" s="25">
        <v>43697</v>
      </c>
      <c r="H1487" s="25">
        <v>45889</v>
      </c>
      <c r="I1487" s="24" t="s">
        <v>10</v>
      </c>
      <c r="J1487" s="24" t="s">
        <v>33</v>
      </c>
      <c r="K1487" s="24" t="str">
        <f>IF(certifications[[#This Row],[ISSUE DATE]]="", "", TEXT(certifications[[#This Row],[ISSUE DATE]], "MMM"))</f>
        <v>Aug</v>
      </c>
      <c r="L1487" s="35" t="str">
        <f>IF(certifications[[#This Row],[ISSUE DATE]]="", "", TEXT(certifications[[#This Row],[ISSUE DATE]], "YYYY"))</f>
        <v>2019</v>
      </c>
    </row>
    <row r="1488" spans="1:12" s="29" customFormat="1" ht="23.95" customHeight="1" x14ac:dyDescent="0.3">
      <c r="A1488" s="31"/>
      <c r="B1488" s="24">
        <v>1475</v>
      </c>
      <c r="C1488" s="24" t="s">
        <v>1539</v>
      </c>
      <c r="D1488" s="24" t="s">
        <v>32</v>
      </c>
      <c r="E1488" s="24" t="s">
        <v>9</v>
      </c>
      <c r="F1488" s="24">
        <v>15890</v>
      </c>
      <c r="G1488" s="25">
        <v>44215</v>
      </c>
      <c r="H1488" s="25">
        <v>46406</v>
      </c>
      <c r="I1488" s="24" t="s">
        <v>10</v>
      </c>
      <c r="J1488" s="24" t="s">
        <v>33</v>
      </c>
      <c r="K1488" s="24" t="str">
        <f>IF(certifications[[#This Row],[ISSUE DATE]]="", "", TEXT(certifications[[#This Row],[ISSUE DATE]], "MMM"))</f>
        <v>Jan</v>
      </c>
      <c r="L1488" s="35" t="str">
        <f>IF(certifications[[#This Row],[ISSUE DATE]]="", "", TEXT(certifications[[#This Row],[ISSUE DATE]], "YYYY"))</f>
        <v>2021</v>
      </c>
    </row>
    <row r="1489" spans="1:12" s="29" customFormat="1" ht="23.95" customHeight="1" x14ac:dyDescent="0.3">
      <c r="A1489" s="31"/>
      <c r="B1489" s="24">
        <v>1476</v>
      </c>
      <c r="C1489" s="24" t="s">
        <v>1540</v>
      </c>
      <c r="D1489" s="24" t="s">
        <v>747</v>
      </c>
      <c r="E1489" s="24" t="s">
        <v>9</v>
      </c>
      <c r="F1489" s="24">
        <v>7658</v>
      </c>
      <c r="G1489" s="25">
        <v>40491</v>
      </c>
      <c r="H1489" s="25">
        <v>41222</v>
      </c>
      <c r="I1489" s="24" t="s">
        <v>16</v>
      </c>
      <c r="J1489" s="24" t="s">
        <v>19</v>
      </c>
      <c r="K1489" s="24" t="str">
        <f>IF(certifications[[#This Row],[ISSUE DATE]]="", "", TEXT(certifications[[#This Row],[ISSUE DATE]], "MMM"))</f>
        <v>Nov</v>
      </c>
      <c r="L1489" s="35" t="str">
        <f>IF(certifications[[#This Row],[ISSUE DATE]]="", "", TEXT(certifications[[#This Row],[ISSUE DATE]], "YYYY"))</f>
        <v>2010</v>
      </c>
    </row>
    <row r="1490" spans="1:12" s="29" customFormat="1" ht="23.95" customHeight="1" x14ac:dyDescent="0.3">
      <c r="A1490" s="31"/>
      <c r="B1490" s="24">
        <v>1477</v>
      </c>
      <c r="C1490" s="24" t="s">
        <v>1541</v>
      </c>
      <c r="D1490" s="24" t="s">
        <v>80</v>
      </c>
      <c r="E1490" s="24" t="s">
        <v>9</v>
      </c>
      <c r="F1490" s="24">
        <v>16349</v>
      </c>
      <c r="G1490" s="25">
        <v>44356</v>
      </c>
      <c r="H1490" s="25">
        <v>46547</v>
      </c>
      <c r="I1490" s="24" t="s">
        <v>10</v>
      </c>
      <c r="J1490" s="24" t="s">
        <v>38</v>
      </c>
      <c r="K1490" s="24" t="str">
        <f>IF(certifications[[#This Row],[ISSUE DATE]]="", "", TEXT(certifications[[#This Row],[ISSUE DATE]], "MMM"))</f>
        <v>Jun</v>
      </c>
      <c r="L1490" s="35" t="str">
        <f>IF(certifications[[#This Row],[ISSUE DATE]]="", "", TEXT(certifications[[#This Row],[ISSUE DATE]], "YYYY"))</f>
        <v>2021</v>
      </c>
    </row>
    <row r="1491" spans="1:12" s="29" customFormat="1" ht="23.95" customHeight="1" x14ac:dyDescent="0.3">
      <c r="A1491" s="31"/>
      <c r="B1491" s="24">
        <v>1478</v>
      </c>
      <c r="C1491" s="24" t="s">
        <v>1542</v>
      </c>
      <c r="D1491" s="24" t="s">
        <v>665</v>
      </c>
      <c r="E1491" s="24" t="s">
        <v>9</v>
      </c>
      <c r="F1491" s="24">
        <v>9610</v>
      </c>
      <c r="G1491" s="25">
        <v>42513</v>
      </c>
      <c r="H1491" s="25">
        <v>46165</v>
      </c>
      <c r="I1491" s="24" t="s">
        <v>10</v>
      </c>
      <c r="J1491" s="24" t="s">
        <v>30</v>
      </c>
      <c r="K1491" s="24" t="str">
        <f>IF(certifications[[#This Row],[ISSUE DATE]]="", "", TEXT(certifications[[#This Row],[ISSUE DATE]], "MMM"))</f>
        <v>May</v>
      </c>
      <c r="L1491" s="35" t="str">
        <f>IF(certifications[[#This Row],[ISSUE DATE]]="", "", TEXT(certifications[[#This Row],[ISSUE DATE]], "YYYY"))</f>
        <v>2016</v>
      </c>
    </row>
    <row r="1492" spans="1:12" s="29" customFormat="1" ht="23.95" customHeight="1" x14ac:dyDescent="0.3">
      <c r="A1492" s="31"/>
      <c r="B1492" s="24">
        <v>1479</v>
      </c>
      <c r="C1492" s="24" t="s">
        <v>1543</v>
      </c>
      <c r="D1492" s="24" t="s">
        <v>32</v>
      </c>
      <c r="E1492" s="24" t="s">
        <v>9</v>
      </c>
      <c r="F1492" s="24">
        <v>19219</v>
      </c>
      <c r="G1492" s="25">
        <v>45198</v>
      </c>
      <c r="H1492" s="25">
        <v>45929</v>
      </c>
      <c r="I1492" s="24" t="s">
        <v>10</v>
      </c>
      <c r="J1492" s="24" t="s">
        <v>33</v>
      </c>
      <c r="K1492" s="24" t="str">
        <f>IF(certifications[[#This Row],[ISSUE DATE]]="", "", TEXT(certifications[[#This Row],[ISSUE DATE]], "MMM"))</f>
        <v>Sep</v>
      </c>
      <c r="L1492" s="35" t="str">
        <f>IF(certifications[[#This Row],[ISSUE DATE]]="", "", TEXT(certifications[[#This Row],[ISSUE DATE]], "YYYY"))</f>
        <v>2023</v>
      </c>
    </row>
    <row r="1493" spans="1:12" s="29" customFormat="1" ht="23.95" customHeight="1" x14ac:dyDescent="0.3">
      <c r="A1493" s="31"/>
      <c r="B1493" s="24">
        <v>1480</v>
      </c>
      <c r="C1493" s="24" t="s">
        <v>1543</v>
      </c>
      <c r="D1493" s="24" t="s">
        <v>32</v>
      </c>
      <c r="E1493" s="24" t="s">
        <v>26</v>
      </c>
      <c r="F1493" s="24">
        <v>19219</v>
      </c>
      <c r="G1493" s="25">
        <v>45342</v>
      </c>
      <c r="H1493" s="25">
        <v>46073</v>
      </c>
      <c r="I1493" s="24" t="s">
        <v>10</v>
      </c>
      <c r="J1493" s="24" t="s">
        <v>33</v>
      </c>
      <c r="K1493" s="24" t="str">
        <f>IF(certifications[[#This Row],[ISSUE DATE]]="", "", TEXT(certifications[[#This Row],[ISSUE DATE]], "MMM"))</f>
        <v>Feb</v>
      </c>
      <c r="L1493" s="35" t="str">
        <f>IF(certifications[[#This Row],[ISSUE DATE]]="", "", TEXT(certifications[[#This Row],[ISSUE DATE]], "YYYY"))</f>
        <v>2024</v>
      </c>
    </row>
    <row r="1494" spans="1:12" s="29" customFormat="1" ht="23.95" customHeight="1" x14ac:dyDescent="0.3">
      <c r="A1494" s="31"/>
      <c r="B1494" s="24">
        <v>1481</v>
      </c>
      <c r="C1494" s="24" t="s">
        <v>1544</v>
      </c>
      <c r="D1494" s="24" t="s">
        <v>32</v>
      </c>
      <c r="E1494" s="24" t="s">
        <v>9</v>
      </c>
      <c r="F1494" s="24">
        <v>11686</v>
      </c>
      <c r="G1494" s="25">
        <v>43269</v>
      </c>
      <c r="H1494" s="25">
        <v>44000</v>
      </c>
      <c r="I1494" s="24" t="s">
        <v>16</v>
      </c>
      <c r="J1494" s="24" t="s">
        <v>33</v>
      </c>
      <c r="K1494" s="24" t="str">
        <f>IF(certifications[[#This Row],[ISSUE DATE]]="", "", TEXT(certifications[[#This Row],[ISSUE DATE]], "MMM"))</f>
        <v>Jun</v>
      </c>
      <c r="L1494" s="35" t="str">
        <f>IF(certifications[[#This Row],[ISSUE DATE]]="", "", TEXT(certifications[[#This Row],[ISSUE DATE]], "YYYY"))</f>
        <v>2018</v>
      </c>
    </row>
    <row r="1495" spans="1:12" s="29" customFormat="1" ht="23.95" customHeight="1" x14ac:dyDescent="0.3">
      <c r="A1495" s="31"/>
      <c r="B1495" s="24">
        <v>1482</v>
      </c>
      <c r="C1495" s="24" t="s">
        <v>1545</v>
      </c>
      <c r="D1495" s="24" t="s">
        <v>1546</v>
      </c>
      <c r="E1495" s="24" t="s">
        <v>9</v>
      </c>
      <c r="F1495" s="24">
        <v>21003</v>
      </c>
      <c r="G1495" s="25">
        <v>45580</v>
      </c>
      <c r="H1495" s="25">
        <v>46310</v>
      </c>
      <c r="I1495" s="24" t="s">
        <v>10</v>
      </c>
      <c r="J1495" s="24" t="s">
        <v>22</v>
      </c>
      <c r="K1495" s="24" t="str">
        <f>IF(certifications[[#This Row],[ISSUE DATE]]="", "", TEXT(certifications[[#This Row],[ISSUE DATE]], "MMM"))</f>
        <v>Oct</v>
      </c>
      <c r="L1495" s="35" t="str">
        <f>IF(certifications[[#This Row],[ISSUE DATE]]="", "", TEXT(certifications[[#This Row],[ISSUE DATE]], "YYYY"))</f>
        <v>2024</v>
      </c>
    </row>
    <row r="1496" spans="1:12" s="29" customFormat="1" ht="23.95" customHeight="1" x14ac:dyDescent="0.3">
      <c r="A1496" s="31"/>
      <c r="B1496" s="24">
        <v>1483</v>
      </c>
      <c r="C1496" s="24" t="s">
        <v>1547</v>
      </c>
      <c r="D1496" s="24" t="s">
        <v>18</v>
      </c>
      <c r="E1496" s="24" t="s">
        <v>9</v>
      </c>
      <c r="F1496" s="24">
        <v>13725</v>
      </c>
      <c r="G1496" s="25">
        <v>43640</v>
      </c>
      <c r="H1496" s="25">
        <v>44371</v>
      </c>
      <c r="I1496" s="24" t="s">
        <v>16</v>
      </c>
      <c r="J1496" s="24" t="s">
        <v>19</v>
      </c>
      <c r="K1496" s="24" t="str">
        <f>IF(certifications[[#This Row],[ISSUE DATE]]="", "", TEXT(certifications[[#This Row],[ISSUE DATE]], "MMM"))</f>
        <v>Jun</v>
      </c>
      <c r="L1496" s="35" t="str">
        <f>IF(certifications[[#This Row],[ISSUE DATE]]="", "", TEXT(certifications[[#This Row],[ISSUE DATE]], "YYYY"))</f>
        <v>2019</v>
      </c>
    </row>
    <row r="1497" spans="1:12" s="29" customFormat="1" ht="23.95" customHeight="1" x14ac:dyDescent="0.3">
      <c r="A1497" s="31"/>
      <c r="B1497" s="24">
        <v>1484</v>
      </c>
      <c r="C1497" s="24" t="s">
        <v>1548</v>
      </c>
      <c r="D1497" s="24" t="s">
        <v>32</v>
      </c>
      <c r="E1497" s="24" t="s">
        <v>26</v>
      </c>
      <c r="F1497" s="24">
        <v>13448</v>
      </c>
      <c r="G1497" s="25">
        <v>45799</v>
      </c>
      <c r="H1497" s="25">
        <v>46529</v>
      </c>
      <c r="I1497" s="24" t="s">
        <v>10</v>
      </c>
      <c r="J1497" s="24" t="s">
        <v>33</v>
      </c>
      <c r="K1497" s="24" t="str">
        <f>IF(certifications[[#This Row],[ISSUE DATE]]="", "", TEXT(certifications[[#This Row],[ISSUE DATE]], "MMM"))</f>
        <v>May</v>
      </c>
      <c r="L1497" s="35" t="str">
        <f>IF(certifications[[#This Row],[ISSUE DATE]]="", "", TEXT(certifications[[#This Row],[ISSUE DATE]], "YYYY"))</f>
        <v>2025</v>
      </c>
    </row>
    <row r="1498" spans="1:12" s="29" customFormat="1" ht="23.95" customHeight="1" x14ac:dyDescent="0.3">
      <c r="A1498" s="31"/>
      <c r="B1498" s="24">
        <v>1485</v>
      </c>
      <c r="C1498" s="24" t="s">
        <v>1549</v>
      </c>
      <c r="D1498" s="24" t="s">
        <v>18</v>
      </c>
      <c r="E1498" s="24" t="s">
        <v>9</v>
      </c>
      <c r="F1498" s="24">
        <v>19010</v>
      </c>
      <c r="G1498" s="25">
        <v>45153</v>
      </c>
      <c r="H1498" s="25">
        <v>45884</v>
      </c>
      <c r="I1498" s="24" t="s">
        <v>10</v>
      </c>
      <c r="J1498" s="24" t="s">
        <v>19</v>
      </c>
      <c r="K1498" s="24" t="str">
        <f>IF(certifications[[#This Row],[ISSUE DATE]]="", "", TEXT(certifications[[#This Row],[ISSUE DATE]], "MMM"))</f>
        <v>Aug</v>
      </c>
      <c r="L1498" s="35" t="str">
        <f>IF(certifications[[#This Row],[ISSUE DATE]]="", "", TEXT(certifications[[#This Row],[ISSUE DATE]], "YYYY"))</f>
        <v>2023</v>
      </c>
    </row>
    <row r="1499" spans="1:12" s="29" customFormat="1" ht="23.95" customHeight="1" x14ac:dyDescent="0.3">
      <c r="A1499" s="31"/>
      <c r="B1499" s="24">
        <v>1486</v>
      </c>
      <c r="C1499" s="24" t="s">
        <v>1550</v>
      </c>
      <c r="D1499" s="24" t="s">
        <v>500</v>
      </c>
      <c r="E1499" s="24" t="s">
        <v>9</v>
      </c>
      <c r="F1499" s="24">
        <v>9239</v>
      </c>
      <c r="G1499" s="25">
        <v>42180</v>
      </c>
      <c r="H1499" s="25">
        <v>42911</v>
      </c>
      <c r="I1499" s="24" t="s">
        <v>16</v>
      </c>
      <c r="J1499" s="24" t="s">
        <v>30</v>
      </c>
      <c r="K1499" s="24" t="str">
        <f>IF(certifications[[#This Row],[ISSUE DATE]]="", "", TEXT(certifications[[#This Row],[ISSUE DATE]], "MMM"))</f>
        <v>Jun</v>
      </c>
      <c r="L1499" s="35" t="str">
        <f>IF(certifications[[#This Row],[ISSUE DATE]]="", "", TEXT(certifications[[#This Row],[ISSUE DATE]], "YYYY"))</f>
        <v>2015</v>
      </c>
    </row>
    <row r="1500" spans="1:12" s="29" customFormat="1" ht="23.95" customHeight="1" x14ac:dyDescent="0.3">
      <c r="A1500" s="31"/>
      <c r="B1500" s="24">
        <v>1487</v>
      </c>
      <c r="C1500" s="24" t="s">
        <v>1551</v>
      </c>
      <c r="D1500" s="24" t="s">
        <v>190</v>
      </c>
      <c r="E1500" s="24" t="s">
        <v>9</v>
      </c>
      <c r="F1500" s="24">
        <v>9659</v>
      </c>
      <c r="G1500" s="25">
        <v>45598</v>
      </c>
      <c r="H1500" s="25">
        <v>46328</v>
      </c>
      <c r="I1500" s="24" t="s">
        <v>10</v>
      </c>
      <c r="J1500" s="24" t="s">
        <v>14</v>
      </c>
      <c r="K1500" s="24" t="str">
        <f>IF(certifications[[#This Row],[ISSUE DATE]]="", "", TEXT(certifications[[#This Row],[ISSUE DATE]], "MMM"))</f>
        <v>Nov</v>
      </c>
      <c r="L1500" s="35" t="str">
        <f>IF(certifications[[#This Row],[ISSUE DATE]]="", "", TEXT(certifications[[#This Row],[ISSUE DATE]], "YYYY"))</f>
        <v>2024</v>
      </c>
    </row>
    <row r="1501" spans="1:12" s="29" customFormat="1" ht="23.95" customHeight="1" x14ac:dyDescent="0.3">
      <c r="A1501" s="31"/>
      <c r="B1501" s="24">
        <v>1488</v>
      </c>
      <c r="C1501" s="24" t="s">
        <v>1552</v>
      </c>
      <c r="D1501" s="24" t="s">
        <v>1216</v>
      </c>
      <c r="E1501" s="24" t="s">
        <v>9</v>
      </c>
      <c r="F1501" s="24">
        <v>10156</v>
      </c>
      <c r="G1501" s="25">
        <v>42896</v>
      </c>
      <c r="H1501" s="25">
        <v>43626</v>
      </c>
      <c r="I1501" s="24" t="s">
        <v>16</v>
      </c>
      <c r="J1501" s="24" t="s">
        <v>11</v>
      </c>
      <c r="K1501" s="24" t="str">
        <f>IF(certifications[[#This Row],[ISSUE DATE]]="", "", TEXT(certifications[[#This Row],[ISSUE DATE]], "MMM"))</f>
        <v>Jun</v>
      </c>
      <c r="L1501" s="35" t="str">
        <f>IF(certifications[[#This Row],[ISSUE DATE]]="", "", TEXT(certifications[[#This Row],[ISSUE DATE]], "YYYY"))</f>
        <v>2017</v>
      </c>
    </row>
    <row r="1502" spans="1:12" s="29" customFormat="1" ht="23.95" customHeight="1" x14ac:dyDescent="0.3">
      <c r="A1502" s="31"/>
      <c r="B1502" s="24">
        <v>1489</v>
      </c>
      <c r="C1502" s="24" t="s">
        <v>1553</v>
      </c>
      <c r="D1502" s="24" t="s">
        <v>722</v>
      </c>
      <c r="E1502" s="24" t="s">
        <v>9</v>
      </c>
      <c r="F1502" s="24">
        <v>17014</v>
      </c>
      <c r="G1502" s="25">
        <v>44532</v>
      </c>
      <c r="H1502" s="25">
        <v>45262</v>
      </c>
      <c r="I1502" s="24" t="s">
        <v>16</v>
      </c>
      <c r="J1502" s="24" t="s">
        <v>30</v>
      </c>
      <c r="K1502" s="24" t="str">
        <f>IF(certifications[[#This Row],[ISSUE DATE]]="", "", TEXT(certifications[[#This Row],[ISSUE DATE]], "MMM"))</f>
        <v>Dec</v>
      </c>
      <c r="L1502" s="35" t="str">
        <f>IF(certifications[[#This Row],[ISSUE DATE]]="", "", TEXT(certifications[[#This Row],[ISSUE DATE]], "YYYY"))</f>
        <v>2021</v>
      </c>
    </row>
    <row r="1503" spans="1:12" s="29" customFormat="1" ht="23.95" customHeight="1" x14ac:dyDescent="0.3">
      <c r="A1503" s="31"/>
      <c r="B1503" s="24">
        <v>1490</v>
      </c>
      <c r="C1503" s="24" t="s">
        <v>1554</v>
      </c>
      <c r="D1503" s="24" t="s">
        <v>13</v>
      </c>
      <c r="E1503" s="24" t="s">
        <v>26</v>
      </c>
      <c r="F1503" s="24">
        <v>20668</v>
      </c>
      <c r="G1503" s="25">
        <v>45514</v>
      </c>
      <c r="H1503" s="25">
        <v>46244</v>
      </c>
      <c r="I1503" s="24" t="s">
        <v>10</v>
      </c>
      <c r="J1503" s="24" t="s">
        <v>14</v>
      </c>
      <c r="K1503" s="24" t="str">
        <f>IF(certifications[[#This Row],[ISSUE DATE]]="", "", TEXT(certifications[[#This Row],[ISSUE DATE]], "MMM"))</f>
        <v>Aug</v>
      </c>
      <c r="L1503" s="35" t="str">
        <f>IF(certifications[[#This Row],[ISSUE DATE]]="", "", TEXT(certifications[[#This Row],[ISSUE DATE]], "YYYY"))</f>
        <v>2024</v>
      </c>
    </row>
    <row r="1504" spans="1:12" s="29" customFormat="1" ht="23.95" customHeight="1" x14ac:dyDescent="0.3">
      <c r="A1504" s="31"/>
      <c r="B1504" s="24">
        <v>1491</v>
      </c>
      <c r="C1504" s="24" t="s">
        <v>1555</v>
      </c>
      <c r="D1504" s="24" t="s">
        <v>32</v>
      </c>
      <c r="E1504" s="24" t="s">
        <v>9</v>
      </c>
      <c r="F1504" s="24">
        <v>12577</v>
      </c>
      <c r="G1504" s="25">
        <v>43445</v>
      </c>
      <c r="H1504" s="25">
        <v>46367</v>
      </c>
      <c r="I1504" s="24" t="s">
        <v>10</v>
      </c>
      <c r="J1504" s="24" t="s">
        <v>33</v>
      </c>
      <c r="K1504" s="24" t="str">
        <f>IF(certifications[[#This Row],[ISSUE DATE]]="", "", TEXT(certifications[[#This Row],[ISSUE DATE]], "MMM"))</f>
        <v>Dec</v>
      </c>
      <c r="L1504" s="35" t="str">
        <f>IF(certifications[[#This Row],[ISSUE DATE]]="", "", TEXT(certifications[[#This Row],[ISSUE DATE]], "YYYY"))</f>
        <v>2018</v>
      </c>
    </row>
    <row r="1505" spans="1:12" s="29" customFormat="1" ht="23.95" customHeight="1" x14ac:dyDescent="0.3">
      <c r="A1505" s="31"/>
      <c r="B1505" s="24">
        <v>1492</v>
      </c>
      <c r="C1505" s="24" t="s">
        <v>1556</v>
      </c>
      <c r="D1505" s="24" t="s">
        <v>32</v>
      </c>
      <c r="E1505" s="24" t="s">
        <v>9</v>
      </c>
      <c r="F1505" s="24">
        <v>14018</v>
      </c>
      <c r="G1505" s="25">
        <v>43670</v>
      </c>
      <c r="H1505" s="25">
        <v>44401</v>
      </c>
      <c r="I1505" s="24" t="s">
        <v>16</v>
      </c>
      <c r="J1505" s="24" t="s">
        <v>33</v>
      </c>
      <c r="K1505" s="24" t="str">
        <f>IF(certifications[[#This Row],[ISSUE DATE]]="", "", TEXT(certifications[[#This Row],[ISSUE DATE]], "MMM"))</f>
        <v>Jul</v>
      </c>
      <c r="L1505" s="35" t="str">
        <f>IF(certifications[[#This Row],[ISSUE DATE]]="", "", TEXT(certifications[[#This Row],[ISSUE DATE]], "YYYY"))</f>
        <v>2019</v>
      </c>
    </row>
    <row r="1506" spans="1:12" s="29" customFormat="1" ht="23.95" customHeight="1" x14ac:dyDescent="0.3">
      <c r="A1506" s="31"/>
      <c r="B1506" s="24">
        <v>1493</v>
      </c>
      <c r="C1506" s="24" t="s">
        <v>1557</v>
      </c>
      <c r="D1506" s="24" t="s">
        <v>160</v>
      </c>
      <c r="E1506" s="24" t="s">
        <v>9</v>
      </c>
      <c r="F1506" s="24">
        <v>9766</v>
      </c>
      <c r="G1506" s="25">
        <v>42601</v>
      </c>
      <c r="H1506" s="25">
        <v>46253</v>
      </c>
      <c r="I1506" s="24" t="s">
        <v>10</v>
      </c>
      <c r="J1506" s="24" t="s">
        <v>14</v>
      </c>
      <c r="K1506" s="24" t="str">
        <f>IF(certifications[[#This Row],[ISSUE DATE]]="", "", TEXT(certifications[[#This Row],[ISSUE DATE]], "MMM"))</f>
        <v>Aug</v>
      </c>
      <c r="L1506" s="35" t="str">
        <f>IF(certifications[[#This Row],[ISSUE DATE]]="", "", TEXT(certifications[[#This Row],[ISSUE DATE]], "YYYY"))</f>
        <v>2016</v>
      </c>
    </row>
    <row r="1507" spans="1:12" s="29" customFormat="1" ht="23.95" customHeight="1" x14ac:dyDescent="0.3">
      <c r="A1507" s="31"/>
      <c r="B1507" s="24">
        <v>1494</v>
      </c>
      <c r="C1507" s="24" t="s">
        <v>1558</v>
      </c>
      <c r="D1507" s="24" t="s">
        <v>32</v>
      </c>
      <c r="E1507" s="24" t="s">
        <v>9</v>
      </c>
      <c r="F1507" s="24">
        <v>11042</v>
      </c>
      <c r="G1507" s="25">
        <v>43203</v>
      </c>
      <c r="H1507" s="25">
        <v>43934</v>
      </c>
      <c r="I1507" s="24" t="s">
        <v>16</v>
      </c>
      <c r="J1507" s="24" t="s">
        <v>33</v>
      </c>
      <c r="K1507" s="24" t="str">
        <f>IF(certifications[[#This Row],[ISSUE DATE]]="", "", TEXT(certifications[[#This Row],[ISSUE DATE]], "MMM"))</f>
        <v>Apr</v>
      </c>
      <c r="L1507" s="35" t="str">
        <f>IF(certifications[[#This Row],[ISSUE DATE]]="", "", TEXT(certifications[[#This Row],[ISSUE DATE]], "YYYY"))</f>
        <v>2018</v>
      </c>
    </row>
    <row r="1508" spans="1:12" s="29" customFormat="1" ht="23.95" customHeight="1" x14ac:dyDescent="0.3">
      <c r="A1508" s="31"/>
      <c r="B1508" s="24">
        <v>1495</v>
      </c>
      <c r="C1508" s="24" t="s">
        <v>1559</v>
      </c>
      <c r="D1508" s="24" t="s">
        <v>51</v>
      </c>
      <c r="E1508" s="24" t="s">
        <v>9</v>
      </c>
      <c r="F1508" s="24">
        <v>18107</v>
      </c>
      <c r="G1508" s="25">
        <v>44907</v>
      </c>
      <c r="H1508" s="25">
        <v>46368</v>
      </c>
      <c r="I1508" s="24" t="s">
        <v>10</v>
      </c>
      <c r="J1508" s="24" t="s">
        <v>38</v>
      </c>
      <c r="K1508" s="24" t="str">
        <f>IF(certifications[[#This Row],[ISSUE DATE]]="", "", TEXT(certifications[[#This Row],[ISSUE DATE]], "MMM"))</f>
        <v>Dec</v>
      </c>
      <c r="L1508" s="35" t="str">
        <f>IF(certifications[[#This Row],[ISSUE DATE]]="", "", TEXT(certifications[[#This Row],[ISSUE DATE]], "YYYY"))</f>
        <v>2022</v>
      </c>
    </row>
    <row r="1509" spans="1:12" s="29" customFormat="1" ht="23.95" customHeight="1" x14ac:dyDescent="0.3">
      <c r="A1509" s="31"/>
      <c r="B1509" s="24">
        <v>1496</v>
      </c>
      <c r="C1509" s="24" t="s">
        <v>1560</v>
      </c>
      <c r="D1509" s="24" t="s">
        <v>337</v>
      </c>
      <c r="E1509" s="24" t="s">
        <v>9</v>
      </c>
      <c r="F1509" s="24">
        <v>14010</v>
      </c>
      <c r="G1509" s="25">
        <v>43670</v>
      </c>
      <c r="H1509" s="25">
        <v>45862</v>
      </c>
      <c r="I1509" s="24" t="s">
        <v>10</v>
      </c>
      <c r="J1509" s="24" t="s">
        <v>30</v>
      </c>
      <c r="K1509" s="24" t="str">
        <f>IF(certifications[[#This Row],[ISSUE DATE]]="", "", TEXT(certifications[[#This Row],[ISSUE DATE]], "MMM"))</f>
        <v>Jul</v>
      </c>
      <c r="L1509" s="35" t="str">
        <f>IF(certifications[[#This Row],[ISSUE DATE]]="", "", TEXT(certifications[[#This Row],[ISSUE DATE]], "YYYY"))</f>
        <v>2019</v>
      </c>
    </row>
    <row r="1510" spans="1:12" s="29" customFormat="1" ht="23.95" customHeight="1" x14ac:dyDescent="0.3">
      <c r="A1510" s="31"/>
      <c r="B1510" s="24">
        <v>1497</v>
      </c>
      <c r="C1510" s="24" t="s">
        <v>1561</v>
      </c>
      <c r="D1510" s="24" t="s">
        <v>256</v>
      </c>
      <c r="E1510" s="24" t="s">
        <v>9</v>
      </c>
      <c r="F1510" s="24">
        <v>17041</v>
      </c>
      <c r="G1510" s="25">
        <v>44544</v>
      </c>
      <c r="H1510" s="25">
        <v>46005</v>
      </c>
      <c r="I1510" s="24" t="s">
        <v>10</v>
      </c>
      <c r="J1510" s="24" t="s">
        <v>14</v>
      </c>
      <c r="K1510" s="24" t="str">
        <f>IF(certifications[[#This Row],[ISSUE DATE]]="", "", TEXT(certifications[[#This Row],[ISSUE DATE]], "MMM"))</f>
        <v>Dec</v>
      </c>
      <c r="L1510" s="35" t="str">
        <f>IF(certifications[[#This Row],[ISSUE DATE]]="", "", TEXT(certifications[[#This Row],[ISSUE DATE]], "YYYY"))</f>
        <v>2021</v>
      </c>
    </row>
    <row r="1511" spans="1:12" s="29" customFormat="1" ht="23.95" customHeight="1" x14ac:dyDescent="0.3">
      <c r="A1511" s="31"/>
      <c r="B1511" s="24">
        <v>1498</v>
      </c>
      <c r="C1511" s="24" t="s">
        <v>1562</v>
      </c>
      <c r="D1511" s="24" t="s">
        <v>515</v>
      </c>
      <c r="E1511" s="24" t="s">
        <v>9</v>
      </c>
      <c r="F1511" s="24">
        <v>19008</v>
      </c>
      <c r="G1511" s="25">
        <v>45153</v>
      </c>
      <c r="H1511" s="25">
        <v>45884</v>
      </c>
      <c r="I1511" s="24" t="s">
        <v>10</v>
      </c>
      <c r="J1511" s="24" t="s">
        <v>14</v>
      </c>
      <c r="K1511" s="24" t="str">
        <f>IF(certifications[[#This Row],[ISSUE DATE]]="", "", TEXT(certifications[[#This Row],[ISSUE DATE]], "MMM"))</f>
        <v>Aug</v>
      </c>
      <c r="L1511" s="35" t="str">
        <f>IF(certifications[[#This Row],[ISSUE DATE]]="", "", TEXT(certifications[[#This Row],[ISSUE DATE]], "YYYY"))</f>
        <v>2023</v>
      </c>
    </row>
    <row r="1512" spans="1:12" s="29" customFormat="1" ht="23.95" customHeight="1" x14ac:dyDescent="0.3">
      <c r="A1512" s="31"/>
      <c r="B1512" s="24">
        <v>1499</v>
      </c>
      <c r="C1512" s="24" t="s">
        <v>1563</v>
      </c>
      <c r="D1512" s="24" t="s">
        <v>1517</v>
      </c>
      <c r="E1512" s="24" t="s">
        <v>9</v>
      </c>
      <c r="F1512" s="24">
        <v>8653</v>
      </c>
      <c r="G1512" s="25">
        <v>41577</v>
      </c>
      <c r="H1512" s="25">
        <v>45960</v>
      </c>
      <c r="I1512" s="24" t="s">
        <v>10</v>
      </c>
      <c r="J1512" s="24" t="s">
        <v>22</v>
      </c>
      <c r="K1512" s="24" t="str">
        <f>IF(certifications[[#This Row],[ISSUE DATE]]="", "", TEXT(certifications[[#This Row],[ISSUE DATE]], "MMM"))</f>
        <v>Oct</v>
      </c>
      <c r="L1512" s="35" t="str">
        <f>IF(certifications[[#This Row],[ISSUE DATE]]="", "", TEXT(certifications[[#This Row],[ISSUE DATE]], "YYYY"))</f>
        <v>2013</v>
      </c>
    </row>
    <row r="1513" spans="1:12" s="29" customFormat="1" ht="23.95" customHeight="1" x14ac:dyDescent="0.3">
      <c r="A1513" s="31"/>
      <c r="B1513" s="24">
        <v>1500</v>
      </c>
      <c r="C1513" s="24" t="s">
        <v>1564</v>
      </c>
      <c r="D1513" s="24" t="s">
        <v>252</v>
      </c>
      <c r="E1513" s="24" t="s">
        <v>9</v>
      </c>
      <c r="F1513" s="24">
        <v>12573</v>
      </c>
      <c r="G1513" s="25">
        <v>43445</v>
      </c>
      <c r="H1513" s="25">
        <v>44176</v>
      </c>
      <c r="I1513" s="24" t="s">
        <v>16</v>
      </c>
      <c r="J1513" s="24" t="s">
        <v>38</v>
      </c>
      <c r="K1513" s="24" t="str">
        <f>IF(certifications[[#This Row],[ISSUE DATE]]="", "", TEXT(certifications[[#This Row],[ISSUE DATE]], "MMM"))</f>
        <v>Dec</v>
      </c>
      <c r="L1513" s="35" t="str">
        <f>IF(certifications[[#This Row],[ISSUE DATE]]="", "", TEXT(certifications[[#This Row],[ISSUE DATE]], "YYYY"))</f>
        <v>2018</v>
      </c>
    </row>
    <row r="1514" spans="1:12" s="29" customFormat="1" ht="23.95" customHeight="1" x14ac:dyDescent="0.3">
      <c r="A1514" s="31"/>
      <c r="B1514" s="24">
        <v>1501</v>
      </c>
      <c r="C1514" s="24" t="s">
        <v>1565</v>
      </c>
      <c r="D1514" s="24" t="s">
        <v>337</v>
      </c>
      <c r="E1514" s="24" t="s">
        <v>9</v>
      </c>
      <c r="F1514" s="24">
        <v>15706</v>
      </c>
      <c r="G1514" s="25">
        <v>44172</v>
      </c>
      <c r="H1514" s="25">
        <v>46363</v>
      </c>
      <c r="I1514" s="24" t="s">
        <v>10</v>
      </c>
      <c r="J1514" s="24" t="s">
        <v>30</v>
      </c>
      <c r="K1514" s="24" t="str">
        <f>IF(certifications[[#This Row],[ISSUE DATE]]="", "", TEXT(certifications[[#This Row],[ISSUE DATE]], "MMM"))</f>
        <v>Dec</v>
      </c>
      <c r="L1514" s="35" t="str">
        <f>IF(certifications[[#This Row],[ISSUE DATE]]="", "", TEXT(certifications[[#This Row],[ISSUE DATE]], "YYYY"))</f>
        <v>2020</v>
      </c>
    </row>
    <row r="1515" spans="1:12" s="29" customFormat="1" ht="23.95" customHeight="1" x14ac:dyDescent="0.3">
      <c r="A1515" s="31"/>
      <c r="B1515" s="24">
        <v>1502</v>
      </c>
      <c r="C1515" s="24" t="s">
        <v>1566</v>
      </c>
      <c r="D1515" s="24" t="s">
        <v>32</v>
      </c>
      <c r="E1515" s="24" t="s">
        <v>9</v>
      </c>
      <c r="F1515" s="24">
        <v>8570</v>
      </c>
      <c r="G1515" s="25">
        <v>41485</v>
      </c>
      <c r="H1515" s="25">
        <v>42946</v>
      </c>
      <c r="I1515" s="24" t="s">
        <v>16</v>
      </c>
      <c r="J1515" s="24" t="s">
        <v>33</v>
      </c>
      <c r="K1515" s="24" t="str">
        <f>IF(certifications[[#This Row],[ISSUE DATE]]="", "", TEXT(certifications[[#This Row],[ISSUE DATE]], "MMM"))</f>
        <v>Jul</v>
      </c>
      <c r="L1515" s="35" t="str">
        <f>IF(certifications[[#This Row],[ISSUE DATE]]="", "", TEXT(certifications[[#This Row],[ISSUE DATE]], "YYYY"))</f>
        <v>2013</v>
      </c>
    </row>
    <row r="1516" spans="1:12" s="29" customFormat="1" ht="23.95" customHeight="1" x14ac:dyDescent="0.3">
      <c r="A1516" s="31"/>
      <c r="B1516" s="24">
        <v>1503</v>
      </c>
      <c r="C1516" s="24" t="s">
        <v>1567</v>
      </c>
      <c r="D1516" s="24" t="s">
        <v>1568</v>
      </c>
      <c r="E1516" s="24" t="s">
        <v>9</v>
      </c>
      <c r="F1516" s="24">
        <v>12004</v>
      </c>
      <c r="G1516" s="25">
        <v>43313</v>
      </c>
      <c r="H1516" s="25">
        <v>46235</v>
      </c>
      <c r="I1516" s="24" t="s">
        <v>10</v>
      </c>
      <c r="J1516" s="24" t="s">
        <v>38</v>
      </c>
      <c r="K1516" s="24" t="str">
        <f>IF(certifications[[#This Row],[ISSUE DATE]]="", "", TEXT(certifications[[#This Row],[ISSUE DATE]], "MMM"))</f>
        <v>Aug</v>
      </c>
      <c r="L1516" s="35" t="str">
        <f>IF(certifications[[#This Row],[ISSUE DATE]]="", "", TEXT(certifications[[#This Row],[ISSUE DATE]], "YYYY"))</f>
        <v>2018</v>
      </c>
    </row>
    <row r="1517" spans="1:12" s="29" customFormat="1" ht="23.95" customHeight="1" x14ac:dyDescent="0.3">
      <c r="A1517" s="31"/>
      <c r="B1517" s="24">
        <v>1504</v>
      </c>
      <c r="C1517" s="24" t="s">
        <v>1567</v>
      </c>
      <c r="D1517" s="24" t="s">
        <v>1568</v>
      </c>
      <c r="E1517" s="24" t="s">
        <v>26</v>
      </c>
      <c r="F1517" s="24">
        <v>12004</v>
      </c>
      <c r="G1517" s="25">
        <v>44274</v>
      </c>
      <c r="H1517" s="25">
        <v>45004</v>
      </c>
      <c r="I1517" s="24" t="s">
        <v>16</v>
      </c>
      <c r="J1517" s="24" t="s">
        <v>38</v>
      </c>
      <c r="K1517" s="24" t="str">
        <f>IF(certifications[[#This Row],[ISSUE DATE]]="", "", TEXT(certifications[[#This Row],[ISSUE DATE]], "MMM"))</f>
        <v>Mar</v>
      </c>
      <c r="L1517" s="35" t="str">
        <f>IF(certifications[[#This Row],[ISSUE DATE]]="", "", TEXT(certifications[[#This Row],[ISSUE DATE]], "YYYY"))</f>
        <v>2021</v>
      </c>
    </row>
    <row r="1518" spans="1:12" s="29" customFormat="1" ht="23.95" customHeight="1" x14ac:dyDescent="0.3">
      <c r="A1518" s="31"/>
      <c r="B1518" s="24">
        <v>1505</v>
      </c>
      <c r="C1518" s="24" t="s">
        <v>1569</v>
      </c>
      <c r="D1518" s="24" t="s">
        <v>32</v>
      </c>
      <c r="E1518" s="24" t="s">
        <v>9</v>
      </c>
      <c r="F1518" s="24">
        <v>19338</v>
      </c>
      <c r="G1518" s="25">
        <v>45264</v>
      </c>
      <c r="H1518" s="25">
        <v>45995</v>
      </c>
      <c r="I1518" s="24" t="s">
        <v>10</v>
      </c>
      <c r="J1518" s="24" t="s">
        <v>33</v>
      </c>
      <c r="K1518" s="24" t="str">
        <f>IF(certifications[[#This Row],[ISSUE DATE]]="", "", TEXT(certifications[[#This Row],[ISSUE DATE]], "MMM"))</f>
        <v>Dec</v>
      </c>
      <c r="L1518" s="35" t="str">
        <f>IF(certifications[[#This Row],[ISSUE DATE]]="", "", TEXT(certifications[[#This Row],[ISSUE DATE]], "YYYY"))</f>
        <v>2023</v>
      </c>
    </row>
    <row r="1519" spans="1:12" s="29" customFormat="1" ht="23.95" customHeight="1" x14ac:dyDescent="0.3">
      <c r="A1519" s="31"/>
      <c r="B1519" s="24">
        <v>1506</v>
      </c>
      <c r="C1519" s="24" t="s">
        <v>1569</v>
      </c>
      <c r="D1519" s="24" t="s">
        <v>32</v>
      </c>
      <c r="E1519" s="24" t="s">
        <v>26</v>
      </c>
      <c r="F1519" s="24">
        <v>19338</v>
      </c>
      <c r="G1519" s="25">
        <v>45261</v>
      </c>
      <c r="H1519" s="25">
        <v>45992</v>
      </c>
      <c r="I1519" s="24" t="s">
        <v>10</v>
      </c>
      <c r="J1519" s="24" t="s">
        <v>33</v>
      </c>
      <c r="K1519" s="24" t="str">
        <f>IF(certifications[[#This Row],[ISSUE DATE]]="", "", TEXT(certifications[[#This Row],[ISSUE DATE]], "MMM"))</f>
        <v>Dec</v>
      </c>
      <c r="L1519" s="35" t="str">
        <f>IF(certifications[[#This Row],[ISSUE DATE]]="", "", TEXT(certifications[[#This Row],[ISSUE DATE]], "YYYY"))</f>
        <v>2023</v>
      </c>
    </row>
    <row r="1520" spans="1:12" s="29" customFormat="1" ht="23.95" customHeight="1" x14ac:dyDescent="0.3">
      <c r="A1520" s="31"/>
      <c r="B1520" s="24">
        <v>1507</v>
      </c>
      <c r="C1520" s="24" t="s">
        <v>1570</v>
      </c>
      <c r="D1520" s="24" t="s">
        <v>1571</v>
      </c>
      <c r="E1520" s="24" t="s">
        <v>9</v>
      </c>
      <c r="F1520" s="24">
        <v>17045</v>
      </c>
      <c r="G1520" s="25">
        <v>44545</v>
      </c>
      <c r="H1520" s="25">
        <v>45275</v>
      </c>
      <c r="I1520" s="24" t="s">
        <v>16</v>
      </c>
      <c r="J1520" s="24" t="s">
        <v>38</v>
      </c>
      <c r="K1520" s="24" t="str">
        <f>IF(certifications[[#This Row],[ISSUE DATE]]="", "", TEXT(certifications[[#This Row],[ISSUE DATE]], "MMM"))</f>
        <v>Dec</v>
      </c>
      <c r="L1520" s="35" t="str">
        <f>IF(certifications[[#This Row],[ISSUE DATE]]="", "", TEXT(certifications[[#This Row],[ISSUE DATE]], "YYYY"))</f>
        <v>2021</v>
      </c>
    </row>
    <row r="1521" spans="1:12" s="29" customFormat="1" ht="23.95" customHeight="1" x14ac:dyDescent="0.3">
      <c r="A1521" s="31"/>
      <c r="B1521" s="24">
        <v>1508</v>
      </c>
      <c r="C1521" s="24" t="s">
        <v>1572</v>
      </c>
      <c r="D1521" s="24" t="s">
        <v>32</v>
      </c>
      <c r="E1521" s="24" t="s">
        <v>9</v>
      </c>
      <c r="F1521" s="24">
        <v>20325</v>
      </c>
      <c r="G1521" s="25">
        <v>45434</v>
      </c>
      <c r="H1521" s="25">
        <v>46164</v>
      </c>
      <c r="I1521" s="24" t="s">
        <v>10</v>
      </c>
      <c r="J1521" s="24" t="s">
        <v>33</v>
      </c>
      <c r="K1521" s="24" t="str">
        <f>IF(certifications[[#This Row],[ISSUE DATE]]="", "", TEXT(certifications[[#This Row],[ISSUE DATE]], "MMM"))</f>
        <v>May</v>
      </c>
      <c r="L1521" s="35" t="str">
        <f>IF(certifications[[#This Row],[ISSUE DATE]]="", "", TEXT(certifications[[#This Row],[ISSUE DATE]], "YYYY"))</f>
        <v>2024</v>
      </c>
    </row>
    <row r="1522" spans="1:12" s="29" customFormat="1" ht="23.95" customHeight="1" x14ac:dyDescent="0.3">
      <c r="A1522" s="31"/>
      <c r="B1522" s="24">
        <v>1509</v>
      </c>
      <c r="C1522" s="24" t="s">
        <v>1573</v>
      </c>
      <c r="D1522" s="24" t="s">
        <v>198</v>
      </c>
      <c r="E1522" s="24" t="s">
        <v>9</v>
      </c>
      <c r="F1522" s="24">
        <v>11701</v>
      </c>
      <c r="G1522" s="25">
        <v>43272</v>
      </c>
      <c r="H1522" s="25">
        <v>44003</v>
      </c>
      <c r="I1522" s="24" t="s">
        <v>16</v>
      </c>
      <c r="J1522" s="24" t="s">
        <v>38</v>
      </c>
      <c r="K1522" s="24" t="str">
        <f>IF(certifications[[#This Row],[ISSUE DATE]]="", "", TEXT(certifications[[#This Row],[ISSUE DATE]], "MMM"))</f>
        <v>Jun</v>
      </c>
      <c r="L1522" s="35" t="str">
        <f>IF(certifications[[#This Row],[ISSUE DATE]]="", "", TEXT(certifications[[#This Row],[ISSUE DATE]], "YYYY"))</f>
        <v>2018</v>
      </c>
    </row>
    <row r="1523" spans="1:12" s="29" customFormat="1" ht="23.95" customHeight="1" x14ac:dyDescent="0.3">
      <c r="A1523" s="31"/>
      <c r="B1523" s="24">
        <v>1510</v>
      </c>
      <c r="C1523" s="24" t="s">
        <v>1573</v>
      </c>
      <c r="D1523" s="24" t="s">
        <v>198</v>
      </c>
      <c r="E1523" s="24" t="s">
        <v>26</v>
      </c>
      <c r="F1523" s="24">
        <v>11701</v>
      </c>
      <c r="G1523" s="25">
        <v>43368</v>
      </c>
      <c r="H1523" s="25">
        <v>44099</v>
      </c>
      <c r="I1523" s="24" t="s">
        <v>16</v>
      </c>
      <c r="J1523" s="24" t="s">
        <v>38</v>
      </c>
      <c r="K1523" s="24" t="str">
        <f>IF(certifications[[#This Row],[ISSUE DATE]]="", "", TEXT(certifications[[#This Row],[ISSUE DATE]], "MMM"))</f>
        <v>Sep</v>
      </c>
      <c r="L1523" s="35" t="str">
        <f>IF(certifications[[#This Row],[ISSUE DATE]]="", "", TEXT(certifications[[#This Row],[ISSUE DATE]], "YYYY"))</f>
        <v>2018</v>
      </c>
    </row>
    <row r="1524" spans="1:12" s="29" customFormat="1" ht="23.95" customHeight="1" x14ac:dyDescent="0.3">
      <c r="A1524" s="31"/>
      <c r="B1524" s="24">
        <v>1511</v>
      </c>
      <c r="C1524" s="24" t="s">
        <v>1574</v>
      </c>
      <c r="D1524" s="24" t="s">
        <v>46</v>
      </c>
      <c r="E1524" s="24" t="s">
        <v>26</v>
      </c>
      <c r="F1524" s="24">
        <v>21407</v>
      </c>
      <c r="G1524" s="25">
        <v>45682</v>
      </c>
      <c r="H1524" s="25">
        <v>46412</v>
      </c>
      <c r="I1524" s="24" t="s">
        <v>10</v>
      </c>
      <c r="J1524" s="24" t="s">
        <v>38</v>
      </c>
      <c r="K1524" s="24" t="str">
        <f>IF(certifications[[#This Row],[ISSUE DATE]]="", "", TEXT(certifications[[#This Row],[ISSUE DATE]], "MMM"))</f>
        <v>Jan</v>
      </c>
      <c r="L1524" s="35" t="str">
        <f>IF(certifications[[#This Row],[ISSUE DATE]]="", "", TEXT(certifications[[#This Row],[ISSUE DATE]], "YYYY"))</f>
        <v>2025</v>
      </c>
    </row>
    <row r="1525" spans="1:12" s="29" customFormat="1" ht="23.95" customHeight="1" x14ac:dyDescent="0.3">
      <c r="A1525" s="31"/>
      <c r="B1525" s="24">
        <v>1512</v>
      </c>
      <c r="C1525" s="24" t="s">
        <v>1575</v>
      </c>
      <c r="D1525" s="24" t="s">
        <v>13</v>
      </c>
      <c r="E1525" s="24" t="s">
        <v>9</v>
      </c>
      <c r="F1525" s="24">
        <v>15491</v>
      </c>
      <c r="G1525" s="25">
        <v>44091</v>
      </c>
      <c r="H1525" s="25">
        <v>45552</v>
      </c>
      <c r="I1525" s="24" t="s">
        <v>82</v>
      </c>
      <c r="J1525" s="24" t="s">
        <v>14</v>
      </c>
      <c r="K1525" s="24" t="str">
        <f>IF(certifications[[#This Row],[ISSUE DATE]]="", "", TEXT(certifications[[#This Row],[ISSUE DATE]], "MMM"))</f>
        <v>Sep</v>
      </c>
      <c r="L1525" s="35" t="str">
        <f>IF(certifications[[#This Row],[ISSUE DATE]]="", "", TEXT(certifications[[#This Row],[ISSUE DATE]], "YYYY"))</f>
        <v>2020</v>
      </c>
    </row>
    <row r="1526" spans="1:12" s="29" customFormat="1" ht="23.95" customHeight="1" x14ac:dyDescent="0.3">
      <c r="A1526" s="31"/>
      <c r="B1526" s="24">
        <v>1513</v>
      </c>
      <c r="C1526" s="24" t="s">
        <v>1576</v>
      </c>
      <c r="D1526" s="24" t="s">
        <v>141</v>
      </c>
      <c r="E1526" s="24" t="s">
        <v>9</v>
      </c>
      <c r="F1526" s="24">
        <v>8968</v>
      </c>
      <c r="G1526" s="25">
        <v>41849</v>
      </c>
      <c r="H1526" s="25">
        <v>44041</v>
      </c>
      <c r="I1526" s="24" t="s">
        <v>16</v>
      </c>
      <c r="J1526" s="24" t="s">
        <v>38</v>
      </c>
      <c r="K1526" s="24" t="str">
        <f>IF(certifications[[#This Row],[ISSUE DATE]]="", "", TEXT(certifications[[#This Row],[ISSUE DATE]], "MMM"))</f>
        <v>Jul</v>
      </c>
      <c r="L1526" s="35" t="str">
        <f>IF(certifications[[#This Row],[ISSUE DATE]]="", "", TEXT(certifications[[#This Row],[ISSUE DATE]], "YYYY"))</f>
        <v>2014</v>
      </c>
    </row>
    <row r="1527" spans="1:12" s="29" customFormat="1" ht="23.95" customHeight="1" x14ac:dyDescent="0.3">
      <c r="A1527" s="31"/>
      <c r="B1527" s="24">
        <v>1514</v>
      </c>
      <c r="C1527" s="24" t="s">
        <v>1577</v>
      </c>
      <c r="D1527" s="24" t="s">
        <v>431</v>
      </c>
      <c r="E1527" s="24" t="s">
        <v>9</v>
      </c>
      <c r="F1527" s="24">
        <v>9604</v>
      </c>
      <c r="G1527" s="25">
        <v>42513</v>
      </c>
      <c r="H1527" s="25">
        <v>43243</v>
      </c>
      <c r="I1527" s="24" t="s">
        <v>16</v>
      </c>
      <c r="J1527" s="24" t="s">
        <v>22</v>
      </c>
      <c r="K1527" s="24" t="str">
        <f>IF(certifications[[#This Row],[ISSUE DATE]]="", "", TEXT(certifications[[#This Row],[ISSUE DATE]], "MMM"))</f>
        <v>May</v>
      </c>
      <c r="L1527" s="35" t="str">
        <f>IF(certifications[[#This Row],[ISSUE DATE]]="", "", TEXT(certifications[[#This Row],[ISSUE DATE]], "YYYY"))</f>
        <v>2016</v>
      </c>
    </row>
    <row r="1528" spans="1:12" s="29" customFormat="1" ht="23.95" customHeight="1" x14ac:dyDescent="0.3">
      <c r="A1528" s="31"/>
      <c r="B1528" s="24">
        <v>1515</v>
      </c>
      <c r="C1528" s="24" t="s">
        <v>1578</v>
      </c>
      <c r="D1528" s="24" t="s">
        <v>755</v>
      </c>
      <c r="E1528" s="24" t="s">
        <v>9</v>
      </c>
      <c r="F1528" s="24">
        <v>7831</v>
      </c>
      <c r="G1528" s="25">
        <v>40654</v>
      </c>
      <c r="H1528" s="25">
        <v>41385</v>
      </c>
      <c r="I1528" s="24" t="s">
        <v>16</v>
      </c>
      <c r="J1528" s="24" t="s">
        <v>38</v>
      </c>
      <c r="K1528" s="24" t="str">
        <f>IF(certifications[[#This Row],[ISSUE DATE]]="", "", TEXT(certifications[[#This Row],[ISSUE DATE]], "MMM"))</f>
        <v>Apr</v>
      </c>
      <c r="L1528" s="35" t="str">
        <f>IF(certifications[[#This Row],[ISSUE DATE]]="", "", TEXT(certifications[[#This Row],[ISSUE DATE]], "YYYY"))</f>
        <v>2011</v>
      </c>
    </row>
    <row r="1529" spans="1:12" s="29" customFormat="1" ht="23.95" customHeight="1" x14ac:dyDescent="0.3">
      <c r="A1529" s="31"/>
      <c r="B1529" s="24">
        <v>1516</v>
      </c>
      <c r="C1529" s="24" t="s">
        <v>1579</v>
      </c>
      <c r="D1529" s="24" t="s">
        <v>63</v>
      </c>
      <c r="E1529" s="24" t="s">
        <v>9</v>
      </c>
      <c r="F1529" s="24">
        <v>8560</v>
      </c>
      <c r="G1529" s="25">
        <v>41485</v>
      </c>
      <c r="H1529" s="25">
        <v>42215</v>
      </c>
      <c r="I1529" s="24" t="s">
        <v>16</v>
      </c>
      <c r="J1529" s="24" t="s">
        <v>22</v>
      </c>
      <c r="K1529" s="24" t="str">
        <f>IF(certifications[[#This Row],[ISSUE DATE]]="", "", TEXT(certifications[[#This Row],[ISSUE DATE]], "MMM"))</f>
        <v>Jul</v>
      </c>
      <c r="L1529" s="35" t="str">
        <f>IF(certifications[[#This Row],[ISSUE DATE]]="", "", TEXT(certifications[[#This Row],[ISSUE DATE]], "YYYY"))</f>
        <v>2013</v>
      </c>
    </row>
    <row r="1530" spans="1:12" s="29" customFormat="1" ht="23.95" customHeight="1" x14ac:dyDescent="0.3">
      <c r="A1530" s="31"/>
      <c r="B1530" s="24">
        <v>1517</v>
      </c>
      <c r="C1530" s="24" t="s">
        <v>1579</v>
      </c>
      <c r="D1530" s="24" t="s">
        <v>126</v>
      </c>
      <c r="E1530" s="24" t="s">
        <v>9</v>
      </c>
      <c r="F1530" s="24">
        <v>8975</v>
      </c>
      <c r="G1530" s="25">
        <v>41849</v>
      </c>
      <c r="H1530" s="25">
        <v>42580</v>
      </c>
      <c r="I1530" s="24" t="s">
        <v>16</v>
      </c>
      <c r="J1530" s="24" t="s">
        <v>38</v>
      </c>
      <c r="K1530" s="24" t="str">
        <f>IF(certifications[[#This Row],[ISSUE DATE]]="", "", TEXT(certifications[[#This Row],[ISSUE DATE]], "MMM"))</f>
        <v>Jul</v>
      </c>
      <c r="L1530" s="35" t="str">
        <f>IF(certifications[[#This Row],[ISSUE DATE]]="", "", TEXT(certifications[[#This Row],[ISSUE DATE]], "YYYY"))</f>
        <v>2014</v>
      </c>
    </row>
    <row r="1531" spans="1:12" s="29" customFormat="1" ht="23.95" customHeight="1" x14ac:dyDescent="0.3">
      <c r="A1531" s="31"/>
      <c r="B1531" s="24">
        <v>1518</v>
      </c>
      <c r="C1531" s="24" t="s">
        <v>1580</v>
      </c>
      <c r="D1531" s="24" t="s">
        <v>73</v>
      </c>
      <c r="E1531" s="24" t="s">
        <v>9</v>
      </c>
      <c r="F1531" s="24">
        <v>10702</v>
      </c>
      <c r="G1531" s="25">
        <v>44861</v>
      </c>
      <c r="H1531" s="25">
        <v>46322</v>
      </c>
      <c r="I1531" s="24" t="s">
        <v>10</v>
      </c>
      <c r="J1531" s="24" t="s">
        <v>30</v>
      </c>
      <c r="K1531" s="24" t="str">
        <f>IF(certifications[[#This Row],[ISSUE DATE]]="", "", TEXT(certifications[[#This Row],[ISSUE DATE]], "MMM"))</f>
        <v>Oct</v>
      </c>
      <c r="L1531" s="35" t="str">
        <f>IF(certifications[[#This Row],[ISSUE DATE]]="", "", TEXT(certifications[[#This Row],[ISSUE DATE]], "YYYY"))</f>
        <v>2022</v>
      </c>
    </row>
    <row r="1532" spans="1:12" s="29" customFormat="1" ht="23.95" customHeight="1" x14ac:dyDescent="0.3">
      <c r="A1532" s="31"/>
      <c r="B1532" s="24">
        <v>1519</v>
      </c>
      <c r="C1532" s="24" t="s">
        <v>1581</v>
      </c>
      <c r="D1532" s="24" t="s">
        <v>57</v>
      </c>
      <c r="E1532" s="24" t="s">
        <v>9</v>
      </c>
      <c r="F1532" s="24">
        <v>8478</v>
      </c>
      <c r="G1532" s="25">
        <v>41426</v>
      </c>
      <c r="H1532" s="25">
        <v>42887</v>
      </c>
      <c r="I1532" s="24" t="s">
        <v>16</v>
      </c>
      <c r="J1532" s="24" t="s">
        <v>38</v>
      </c>
      <c r="K1532" s="24" t="str">
        <f>IF(certifications[[#This Row],[ISSUE DATE]]="", "", TEXT(certifications[[#This Row],[ISSUE DATE]], "MMM"))</f>
        <v>Jun</v>
      </c>
      <c r="L1532" s="35" t="str">
        <f>IF(certifications[[#This Row],[ISSUE DATE]]="", "", TEXT(certifications[[#This Row],[ISSUE DATE]], "YYYY"))</f>
        <v>2013</v>
      </c>
    </row>
    <row r="1533" spans="1:12" s="29" customFormat="1" ht="23.95" customHeight="1" x14ac:dyDescent="0.3">
      <c r="A1533" s="31"/>
      <c r="B1533" s="24">
        <v>1520</v>
      </c>
      <c r="C1533" s="24" t="s">
        <v>1582</v>
      </c>
      <c r="D1533" s="24" t="s">
        <v>32</v>
      </c>
      <c r="E1533" s="24" t="s">
        <v>26</v>
      </c>
      <c r="F1533" s="24">
        <v>21406</v>
      </c>
      <c r="G1533" s="25">
        <v>45681</v>
      </c>
      <c r="H1533" s="25">
        <v>46411</v>
      </c>
      <c r="I1533" s="24" t="s">
        <v>10</v>
      </c>
      <c r="J1533" s="24" t="s">
        <v>33</v>
      </c>
      <c r="K1533" s="24" t="str">
        <f>IF(certifications[[#This Row],[ISSUE DATE]]="", "", TEXT(certifications[[#This Row],[ISSUE DATE]], "MMM"))</f>
        <v>Jan</v>
      </c>
      <c r="L1533" s="35" t="str">
        <f>IF(certifications[[#This Row],[ISSUE DATE]]="", "", TEXT(certifications[[#This Row],[ISSUE DATE]], "YYYY"))</f>
        <v>2025</v>
      </c>
    </row>
    <row r="1534" spans="1:12" s="29" customFormat="1" ht="23.95" customHeight="1" x14ac:dyDescent="0.3">
      <c r="A1534" s="31"/>
      <c r="B1534" s="24">
        <v>1521</v>
      </c>
      <c r="C1534" s="24" t="s">
        <v>1583</v>
      </c>
      <c r="D1534" s="24" t="s">
        <v>452</v>
      </c>
      <c r="E1534" s="24" t="s">
        <v>26</v>
      </c>
      <c r="F1534" s="24">
        <v>18289</v>
      </c>
      <c r="G1534" s="25">
        <v>44965</v>
      </c>
      <c r="H1534" s="25">
        <v>46426</v>
      </c>
      <c r="I1534" s="24" t="s">
        <v>10</v>
      </c>
      <c r="J1534" s="24" t="s">
        <v>25</v>
      </c>
      <c r="K1534" s="24" t="str">
        <f>IF(certifications[[#This Row],[ISSUE DATE]]="", "", TEXT(certifications[[#This Row],[ISSUE DATE]], "MMM"))</f>
        <v>Feb</v>
      </c>
      <c r="L1534" s="35" t="str">
        <f>IF(certifications[[#This Row],[ISSUE DATE]]="", "", TEXT(certifications[[#This Row],[ISSUE DATE]], "YYYY"))</f>
        <v>2023</v>
      </c>
    </row>
    <row r="1535" spans="1:12" s="29" customFormat="1" ht="23.95" customHeight="1" x14ac:dyDescent="0.3">
      <c r="A1535" s="31"/>
      <c r="B1535" s="24">
        <v>1522</v>
      </c>
      <c r="C1535" s="24" t="s">
        <v>1584</v>
      </c>
      <c r="D1535" s="24" t="s">
        <v>80</v>
      </c>
      <c r="E1535" s="24" t="s">
        <v>9</v>
      </c>
      <c r="F1535" s="24">
        <v>18699</v>
      </c>
      <c r="G1535" s="25">
        <v>45336</v>
      </c>
      <c r="H1535" s="25">
        <v>46067</v>
      </c>
      <c r="I1535" s="24" t="s">
        <v>10</v>
      </c>
      <c r="J1535" s="24" t="s">
        <v>38</v>
      </c>
      <c r="K1535" s="24" t="str">
        <f>IF(certifications[[#This Row],[ISSUE DATE]]="", "", TEXT(certifications[[#This Row],[ISSUE DATE]], "MMM"))</f>
        <v>Feb</v>
      </c>
      <c r="L1535" s="35" t="str">
        <f>IF(certifications[[#This Row],[ISSUE DATE]]="", "", TEXT(certifications[[#This Row],[ISSUE DATE]], "YYYY"))</f>
        <v>2024</v>
      </c>
    </row>
    <row r="1536" spans="1:12" s="29" customFormat="1" ht="23.95" customHeight="1" x14ac:dyDescent="0.3">
      <c r="A1536" s="31"/>
      <c r="B1536" s="24">
        <v>1523</v>
      </c>
      <c r="C1536" s="24" t="s">
        <v>1584</v>
      </c>
      <c r="D1536" s="24" t="s">
        <v>80</v>
      </c>
      <c r="E1536" s="24" t="s">
        <v>26</v>
      </c>
      <c r="F1536" s="24">
        <v>18699</v>
      </c>
      <c r="G1536" s="25">
        <v>45086</v>
      </c>
      <c r="H1536" s="25">
        <v>45817</v>
      </c>
      <c r="I1536" s="24" t="s">
        <v>82</v>
      </c>
      <c r="J1536" s="24" t="s">
        <v>38</v>
      </c>
      <c r="K1536" s="24" t="str">
        <f>IF(certifications[[#This Row],[ISSUE DATE]]="", "", TEXT(certifications[[#This Row],[ISSUE DATE]], "MMM"))</f>
        <v>Jun</v>
      </c>
      <c r="L1536" s="35" t="str">
        <f>IF(certifications[[#This Row],[ISSUE DATE]]="", "", TEXT(certifications[[#This Row],[ISSUE DATE]], "YYYY"))</f>
        <v>2023</v>
      </c>
    </row>
    <row r="1537" spans="1:12" s="29" customFormat="1" ht="23.95" customHeight="1" x14ac:dyDescent="0.3">
      <c r="A1537" s="31"/>
      <c r="B1537" s="24">
        <v>1524</v>
      </c>
      <c r="C1537" s="24" t="s">
        <v>1585</v>
      </c>
      <c r="D1537" s="24" t="s">
        <v>164</v>
      </c>
      <c r="E1537" s="24" t="s">
        <v>9</v>
      </c>
      <c r="F1537" s="24">
        <v>10270</v>
      </c>
      <c r="G1537" s="25">
        <v>42908</v>
      </c>
      <c r="H1537" s="25">
        <v>45830</v>
      </c>
      <c r="I1537" s="24" t="s">
        <v>10</v>
      </c>
      <c r="J1537" s="24" t="s">
        <v>22</v>
      </c>
      <c r="K1537" s="24" t="str">
        <f>IF(certifications[[#This Row],[ISSUE DATE]]="", "", TEXT(certifications[[#This Row],[ISSUE DATE]], "MMM"))</f>
        <v>Jun</v>
      </c>
      <c r="L1537" s="35" t="str">
        <f>IF(certifications[[#This Row],[ISSUE DATE]]="", "", TEXT(certifications[[#This Row],[ISSUE DATE]], "YYYY"))</f>
        <v>2017</v>
      </c>
    </row>
    <row r="1538" spans="1:12" s="29" customFormat="1" ht="23.95" customHeight="1" x14ac:dyDescent="0.3">
      <c r="A1538" s="31"/>
      <c r="B1538" s="24">
        <v>1525</v>
      </c>
      <c r="C1538" s="24" t="s">
        <v>1586</v>
      </c>
      <c r="D1538" s="24" t="s">
        <v>1587</v>
      </c>
      <c r="E1538" s="24" t="s">
        <v>9</v>
      </c>
      <c r="F1538" s="24">
        <v>8839</v>
      </c>
      <c r="G1538" s="25">
        <v>41773</v>
      </c>
      <c r="H1538" s="25">
        <v>43234</v>
      </c>
      <c r="I1538" s="24" t="s">
        <v>16</v>
      </c>
      <c r="J1538" s="24" t="s">
        <v>14</v>
      </c>
      <c r="K1538" s="24" t="str">
        <f>IF(certifications[[#This Row],[ISSUE DATE]]="", "", TEXT(certifications[[#This Row],[ISSUE DATE]], "MMM"))</f>
        <v>May</v>
      </c>
      <c r="L1538" s="35" t="str">
        <f>IF(certifications[[#This Row],[ISSUE DATE]]="", "", TEXT(certifications[[#This Row],[ISSUE DATE]], "YYYY"))</f>
        <v>2014</v>
      </c>
    </row>
    <row r="1539" spans="1:12" s="29" customFormat="1" ht="23.95" customHeight="1" x14ac:dyDescent="0.3">
      <c r="A1539" s="31"/>
      <c r="B1539" s="24">
        <v>1526</v>
      </c>
      <c r="C1539" s="24" t="s">
        <v>1588</v>
      </c>
      <c r="D1539" s="24" t="s">
        <v>53</v>
      </c>
      <c r="E1539" s="24" t="s">
        <v>9</v>
      </c>
      <c r="F1539" s="24">
        <v>11682</v>
      </c>
      <c r="G1539" s="25">
        <v>43269</v>
      </c>
      <c r="H1539" s="25">
        <v>44000</v>
      </c>
      <c r="I1539" s="24" t="s">
        <v>16</v>
      </c>
      <c r="J1539" s="24" t="s">
        <v>25</v>
      </c>
      <c r="K1539" s="24" t="str">
        <f>IF(certifications[[#This Row],[ISSUE DATE]]="", "", TEXT(certifications[[#This Row],[ISSUE DATE]], "MMM"))</f>
        <v>Jun</v>
      </c>
      <c r="L1539" s="35" t="str">
        <f>IF(certifications[[#This Row],[ISSUE DATE]]="", "", TEXT(certifications[[#This Row],[ISSUE DATE]], "YYYY"))</f>
        <v>2018</v>
      </c>
    </row>
    <row r="1540" spans="1:12" s="29" customFormat="1" ht="23.95" customHeight="1" x14ac:dyDescent="0.3">
      <c r="A1540" s="31"/>
      <c r="B1540" s="24">
        <v>1527</v>
      </c>
      <c r="C1540" s="24" t="s">
        <v>1589</v>
      </c>
      <c r="D1540" s="24" t="s">
        <v>256</v>
      </c>
      <c r="E1540" s="24" t="s">
        <v>9</v>
      </c>
      <c r="F1540" s="24">
        <v>10165</v>
      </c>
      <c r="G1540" s="25">
        <v>42899</v>
      </c>
      <c r="H1540" s="25">
        <v>44360</v>
      </c>
      <c r="I1540" s="24" t="s">
        <v>16</v>
      </c>
      <c r="J1540" s="24" t="s">
        <v>14</v>
      </c>
      <c r="K1540" s="24" t="str">
        <f>IF(certifications[[#This Row],[ISSUE DATE]]="", "", TEXT(certifications[[#This Row],[ISSUE DATE]], "MMM"))</f>
        <v>Jun</v>
      </c>
      <c r="L1540" s="35" t="str">
        <f>IF(certifications[[#This Row],[ISSUE DATE]]="", "", TEXT(certifications[[#This Row],[ISSUE DATE]], "YYYY"))</f>
        <v>2017</v>
      </c>
    </row>
    <row r="1541" spans="1:12" s="29" customFormat="1" ht="23.95" customHeight="1" x14ac:dyDescent="0.3">
      <c r="A1541" s="31"/>
      <c r="B1541" s="24">
        <v>1528</v>
      </c>
      <c r="C1541" s="24" t="s">
        <v>1590</v>
      </c>
      <c r="D1541" s="24" t="s">
        <v>40</v>
      </c>
      <c r="E1541" s="24" t="s">
        <v>26</v>
      </c>
      <c r="F1541" s="24">
        <v>17397</v>
      </c>
      <c r="G1541" s="25">
        <v>44679</v>
      </c>
      <c r="H1541" s="25">
        <v>45410</v>
      </c>
      <c r="I1541" s="24" t="s">
        <v>16</v>
      </c>
      <c r="J1541" s="24" t="s">
        <v>25</v>
      </c>
      <c r="K1541" s="24" t="str">
        <f>IF(certifications[[#This Row],[ISSUE DATE]]="", "", TEXT(certifications[[#This Row],[ISSUE DATE]], "MMM"))</f>
        <v>Apr</v>
      </c>
      <c r="L1541" s="35" t="str">
        <f>IF(certifications[[#This Row],[ISSUE DATE]]="", "", TEXT(certifications[[#This Row],[ISSUE DATE]], "YYYY"))</f>
        <v>2022</v>
      </c>
    </row>
    <row r="1542" spans="1:12" s="29" customFormat="1" ht="23.95" customHeight="1" x14ac:dyDescent="0.3">
      <c r="A1542" s="31"/>
      <c r="B1542" s="24">
        <v>1529</v>
      </c>
      <c r="C1542" s="24" t="s">
        <v>1591</v>
      </c>
      <c r="D1542" s="24" t="s">
        <v>32</v>
      </c>
      <c r="E1542" s="24" t="s">
        <v>9</v>
      </c>
      <c r="F1542" s="24">
        <v>20857</v>
      </c>
      <c r="G1542" s="25">
        <v>45554</v>
      </c>
      <c r="H1542" s="25">
        <v>46284</v>
      </c>
      <c r="I1542" s="24" t="s">
        <v>10</v>
      </c>
      <c r="J1542" s="24" t="s">
        <v>33</v>
      </c>
      <c r="K1542" s="24" t="str">
        <f>IF(certifications[[#This Row],[ISSUE DATE]]="", "", TEXT(certifications[[#This Row],[ISSUE DATE]], "MMM"))</f>
        <v>Sep</v>
      </c>
      <c r="L1542" s="35" t="str">
        <f>IF(certifications[[#This Row],[ISSUE DATE]]="", "", TEXT(certifications[[#This Row],[ISSUE DATE]], "YYYY"))</f>
        <v>2024</v>
      </c>
    </row>
    <row r="1543" spans="1:12" s="29" customFormat="1" ht="23.95" customHeight="1" x14ac:dyDescent="0.3">
      <c r="A1543" s="31"/>
      <c r="B1543" s="24">
        <v>1530</v>
      </c>
      <c r="C1543" s="24" t="s">
        <v>1592</v>
      </c>
      <c r="D1543" s="24" t="s">
        <v>153</v>
      </c>
      <c r="E1543" s="24" t="s">
        <v>9</v>
      </c>
      <c r="F1543" s="24">
        <v>18078</v>
      </c>
      <c r="G1543" s="25">
        <v>44899</v>
      </c>
      <c r="H1543" s="25">
        <v>46360</v>
      </c>
      <c r="I1543" s="24" t="s">
        <v>10</v>
      </c>
      <c r="J1543" s="24" t="s">
        <v>22</v>
      </c>
      <c r="K1543" s="24" t="str">
        <f>IF(certifications[[#This Row],[ISSUE DATE]]="", "", TEXT(certifications[[#This Row],[ISSUE DATE]], "MMM"))</f>
        <v>Dec</v>
      </c>
      <c r="L1543" s="35" t="str">
        <f>IF(certifications[[#This Row],[ISSUE DATE]]="", "", TEXT(certifications[[#This Row],[ISSUE DATE]], "YYYY"))</f>
        <v>2022</v>
      </c>
    </row>
    <row r="1544" spans="1:12" s="29" customFormat="1" ht="23.95" customHeight="1" x14ac:dyDescent="0.3">
      <c r="A1544" s="31"/>
      <c r="B1544" s="24">
        <v>1531</v>
      </c>
      <c r="C1544" s="24" t="s">
        <v>1592</v>
      </c>
      <c r="D1544" s="24" t="s">
        <v>153</v>
      </c>
      <c r="E1544" s="24" t="s">
        <v>26</v>
      </c>
      <c r="F1544" s="24">
        <v>18078</v>
      </c>
      <c r="G1544" s="25">
        <v>44902</v>
      </c>
      <c r="H1544" s="25">
        <v>46363</v>
      </c>
      <c r="I1544" s="24" t="s">
        <v>10</v>
      </c>
      <c r="J1544" s="24" t="s">
        <v>22</v>
      </c>
      <c r="K1544" s="24" t="str">
        <f>IF(certifications[[#This Row],[ISSUE DATE]]="", "", TEXT(certifications[[#This Row],[ISSUE DATE]], "MMM"))</f>
        <v>Dec</v>
      </c>
      <c r="L1544" s="35" t="str">
        <f>IF(certifications[[#This Row],[ISSUE DATE]]="", "", TEXT(certifications[[#This Row],[ISSUE DATE]], "YYYY"))</f>
        <v>2022</v>
      </c>
    </row>
    <row r="1545" spans="1:12" s="29" customFormat="1" ht="23.95" customHeight="1" x14ac:dyDescent="0.3">
      <c r="A1545" s="31"/>
      <c r="B1545" s="24">
        <v>1532</v>
      </c>
      <c r="C1545" s="24" t="s">
        <v>1593</v>
      </c>
      <c r="D1545" s="24" t="s">
        <v>309</v>
      </c>
      <c r="E1545" s="24" t="s">
        <v>26</v>
      </c>
      <c r="F1545" s="24">
        <v>21089</v>
      </c>
      <c r="G1545" s="25">
        <v>45604</v>
      </c>
      <c r="H1545" s="25">
        <v>46334</v>
      </c>
      <c r="I1545" s="24" t="s">
        <v>10</v>
      </c>
      <c r="J1545" s="24" t="s">
        <v>11</v>
      </c>
      <c r="K1545" s="24" t="str">
        <f>IF(certifications[[#This Row],[ISSUE DATE]]="", "", TEXT(certifications[[#This Row],[ISSUE DATE]], "MMM"))</f>
        <v>Nov</v>
      </c>
      <c r="L1545" s="35" t="str">
        <f>IF(certifications[[#This Row],[ISSUE DATE]]="", "", TEXT(certifications[[#This Row],[ISSUE DATE]], "YYYY"))</f>
        <v>2024</v>
      </c>
    </row>
    <row r="1546" spans="1:12" s="29" customFormat="1" ht="23.95" customHeight="1" x14ac:dyDescent="0.3">
      <c r="A1546" s="31"/>
      <c r="B1546" s="24">
        <v>1533</v>
      </c>
      <c r="C1546" s="24" t="s">
        <v>1594</v>
      </c>
      <c r="D1546" s="24" t="s">
        <v>24</v>
      </c>
      <c r="E1546" s="24" t="s">
        <v>9</v>
      </c>
      <c r="F1546" s="24">
        <v>13717</v>
      </c>
      <c r="G1546" s="25">
        <v>43640</v>
      </c>
      <c r="H1546" s="25">
        <v>44371</v>
      </c>
      <c r="I1546" s="24" t="s">
        <v>16</v>
      </c>
      <c r="J1546" s="24" t="s">
        <v>25</v>
      </c>
      <c r="K1546" s="24" t="str">
        <f>IF(certifications[[#This Row],[ISSUE DATE]]="", "", TEXT(certifications[[#This Row],[ISSUE DATE]], "MMM"))</f>
        <v>Jun</v>
      </c>
      <c r="L1546" s="35" t="str">
        <f>IF(certifications[[#This Row],[ISSUE DATE]]="", "", TEXT(certifications[[#This Row],[ISSUE DATE]], "YYYY"))</f>
        <v>2019</v>
      </c>
    </row>
    <row r="1547" spans="1:12" s="29" customFormat="1" ht="23.95" customHeight="1" x14ac:dyDescent="0.3">
      <c r="A1547" s="31"/>
      <c r="B1547" s="24">
        <v>1534</v>
      </c>
      <c r="C1547" s="24" t="s">
        <v>1595</v>
      </c>
      <c r="D1547" s="24" t="s">
        <v>13</v>
      </c>
      <c r="E1547" s="24" t="s">
        <v>9</v>
      </c>
      <c r="F1547" s="24">
        <v>15783</v>
      </c>
      <c r="G1547" s="25">
        <v>44186</v>
      </c>
      <c r="H1547" s="25">
        <v>44916</v>
      </c>
      <c r="I1547" s="24" t="s">
        <v>16</v>
      </c>
      <c r="J1547" s="24" t="s">
        <v>14</v>
      </c>
      <c r="K1547" s="24" t="str">
        <f>IF(certifications[[#This Row],[ISSUE DATE]]="", "", TEXT(certifications[[#This Row],[ISSUE DATE]], "MMM"))</f>
        <v>Dec</v>
      </c>
      <c r="L1547" s="35" t="str">
        <f>IF(certifications[[#This Row],[ISSUE DATE]]="", "", TEXT(certifications[[#This Row],[ISSUE DATE]], "YYYY"))</f>
        <v>2020</v>
      </c>
    </row>
    <row r="1548" spans="1:12" s="29" customFormat="1" ht="23.95" customHeight="1" x14ac:dyDescent="0.3">
      <c r="A1548" s="31"/>
      <c r="B1548" s="24">
        <v>1535</v>
      </c>
      <c r="C1548" s="24" t="s">
        <v>1596</v>
      </c>
      <c r="D1548" s="24" t="s">
        <v>13</v>
      </c>
      <c r="E1548" s="24" t="s">
        <v>9</v>
      </c>
      <c r="F1548" s="24">
        <v>9194</v>
      </c>
      <c r="G1548" s="25">
        <v>42144</v>
      </c>
      <c r="H1548" s="25">
        <v>42875</v>
      </c>
      <c r="I1548" s="24" t="s">
        <v>16</v>
      </c>
      <c r="J1548" s="24" t="s">
        <v>14</v>
      </c>
      <c r="K1548" s="24" t="str">
        <f>IF(certifications[[#This Row],[ISSUE DATE]]="", "", TEXT(certifications[[#This Row],[ISSUE DATE]], "MMM"))</f>
        <v>May</v>
      </c>
      <c r="L1548" s="35" t="str">
        <f>IF(certifications[[#This Row],[ISSUE DATE]]="", "", TEXT(certifications[[#This Row],[ISSUE DATE]], "YYYY"))</f>
        <v>2015</v>
      </c>
    </row>
    <row r="1549" spans="1:12" s="29" customFormat="1" ht="23.95" customHeight="1" x14ac:dyDescent="0.3">
      <c r="A1549" s="31"/>
      <c r="B1549" s="24">
        <v>1536</v>
      </c>
      <c r="C1549" s="24" t="s">
        <v>1597</v>
      </c>
      <c r="D1549" s="24" t="s">
        <v>264</v>
      </c>
      <c r="E1549" s="24" t="s">
        <v>9</v>
      </c>
      <c r="F1549" s="24">
        <v>14243</v>
      </c>
      <c r="G1549" s="25">
        <v>43686</v>
      </c>
      <c r="H1549" s="25">
        <v>44417</v>
      </c>
      <c r="I1549" s="24" t="s">
        <v>16</v>
      </c>
      <c r="J1549" s="24" t="s">
        <v>22</v>
      </c>
      <c r="K1549" s="24" t="str">
        <f>IF(certifications[[#This Row],[ISSUE DATE]]="", "", TEXT(certifications[[#This Row],[ISSUE DATE]], "MMM"))</f>
        <v>Aug</v>
      </c>
      <c r="L1549" s="35" t="str">
        <f>IF(certifications[[#This Row],[ISSUE DATE]]="", "", TEXT(certifications[[#This Row],[ISSUE DATE]], "YYYY"))</f>
        <v>2019</v>
      </c>
    </row>
    <row r="1550" spans="1:12" s="29" customFormat="1" ht="23.95" customHeight="1" x14ac:dyDescent="0.3">
      <c r="A1550" s="31"/>
      <c r="B1550" s="24">
        <v>1537</v>
      </c>
      <c r="C1550" s="24" t="s">
        <v>1598</v>
      </c>
      <c r="D1550" s="24" t="s">
        <v>202</v>
      </c>
      <c r="E1550" s="24" t="s">
        <v>9</v>
      </c>
      <c r="F1550" s="24">
        <v>15183</v>
      </c>
      <c r="G1550" s="25">
        <v>43900</v>
      </c>
      <c r="H1550" s="25">
        <v>46091</v>
      </c>
      <c r="I1550" s="24" t="s">
        <v>10</v>
      </c>
      <c r="J1550" s="24" t="s">
        <v>19</v>
      </c>
      <c r="K1550" s="24" t="str">
        <f>IF(certifications[[#This Row],[ISSUE DATE]]="", "", TEXT(certifications[[#This Row],[ISSUE DATE]], "MMM"))</f>
        <v>Mar</v>
      </c>
      <c r="L1550" s="35" t="str">
        <f>IF(certifications[[#This Row],[ISSUE DATE]]="", "", TEXT(certifications[[#This Row],[ISSUE DATE]], "YYYY"))</f>
        <v>2020</v>
      </c>
    </row>
    <row r="1551" spans="1:12" s="29" customFormat="1" ht="23.95" customHeight="1" x14ac:dyDescent="0.3">
      <c r="A1551" s="31"/>
      <c r="B1551" s="24">
        <v>1538</v>
      </c>
      <c r="C1551" s="24" t="s">
        <v>1599</v>
      </c>
      <c r="D1551" s="24" t="s">
        <v>131</v>
      </c>
      <c r="E1551" s="24" t="s">
        <v>9</v>
      </c>
      <c r="F1551" s="24">
        <v>9913</v>
      </c>
      <c r="G1551" s="25">
        <v>42686</v>
      </c>
      <c r="H1551" s="25">
        <v>43416</v>
      </c>
      <c r="I1551" s="24" t="s">
        <v>16</v>
      </c>
      <c r="J1551" s="24" t="s">
        <v>38</v>
      </c>
      <c r="K1551" s="24" t="str">
        <f>IF(certifications[[#This Row],[ISSUE DATE]]="", "", TEXT(certifications[[#This Row],[ISSUE DATE]], "MMM"))</f>
        <v>Nov</v>
      </c>
      <c r="L1551" s="35" t="str">
        <f>IF(certifications[[#This Row],[ISSUE DATE]]="", "", TEXT(certifications[[#This Row],[ISSUE DATE]], "YYYY"))</f>
        <v>2016</v>
      </c>
    </row>
    <row r="1552" spans="1:12" s="29" customFormat="1" ht="23.95" customHeight="1" x14ac:dyDescent="0.3">
      <c r="A1552" s="31"/>
      <c r="B1552" s="24">
        <v>1539</v>
      </c>
      <c r="C1552" s="24" t="s">
        <v>1600</v>
      </c>
      <c r="D1552" s="24" t="s">
        <v>32</v>
      </c>
      <c r="E1552" s="24" t="s">
        <v>9</v>
      </c>
      <c r="F1552" s="24">
        <v>8933</v>
      </c>
      <c r="G1552" s="25">
        <v>41817</v>
      </c>
      <c r="H1552" s="25">
        <v>42548</v>
      </c>
      <c r="I1552" s="24" t="s">
        <v>16</v>
      </c>
      <c r="J1552" s="24" t="s">
        <v>33</v>
      </c>
      <c r="K1552" s="24" t="str">
        <f>IF(certifications[[#This Row],[ISSUE DATE]]="", "", TEXT(certifications[[#This Row],[ISSUE DATE]], "MMM"))</f>
        <v>Jun</v>
      </c>
      <c r="L1552" s="35" t="str">
        <f>IF(certifications[[#This Row],[ISSUE DATE]]="", "", TEXT(certifications[[#This Row],[ISSUE DATE]], "YYYY"))</f>
        <v>2014</v>
      </c>
    </row>
    <row r="1553" spans="1:12" s="29" customFormat="1" ht="23.95" customHeight="1" x14ac:dyDescent="0.3">
      <c r="A1553" s="31"/>
      <c r="B1553" s="24">
        <v>1540</v>
      </c>
      <c r="C1553" s="24" t="s">
        <v>1601</v>
      </c>
      <c r="D1553" s="24" t="s">
        <v>32</v>
      </c>
      <c r="E1553" s="24" t="s">
        <v>9</v>
      </c>
      <c r="F1553" s="24">
        <v>13330</v>
      </c>
      <c r="G1553" s="25">
        <v>43599</v>
      </c>
      <c r="H1553" s="25">
        <v>46521</v>
      </c>
      <c r="I1553" s="24" t="s">
        <v>10</v>
      </c>
      <c r="J1553" s="24" t="s">
        <v>33</v>
      </c>
      <c r="K1553" s="24" t="str">
        <f>IF(certifications[[#This Row],[ISSUE DATE]]="", "", TEXT(certifications[[#This Row],[ISSUE DATE]], "MMM"))</f>
        <v>May</v>
      </c>
      <c r="L1553" s="35" t="str">
        <f>IF(certifications[[#This Row],[ISSUE DATE]]="", "", TEXT(certifications[[#This Row],[ISSUE DATE]], "YYYY"))</f>
        <v>2019</v>
      </c>
    </row>
    <row r="1554" spans="1:12" s="29" customFormat="1" ht="23.95" customHeight="1" x14ac:dyDescent="0.3">
      <c r="A1554" s="31"/>
      <c r="B1554" s="24">
        <v>1541</v>
      </c>
      <c r="C1554" s="24" t="s">
        <v>1602</v>
      </c>
      <c r="D1554" s="24" t="s">
        <v>264</v>
      </c>
      <c r="E1554" s="24" t="s">
        <v>9</v>
      </c>
      <c r="F1554" s="24">
        <v>21030</v>
      </c>
      <c r="G1554" s="25">
        <v>45586</v>
      </c>
      <c r="H1554" s="25">
        <v>46316</v>
      </c>
      <c r="I1554" s="24" t="s">
        <v>10</v>
      </c>
      <c r="J1554" s="24" t="s">
        <v>22</v>
      </c>
      <c r="K1554" s="24" t="str">
        <f>IF(certifications[[#This Row],[ISSUE DATE]]="", "", TEXT(certifications[[#This Row],[ISSUE DATE]], "MMM"))</f>
        <v>Oct</v>
      </c>
      <c r="L1554" s="35" t="str">
        <f>IF(certifications[[#This Row],[ISSUE DATE]]="", "", TEXT(certifications[[#This Row],[ISSUE DATE]], "YYYY"))</f>
        <v>2024</v>
      </c>
    </row>
    <row r="1555" spans="1:12" s="29" customFormat="1" ht="23.95" customHeight="1" x14ac:dyDescent="0.3">
      <c r="A1555" s="31"/>
      <c r="B1555" s="24">
        <v>1542</v>
      </c>
      <c r="C1555" s="24" t="s">
        <v>1603</v>
      </c>
      <c r="D1555" s="24" t="s">
        <v>32</v>
      </c>
      <c r="E1555" s="24" t="s">
        <v>9</v>
      </c>
      <c r="F1555" s="24">
        <v>13763</v>
      </c>
      <c r="G1555" s="25">
        <v>44172</v>
      </c>
      <c r="H1555" s="25">
        <v>44902</v>
      </c>
      <c r="I1555" s="24" t="s">
        <v>16</v>
      </c>
      <c r="J1555" s="24" t="s">
        <v>33</v>
      </c>
      <c r="K1555" s="24" t="str">
        <f>IF(certifications[[#This Row],[ISSUE DATE]]="", "", TEXT(certifications[[#This Row],[ISSUE DATE]], "MMM"))</f>
        <v>Dec</v>
      </c>
      <c r="L1555" s="35" t="str">
        <f>IF(certifications[[#This Row],[ISSUE DATE]]="", "", TEXT(certifications[[#This Row],[ISSUE DATE]], "YYYY"))</f>
        <v>2020</v>
      </c>
    </row>
    <row r="1556" spans="1:12" s="29" customFormat="1" ht="23.95" customHeight="1" x14ac:dyDescent="0.3">
      <c r="A1556" s="31"/>
      <c r="B1556" s="24">
        <v>1543</v>
      </c>
      <c r="C1556" s="24" t="s">
        <v>1604</v>
      </c>
      <c r="D1556" s="24" t="s">
        <v>126</v>
      </c>
      <c r="E1556" s="24" t="s">
        <v>9</v>
      </c>
      <c r="F1556" s="24">
        <v>13085</v>
      </c>
      <c r="G1556" s="25">
        <v>43599</v>
      </c>
      <c r="H1556" s="25">
        <v>46521</v>
      </c>
      <c r="I1556" s="24" t="s">
        <v>10</v>
      </c>
      <c r="J1556" s="24" t="s">
        <v>38</v>
      </c>
      <c r="K1556" s="24" t="str">
        <f>IF(certifications[[#This Row],[ISSUE DATE]]="", "", TEXT(certifications[[#This Row],[ISSUE DATE]], "MMM"))</f>
        <v>May</v>
      </c>
      <c r="L1556" s="35" t="str">
        <f>IF(certifications[[#This Row],[ISSUE DATE]]="", "", TEXT(certifications[[#This Row],[ISSUE DATE]], "YYYY"))</f>
        <v>2019</v>
      </c>
    </row>
    <row r="1557" spans="1:12" s="29" customFormat="1" ht="23.95" customHeight="1" x14ac:dyDescent="0.3">
      <c r="A1557" s="31"/>
      <c r="B1557" s="24">
        <v>1544</v>
      </c>
      <c r="C1557" s="24" t="s">
        <v>1604</v>
      </c>
      <c r="D1557" s="24" t="s">
        <v>126</v>
      </c>
      <c r="E1557" s="24" t="s">
        <v>26</v>
      </c>
      <c r="F1557" s="24">
        <v>13085</v>
      </c>
      <c r="G1557" s="25">
        <v>43551</v>
      </c>
      <c r="H1557" s="25">
        <v>46473</v>
      </c>
      <c r="I1557" s="24" t="s">
        <v>10</v>
      </c>
      <c r="J1557" s="24" t="s">
        <v>38</v>
      </c>
      <c r="K1557" s="24" t="str">
        <f>IF(certifications[[#This Row],[ISSUE DATE]]="", "", TEXT(certifications[[#This Row],[ISSUE DATE]], "MMM"))</f>
        <v>Mar</v>
      </c>
      <c r="L1557" s="35" t="str">
        <f>IF(certifications[[#This Row],[ISSUE DATE]]="", "", TEXT(certifications[[#This Row],[ISSUE DATE]], "YYYY"))</f>
        <v>2019</v>
      </c>
    </row>
    <row r="1558" spans="1:12" s="29" customFormat="1" ht="23.95" customHeight="1" x14ac:dyDescent="0.3">
      <c r="A1558" s="31"/>
      <c r="B1558" s="24">
        <v>1545</v>
      </c>
      <c r="C1558" s="24" t="s">
        <v>1605</v>
      </c>
      <c r="D1558" s="24" t="s">
        <v>32</v>
      </c>
      <c r="E1558" s="24" t="s">
        <v>9</v>
      </c>
      <c r="F1558" s="24">
        <v>12552</v>
      </c>
      <c r="G1558" s="25">
        <v>44726</v>
      </c>
      <c r="H1558" s="25">
        <v>46360</v>
      </c>
      <c r="I1558" s="24" t="s">
        <v>10</v>
      </c>
      <c r="J1558" s="24" t="s">
        <v>33</v>
      </c>
      <c r="K1558" s="24" t="str">
        <f>IF(certifications[[#This Row],[ISSUE DATE]]="", "", TEXT(certifications[[#This Row],[ISSUE DATE]], "MMM"))</f>
        <v>Jun</v>
      </c>
      <c r="L1558" s="35" t="str">
        <f>IF(certifications[[#This Row],[ISSUE DATE]]="", "", TEXT(certifications[[#This Row],[ISSUE DATE]], "YYYY"))</f>
        <v>2022</v>
      </c>
    </row>
    <row r="1559" spans="1:12" s="29" customFormat="1" ht="23.95" customHeight="1" x14ac:dyDescent="0.3">
      <c r="A1559" s="31"/>
      <c r="B1559" s="24">
        <v>1546</v>
      </c>
      <c r="C1559" s="24" t="s">
        <v>1606</v>
      </c>
      <c r="D1559" s="24" t="s">
        <v>269</v>
      </c>
      <c r="E1559" s="24" t="s">
        <v>9</v>
      </c>
      <c r="F1559" s="24">
        <v>9597</v>
      </c>
      <c r="G1559" s="25">
        <v>42514</v>
      </c>
      <c r="H1559" s="25">
        <v>46166</v>
      </c>
      <c r="I1559" s="24" t="s">
        <v>10</v>
      </c>
      <c r="J1559" s="24" t="s">
        <v>25</v>
      </c>
      <c r="K1559" s="24" t="str">
        <f>IF(certifications[[#This Row],[ISSUE DATE]]="", "", TEXT(certifications[[#This Row],[ISSUE DATE]], "MMM"))</f>
        <v>May</v>
      </c>
      <c r="L1559" s="35" t="str">
        <f>IF(certifications[[#This Row],[ISSUE DATE]]="", "", TEXT(certifications[[#This Row],[ISSUE DATE]], "YYYY"))</f>
        <v>2016</v>
      </c>
    </row>
    <row r="1560" spans="1:12" s="29" customFormat="1" ht="23.95" customHeight="1" x14ac:dyDescent="0.3">
      <c r="A1560" s="31"/>
      <c r="B1560" s="24">
        <v>1547</v>
      </c>
      <c r="C1560" s="24" t="s">
        <v>1607</v>
      </c>
      <c r="D1560" s="24" t="s">
        <v>848</v>
      </c>
      <c r="E1560" s="24" t="s">
        <v>9</v>
      </c>
      <c r="F1560" s="24">
        <v>7770</v>
      </c>
      <c r="G1560" s="25">
        <v>40613</v>
      </c>
      <c r="H1560" s="25">
        <v>41344</v>
      </c>
      <c r="I1560" s="24" t="s">
        <v>16</v>
      </c>
      <c r="J1560" s="24" t="s">
        <v>38</v>
      </c>
      <c r="K1560" s="24" t="str">
        <f>IF(certifications[[#This Row],[ISSUE DATE]]="", "", TEXT(certifications[[#This Row],[ISSUE DATE]], "MMM"))</f>
        <v>Mar</v>
      </c>
      <c r="L1560" s="35" t="str">
        <f>IF(certifications[[#This Row],[ISSUE DATE]]="", "", TEXT(certifications[[#This Row],[ISSUE DATE]], "YYYY"))</f>
        <v>2011</v>
      </c>
    </row>
    <row r="1561" spans="1:12" s="29" customFormat="1" ht="23.95" customHeight="1" x14ac:dyDescent="0.3">
      <c r="A1561" s="31"/>
      <c r="B1561" s="24">
        <v>1548</v>
      </c>
      <c r="C1561" s="24" t="s">
        <v>1608</v>
      </c>
      <c r="D1561" s="24" t="s">
        <v>32</v>
      </c>
      <c r="E1561" s="24" t="s">
        <v>9</v>
      </c>
      <c r="F1561" s="24">
        <v>9444</v>
      </c>
      <c r="G1561" s="25">
        <v>42346</v>
      </c>
      <c r="H1561" s="25">
        <v>43077</v>
      </c>
      <c r="I1561" s="24" t="s">
        <v>16</v>
      </c>
      <c r="J1561" s="24" t="s">
        <v>33</v>
      </c>
      <c r="K1561" s="24" t="str">
        <f>IF(certifications[[#This Row],[ISSUE DATE]]="", "", TEXT(certifications[[#This Row],[ISSUE DATE]], "MMM"))</f>
        <v>Dec</v>
      </c>
      <c r="L1561" s="35" t="str">
        <f>IF(certifications[[#This Row],[ISSUE DATE]]="", "", TEXT(certifications[[#This Row],[ISSUE DATE]], "YYYY"))</f>
        <v>2015</v>
      </c>
    </row>
    <row r="1562" spans="1:12" s="29" customFormat="1" ht="23.95" customHeight="1" x14ac:dyDescent="0.3">
      <c r="A1562" s="31"/>
      <c r="B1562" s="24">
        <v>1549</v>
      </c>
      <c r="C1562" s="24" t="s">
        <v>1609</v>
      </c>
      <c r="D1562" s="24" t="s">
        <v>18</v>
      </c>
      <c r="E1562" s="24" t="s">
        <v>9</v>
      </c>
      <c r="F1562" s="24">
        <v>18477</v>
      </c>
      <c r="G1562" s="25">
        <v>45019</v>
      </c>
      <c r="H1562" s="25">
        <v>46480</v>
      </c>
      <c r="I1562" s="24" t="s">
        <v>10</v>
      </c>
      <c r="J1562" s="24" t="s">
        <v>19</v>
      </c>
      <c r="K1562" s="24" t="str">
        <f>IF(certifications[[#This Row],[ISSUE DATE]]="", "", TEXT(certifications[[#This Row],[ISSUE DATE]], "MMM"))</f>
        <v>Apr</v>
      </c>
      <c r="L1562" s="35" t="str">
        <f>IF(certifications[[#This Row],[ISSUE DATE]]="", "", TEXT(certifications[[#This Row],[ISSUE DATE]], "YYYY"))</f>
        <v>2023</v>
      </c>
    </row>
    <row r="1563" spans="1:12" s="29" customFormat="1" ht="23.95" customHeight="1" x14ac:dyDescent="0.3">
      <c r="A1563" s="31"/>
      <c r="B1563" s="24">
        <v>1550</v>
      </c>
      <c r="C1563" s="24" t="s">
        <v>1610</v>
      </c>
      <c r="D1563" s="24" t="s">
        <v>508</v>
      </c>
      <c r="E1563" s="24" t="s">
        <v>9</v>
      </c>
      <c r="F1563" s="24">
        <v>15773</v>
      </c>
      <c r="G1563" s="25">
        <v>44186</v>
      </c>
      <c r="H1563" s="25">
        <v>46377</v>
      </c>
      <c r="I1563" s="24" t="s">
        <v>10</v>
      </c>
      <c r="J1563" s="24" t="s">
        <v>19</v>
      </c>
      <c r="K1563" s="24" t="str">
        <f>IF(certifications[[#This Row],[ISSUE DATE]]="", "", TEXT(certifications[[#This Row],[ISSUE DATE]], "MMM"))</f>
        <v>Dec</v>
      </c>
      <c r="L1563" s="35" t="str">
        <f>IF(certifications[[#This Row],[ISSUE DATE]]="", "", TEXT(certifications[[#This Row],[ISSUE DATE]], "YYYY"))</f>
        <v>2020</v>
      </c>
    </row>
    <row r="1564" spans="1:12" s="29" customFormat="1" ht="23.95" customHeight="1" x14ac:dyDescent="0.3">
      <c r="A1564" s="31"/>
      <c r="B1564" s="24">
        <v>1551</v>
      </c>
      <c r="C1564" s="24" t="s">
        <v>1611</v>
      </c>
      <c r="D1564" s="24" t="s">
        <v>333</v>
      </c>
      <c r="E1564" s="24" t="s">
        <v>9</v>
      </c>
      <c r="F1564" s="24">
        <v>8689</v>
      </c>
      <c r="G1564" s="25">
        <v>42712</v>
      </c>
      <c r="H1564" s="25">
        <v>43442</v>
      </c>
      <c r="I1564" s="24" t="s">
        <v>16</v>
      </c>
      <c r="J1564" s="24" t="s">
        <v>11</v>
      </c>
      <c r="K1564" s="24" t="str">
        <f>IF(certifications[[#This Row],[ISSUE DATE]]="", "", TEXT(certifications[[#This Row],[ISSUE DATE]], "MMM"))</f>
        <v>Dec</v>
      </c>
      <c r="L1564" s="35" t="str">
        <f>IF(certifications[[#This Row],[ISSUE DATE]]="", "", TEXT(certifications[[#This Row],[ISSUE DATE]], "YYYY"))</f>
        <v>2016</v>
      </c>
    </row>
    <row r="1565" spans="1:12" s="29" customFormat="1" ht="23.95" customHeight="1" x14ac:dyDescent="0.3">
      <c r="A1565" s="31"/>
      <c r="B1565" s="24">
        <v>1552</v>
      </c>
      <c r="C1565" s="24" t="s">
        <v>1612</v>
      </c>
      <c r="D1565" s="24" t="s">
        <v>24</v>
      </c>
      <c r="E1565" s="24" t="s">
        <v>9</v>
      </c>
      <c r="F1565" s="24">
        <v>16932</v>
      </c>
      <c r="G1565" s="25">
        <v>44490</v>
      </c>
      <c r="H1565" s="25">
        <v>45220</v>
      </c>
      <c r="I1565" s="24" t="s">
        <v>16</v>
      </c>
      <c r="J1565" s="24" t="s">
        <v>25</v>
      </c>
      <c r="K1565" s="24" t="str">
        <f>IF(certifications[[#This Row],[ISSUE DATE]]="", "", TEXT(certifications[[#This Row],[ISSUE DATE]], "MMM"))</f>
        <v>Oct</v>
      </c>
      <c r="L1565" s="35" t="str">
        <f>IF(certifications[[#This Row],[ISSUE DATE]]="", "", TEXT(certifications[[#This Row],[ISSUE DATE]], "YYYY"))</f>
        <v>2021</v>
      </c>
    </row>
    <row r="1566" spans="1:12" s="29" customFormat="1" ht="23.95" customHeight="1" x14ac:dyDescent="0.3">
      <c r="A1566" s="31"/>
      <c r="B1566" s="24">
        <v>1553</v>
      </c>
      <c r="C1566" s="24" t="s">
        <v>1613</v>
      </c>
      <c r="D1566" s="24" t="s">
        <v>80</v>
      </c>
      <c r="E1566" s="24" t="s">
        <v>9</v>
      </c>
      <c r="F1566" s="24">
        <v>18244</v>
      </c>
      <c r="G1566" s="25">
        <v>44947</v>
      </c>
      <c r="H1566" s="25">
        <v>45678</v>
      </c>
      <c r="I1566" s="24" t="s">
        <v>82</v>
      </c>
      <c r="J1566" s="24" t="s">
        <v>38</v>
      </c>
      <c r="K1566" s="24" t="str">
        <f>IF(certifications[[#This Row],[ISSUE DATE]]="", "", TEXT(certifications[[#This Row],[ISSUE DATE]], "MMM"))</f>
        <v>Jan</v>
      </c>
      <c r="L1566" s="35" t="str">
        <f>IF(certifications[[#This Row],[ISSUE DATE]]="", "", TEXT(certifications[[#This Row],[ISSUE DATE]], "YYYY"))</f>
        <v>2023</v>
      </c>
    </row>
    <row r="1567" spans="1:12" s="29" customFormat="1" ht="23.95" customHeight="1" x14ac:dyDescent="0.3">
      <c r="A1567" s="31"/>
      <c r="B1567" s="24">
        <v>1554</v>
      </c>
      <c r="C1567" s="24" t="s">
        <v>1614</v>
      </c>
      <c r="D1567" s="24" t="s">
        <v>148</v>
      </c>
      <c r="E1567" s="24" t="s">
        <v>9</v>
      </c>
      <c r="F1567" s="24">
        <v>9972</v>
      </c>
      <c r="G1567" s="25">
        <v>42746</v>
      </c>
      <c r="H1567" s="25">
        <v>43476</v>
      </c>
      <c r="I1567" s="24" t="s">
        <v>16</v>
      </c>
      <c r="J1567" s="24" t="s">
        <v>14</v>
      </c>
      <c r="K1567" s="24" t="str">
        <f>IF(certifications[[#This Row],[ISSUE DATE]]="", "", TEXT(certifications[[#This Row],[ISSUE DATE]], "MMM"))</f>
        <v>Jan</v>
      </c>
      <c r="L1567" s="35" t="str">
        <f>IF(certifications[[#This Row],[ISSUE DATE]]="", "", TEXT(certifications[[#This Row],[ISSUE DATE]], "YYYY"))</f>
        <v>2017</v>
      </c>
    </row>
    <row r="1568" spans="1:12" s="29" customFormat="1" ht="23.95" customHeight="1" x14ac:dyDescent="0.3">
      <c r="A1568" s="31"/>
      <c r="B1568" s="24">
        <v>1555</v>
      </c>
      <c r="C1568" s="24" t="s">
        <v>1615</v>
      </c>
      <c r="D1568" s="24" t="s">
        <v>190</v>
      </c>
      <c r="E1568" s="24" t="s">
        <v>9</v>
      </c>
      <c r="F1568" s="24">
        <v>9425</v>
      </c>
      <c r="G1568" s="25">
        <v>42341</v>
      </c>
      <c r="H1568" s="25">
        <v>45994</v>
      </c>
      <c r="I1568" s="24" t="s">
        <v>10</v>
      </c>
      <c r="J1568" s="24" t="s">
        <v>14</v>
      </c>
      <c r="K1568" s="24" t="str">
        <f>IF(certifications[[#This Row],[ISSUE DATE]]="", "", TEXT(certifications[[#This Row],[ISSUE DATE]], "MMM"))</f>
        <v>Dec</v>
      </c>
      <c r="L1568" s="35" t="str">
        <f>IF(certifications[[#This Row],[ISSUE DATE]]="", "", TEXT(certifications[[#This Row],[ISSUE DATE]], "YYYY"))</f>
        <v>2015</v>
      </c>
    </row>
    <row r="1569" spans="1:12" s="29" customFormat="1" ht="23.95" customHeight="1" x14ac:dyDescent="0.3">
      <c r="A1569" s="31"/>
      <c r="B1569" s="24">
        <v>1556</v>
      </c>
      <c r="C1569" s="24" t="s">
        <v>1616</v>
      </c>
      <c r="D1569" s="24" t="s">
        <v>32</v>
      </c>
      <c r="E1569" s="24" t="s">
        <v>9</v>
      </c>
      <c r="F1569" s="24">
        <v>8940</v>
      </c>
      <c r="G1569" s="25">
        <v>41817</v>
      </c>
      <c r="H1569" s="25">
        <v>42548</v>
      </c>
      <c r="I1569" s="24" t="s">
        <v>16</v>
      </c>
      <c r="J1569" s="24" t="s">
        <v>33</v>
      </c>
      <c r="K1569" s="24" t="str">
        <f>IF(certifications[[#This Row],[ISSUE DATE]]="", "", TEXT(certifications[[#This Row],[ISSUE DATE]], "MMM"))</f>
        <v>Jun</v>
      </c>
      <c r="L1569" s="35" t="str">
        <f>IF(certifications[[#This Row],[ISSUE DATE]]="", "", TEXT(certifications[[#This Row],[ISSUE DATE]], "YYYY"))</f>
        <v>2014</v>
      </c>
    </row>
    <row r="1570" spans="1:12" s="29" customFormat="1" ht="23.95" customHeight="1" x14ac:dyDescent="0.3">
      <c r="A1570" s="31"/>
      <c r="B1570" s="24">
        <v>1557</v>
      </c>
      <c r="C1570" s="24" t="s">
        <v>1617</v>
      </c>
      <c r="D1570" s="24" t="s">
        <v>53</v>
      </c>
      <c r="E1570" s="24" t="s">
        <v>9</v>
      </c>
      <c r="F1570" s="24">
        <v>19145</v>
      </c>
      <c r="G1570" s="25">
        <v>45181</v>
      </c>
      <c r="H1570" s="25">
        <v>45912</v>
      </c>
      <c r="I1570" s="24" t="s">
        <v>10</v>
      </c>
      <c r="J1570" s="24" t="s">
        <v>25</v>
      </c>
      <c r="K1570" s="24" t="str">
        <f>IF(certifications[[#This Row],[ISSUE DATE]]="", "", TEXT(certifications[[#This Row],[ISSUE DATE]], "MMM"))</f>
        <v>Sep</v>
      </c>
      <c r="L1570" s="35" t="str">
        <f>IF(certifications[[#This Row],[ISSUE DATE]]="", "", TEXT(certifications[[#This Row],[ISSUE DATE]], "YYYY"))</f>
        <v>2023</v>
      </c>
    </row>
    <row r="1571" spans="1:12" s="29" customFormat="1" ht="23.95" customHeight="1" x14ac:dyDescent="0.3">
      <c r="A1571" s="31"/>
      <c r="B1571" s="24">
        <v>1558</v>
      </c>
      <c r="C1571" s="24" t="s">
        <v>1618</v>
      </c>
      <c r="D1571" s="24" t="s">
        <v>131</v>
      </c>
      <c r="E1571" s="24" t="s">
        <v>9</v>
      </c>
      <c r="F1571" s="24">
        <v>9718</v>
      </c>
      <c r="G1571" s="25">
        <v>42571</v>
      </c>
      <c r="H1571" s="25">
        <v>46223</v>
      </c>
      <c r="I1571" s="24" t="s">
        <v>10</v>
      </c>
      <c r="J1571" s="24" t="s">
        <v>38</v>
      </c>
      <c r="K1571" s="24" t="str">
        <f>IF(certifications[[#This Row],[ISSUE DATE]]="", "", TEXT(certifications[[#This Row],[ISSUE DATE]], "MMM"))</f>
        <v>Jul</v>
      </c>
      <c r="L1571" s="35" t="str">
        <f>IF(certifications[[#This Row],[ISSUE DATE]]="", "", TEXT(certifications[[#This Row],[ISSUE DATE]], "YYYY"))</f>
        <v>2016</v>
      </c>
    </row>
    <row r="1572" spans="1:12" s="29" customFormat="1" ht="23.95" customHeight="1" x14ac:dyDescent="0.3">
      <c r="A1572" s="31"/>
      <c r="B1572" s="24">
        <v>1559</v>
      </c>
      <c r="C1572" s="24" t="s">
        <v>1619</v>
      </c>
      <c r="D1572" s="24" t="s">
        <v>13</v>
      </c>
      <c r="E1572" s="24" t="s">
        <v>9</v>
      </c>
      <c r="F1572" s="24">
        <v>8928</v>
      </c>
      <c r="G1572" s="25">
        <v>41816</v>
      </c>
      <c r="H1572" s="25">
        <v>42547</v>
      </c>
      <c r="I1572" s="24" t="s">
        <v>16</v>
      </c>
      <c r="J1572" s="24" t="s">
        <v>14</v>
      </c>
      <c r="K1572" s="24" t="str">
        <f>IF(certifications[[#This Row],[ISSUE DATE]]="", "", TEXT(certifications[[#This Row],[ISSUE DATE]], "MMM"))</f>
        <v>Jun</v>
      </c>
      <c r="L1572" s="35" t="str">
        <f>IF(certifications[[#This Row],[ISSUE DATE]]="", "", TEXT(certifications[[#This Row],[ISSUE DATE]], "YYYY"))</f>
        <v>2014</v>
      </c>
    </row>
    <row r="1573" spans="1:12" s="29" customFormat="1" ht="23.95" customHeight="1" x14ac:dyDescent="0.3">
      <c r="A1573" s="31"/>
      <c r="B1573" s="24">
        <v>1560</v>
      </c>
      <c r="C1573" s="24" t="s">
        <v>1620</v>
      </c>
      <c r="D1573" s="24" t="s">
        <v>32</v>
      </c>
      <c r="E1573" s="24" t="s">
        <v>9</v>
      </c>
      <c r="F1573" s="24">
        <v>8605</v>
      </c>
      <c r="G1573" s="25">
        <v>41507</v>
      </c>
      <c r="H1573" s="25">
        <v>42237</v>
      </c>
      <c r="I1573" s="24" t="s">
        <v>16</v>
      </c>
      <c r="J1573" s="24" t="s">
        <v>33</v>
      </c>
      <c r="K1573" s="24" t="str">
        <f>IF(certifications[[#This Row],[ISSUE DATE]]="", "", TEXT(certifications[[#This Row],[ISSUE DATE]], "MMM"))</f>
        <v>Aug</v>
      </c>
      <c r="L1573" s="35" t="str">
        <f>IF(certifications[[#This Row],[ISSUE DATE]]="", "", TEXT(certifications[[#This Row],[ISSUE DATE]], "YYYY"))</f>
        <v>2013</v>
      </c>
    </row>
    <row r="1574" spans="1:12" s="29" customFormat="1" ht="23.95" customHeight="1" x14ac:dyDescent="0.3">
      <c r="A1574" s="31"/>
      <c r="B1574" s="24">
        <v>1561</v>
      </c>
      <c r="C1574" s="24" t="s">
        <v>1621</v>
      </c>
      <c r="D1574" s="24" t="s">
        <v>32</v>
      </c>
      <c r="E1574" s="24" t="s">
        <v>9</v>
      </c>
      <c r="F1574" s="24">
        <v>17773</v>
      </c>
      <c r="G1574" s="25">
        <v>44791</v>
      </c>
      <c r="H1574" s="25">
        <v>46252</v>
      </c>
      <c r="I1574" s="24" t="s">
        <v>10</v>
      </c>
      <c r="J1574" s="24" t="s">
        <v>33</v>
      </c>
      <c r="K1574" s="24" t="str">
        <f>IF(certifications[[#This Row],[ISSUE DATE]]="", "", TEXT(certifications[[#This Row],[ISSUE DATE]], "MMM"))</f>
        <v>Aug</v>
      </c>
      <c r="L1574" s="35" t="str">
        <f>IF(certifications[[#This Row],[ISSUE DATE]]="", "", TEXT(certifications[[#This Row],[ISSUE DATE]], "YYYY"))</f>
        <v>2022</v>
      </c>
    </row>
    <row r="1575" spans="1:12" s="29" customFormat="1" ht="23.95" customHeight="1" x14ac:dyDescent="0.3">
      <c r="A1575" s="31"/>
      <c r="B1575" s="24">
        <v>1562</v>
      </c>
      <c r="C1575" s="24" t="s">
        <v>1622</v>
      </c>
      <c r="D1575" s="24" t="s">
        <v>249</v>
      </c>
      <c r="E1575" s="24" t="s">
        <v>9</v>
      </c>
      <c r="F1575" s="24">
        <v>9714</v>
      </c>
      <c r="G1575" s="25">
        <v>42571</v>
      </c>
      <c r="H1575" s="25">
        <v>46223</v>
      </c>
      <c r="I1575" s="24" t="s">
        <v>10</v>
      </c>
      <c r="J1575" s="24" t="s">
        <v>30</v>
      </c>
      <c r="K1575" s="24" t="str">
        <f>IF(certifications[[#This Row],[ISSUE DATE]]="", "", TEXT(certifications[[#This Row],[ISSUE DATE]], "MMM"))</f>
        <v>Jul</v>
      </c>
      <c r="L1575" s="35" t="str">
        <f>IF(certifications[[#This Row],[ISSUE DATE]]="", "", TEXT(certifications[[#This Row],[ISSUE DATE]], "YYYY"))</f>
        <v>2016</v>
      </c>
    </row>
    <row r="1576" spans="1:12" s="29" customFormat="1" ht="23.95" customHeight="1" x14ac:dyDescent="0.3">
      <c r="A1576" s="31"/>
      <c r="B1576" s="24">
        <v>1563</v>
      </c>
      <c r="C1576" s="24" t="s">
        <v>1623</v>
      </c>
      <c r="D1576" s="24" t="s">
        <v>80</v>
      </c>
      <c r="E1576" s="24" t="s">
        <v>9</v>
      </c>
      <c r="F1576" s="24">
        <v>16136</v>
      </c>
      <c r="G1576" s="25">
        <v>44372</v>
      </c>
      <c r="H1576" s="25">
        <v>46477</v>
      </c>
      <c r="I1576" s="24" t="s">
        <v>10</v>
      </c>
      <c r="J1576" s="24" t="s">
        <v>38</v>
      </c>
      <c r="K1576" s="24" t="str">
        <f>IF(certifications[[#This Row],[ISSUE DATE]]="", "", TEXT(certifications[[#This Row],[ISSUE DATE]], "MMM"))</f>
        <v>Jun</v>
      </c>
      <c r="L1576" s="35" t="str">
        <f>IF(certifications[[#This Row],[ISSUE DATE]]="", "", TEXT(certifications[[#This Row],[ISSUE DATE]], "YYYY"))</f>
        <v>2021</v>
      </c>
    </row>
    <row r="1577" spans="1:12" s="29" customFormat="1" ht="23.95" customHeight="1" x14ac:dyDescent="0.3">
      <c r="A1577" s="31"/>
      <c r="B1577" s="24">
        <v>1564</v>
      </c>
      <c r="C1577" s="24" t="s">
        <v>1623</v>
      </c>
      <c r="D1577" s="24" t="s">
        <v>80</v>
      </c>
      <c r="E1577" s="24" t="s">
        <v>26</v>
      </c>
      <c r="F1577" s="24">
        <v>16136</v>
      </c>
      <c r="G1577" s="25">
        <v>44286</v>
      </c>
      <c r="H1577" s="25">
        <v>46477</v>
      </c>
      <c r="I1577" s="24" t="s">
        <v>10</v>
      </c>
      <c r="J1577" s="24" t="s">
        <v>38</v>
      </c>
      <c r="K1577" s="24" t="str">
        <f>IF(certifications[[#This Row],[ISSUE DATE]]="", "", TEXT(certifications[[#This Row],[ISSUE DATE]], "MMM"))</f>
        <v>Mar</v>
      </c>
      <c r="L1577" s="35" t="str">
        <f>IF(certifications[[#This Row],[ISSUE DATE]]="", "", TEXT(certifications[[#This Row],[ISSUE DATE]], "YYYY"))</f>
        <v>2021</v>
      </c>
    </row>
    <row r="1578" spans="1:12" s="29" customFormat="1" ht="23.95" customHeight="1" x14ac:dyDescent="0.3">
      <c r="A1578" s="31"/>
      <c r="B1578" s="24">
        <v>1565</v>
      </c>
      <c r="C1578" s="24" t="s">
        <v>1624</v>
      </c>
      <c r="D1578" s="24" t="s">
        <v>32</v>
      </c>
      <c r="E1578" s="24" t="s">
        <v>9</v>
      </c>
      <c r="F1578" s="24">
        <v>10252</v>
      </c>
      <c r="G1578" s="25">
        <v>42908</v>
      </c>
      <c r="H1578" s="25">
        <v>44369</v>
      </c>
      <c r="I1578" s="24" t="s">
        <v>16</v>
      </c>
      <c r="J1578" s="24" t="s">
        <v>33</v>
      </c>
      <c r="K1578" s="24" t="str">
        <f>IF(certifications[[#This Row],[ISSUE DATE]]="", "", TEXT(certifications[[#This Row],[ISSUE DATE]], "MMM"))</f>
        <v>Jun</v>
      </c>
      <c r="L1578" s="35" t="str">
        <f>IF(certifications[[#This Row],[ISSUE DATE]]="", "", TEXT(certifications[[#This Row],[ISSUE DATE]], "YYYY"))</f>
        <v>2017</v>
      </c>
    </row>
    <row r="1579" spans="1:12" s="29" customFormat="1" ht="23.95" customHeight="1" x14ac:dyDescent="0.3">
      <c r="A1579" s="31"/>
      <c r="B1579" s="24">
        <v>1566</v>
      </c>
      <c r="C1579" s="24" t="s">
        <v>1625</v>
      </c>
      <c r="D1579" s="24" t="s">
        <v>153</v>
      </c>
      <c r="E1579" s="24" t="s">
        <v>9</v>
      </c>
      <c r="F1579" s="24">
        <v>8499</v>
      </c>
      <c r="G1579" s="25">
        <v>41450</v>
      </c>
      <c r="H1579" s="25">
        <v>45102</v>
      </c>
      <c r="I1579" s="24" t="s">
        <v>16</v>
      </c>
      <c r="J1579" s="24" t="s">
        <v>22</v>
      </c>
      <c r="K1579" s="24" t="str">
        <f>IF(certifications[[#This Row],[ISSUE DATE]]="", "", TEXT(certifications[[#This Row],[ISSUE DATE]], "MMM"))</f>
        <v>Jun</v>
      </c>
      <c r="L1579" s="35" t="str">
        <f>IF(certifications[[#This Row],[ISSUE DATE]]="", "", TEXT(certifications[[#This Row],[ISSUE DATE]], "YYYY"))</f>
        <v>2013</v>
      </c>
    </row>
    <row r="1580" spans="1:12" s="29" customFormat="1" ht="23.95" customHeight="1" x14ac:dyDescent="0.3">
      <c r="A1580" s="31"/>
      <c r="B1580" s="24">
        <v>1567</v>
      </c>
      <c r="C1580" s="24" t="s">
        <v>1626</v>
      </c>
      <c r="D1580" s="24" t="s">
        <v>32</v>
      </c>
      <c r="E1580" s="24" t="s">
        <v>9</v>
      </c>
      <c r="F1580" s="24">
        <v>14800</v>
      </c>
      <c r="G1580" s="25">
        <v>43787</v>
      </c>
      <c r="H1580" s="25">
        <v>44518</v>
      </c>
      <c r="I1580" s="24" t="s">
        <v>16</v>
      </c>
      <c r="J1580" s="24" t="s">
        <v>33</v>
      </c>
      <c r="K1580" s="24" t="str">
        <f>IF(certifications[[#This Row],[ISSUE DATE]]="", "", TEXT(certifications[[#This Row],[ISSUE DATE]], "MMM"))</f>
        <v>Nov</v>
      </c>
      <c r="L1580" s="35" t="str">
        <f>IF(certifications[[#This Row],[ISSUE DATE]]="", "", TEXT(certifications[[#This Row],[ISSUE DATE]], "YYYY"))</f>
        <v>2019</v>
      </c>
    </row>
    <row r="1581" spans="1:12" s="29" customFormat="1" ht="23.95" customHeight="1" x14ac:dyDescent="0.3">
      <c r="A1581" s="31"/>
      <c r="B1581" s="24">
        <v>1568</v>
      </c>
      <c r="C1581" s="24" t="s">
        <v>1627</v>
      </c>
      <c r="D1581" s="24" t="s">
        <v>32</v>
      </c>
      <c r="E1581" s="24" t="s">
        <v>9</v>
      </c>
      <c r="F1581" s="24">
        <v>11319</v>
      </c>
      <c r="G1581" s="25">
        <v>43770</v>
      </c>
      <c r="H1581" s="25">
        <v>44501</v>
      </c>
      <c r="I1581" s="24" t="s">
        <v>16</v>
      </c>
      <c r="J1581" s="24" t="s">
        <v>33</v>
      </c>
      <c r="K1581" s="24" t="str">
        <f>IF(certifications[[#This Row],[ISSUE DATE]]="", "", TEXT(certifications[[#This Row],[ISSUE DATE]], "MMM"))</f>
        <v>Nov</v>
      </c>
      <c r="L1581" s="35" t="str">
        <f>IF(certifications[[#This Row],[ISSUE DATE]]="", "", TEXT(certifications[[#This Row],[ISSUE DATE]], "YYYY"))</f>
        <v>2019</v>
      </c>
    </row>
    <row r="1582" spans="1:12" s="29" customFormat="1" ht="23.95" customHeight="1" x14ac:dyDescent="0.3">
      <c r="A1582" s="31"/>
      <c r="B1582" s="24">
        <v>1569</v>
      </c>
      <c r="C1582" s="24" t="s">
        <v>1628</v>
      </c>
      <c r="D1582" s="24" t="s">
        <v>148</v>
      </c>
      <c r="E1582" s="24" t="s">
        <v>9</v>
      </c>
      <c r="F1582" s="24">
        <v>9052</v>
      </c>
      <c r="G1582" s="25">
        <v>41936</v>
      </c>
      <c r="H1582" s="25">
        <v>44128</v>
      </c>
      <c r="I1582" s="24" t="s">
        <v>16</v>
      </c>
      <c r="J1582" s="24" t="s">
        <v>14</v>
      </c>
      <c r="K1582" s="24" t="str">
        <f>IF(certifications[[#This Row],[ISSUE DATE]]="", "", TEXT(certifications[[#This Row],[ISSUE DATE]], "MMM"))</f>
        <v>Oct</v>
      </c>
      <c r="L1582" s="35" t="str">
        <f>IF(certifications[[#This Row],[ISSUE DATE]]="", "", TEXT(certifications[[#This Row],[ISSUE DATE]], "YYYY"))</f>
        <v>2014</v>
      </c>
    </row>
    <row r="1583" spans="1:12" s="29" customFormat="1" ht="23.95" customHeight="1" x14ac:dyDescent="0.3">
      <c r="A1583" s="31"/>
      <c r="B1583" s="24">
        <v>1570</v>
      </c>
      <c r="C1583" s="24" t="s">
        <v>1629</v>
      </c>
      <c r="D1583" s="24" t="s">
        <v>32</v>
      </c>
      <c r="E1583" s="24" t="s">
        <v>9</v>
      </c>
      <c r="F1583" s="24">
        <v>17713</v>
      </c>
      <c r="G1583" s="25">
        <v>44777</v>
      </c>
      <c r="H1583" s="25">
        <v>45508</v>
      </c>
      <c r="I1583" s="24" t="s">
        <v>82</v>
      </c>
      <c r="J1583" s="24" t="s">
        <v>33</v>
      </c>
      <c r="K1583" s="24" t="str">
        <f>IF(certifications[[#This Row],[ISSUE DATE]]="", "", TEXT(certifications[[#This Row],[ISSUE DATE]], "MMM"))</f>
        <v>Aug</v>
      </c>
      <c r="L1583" s="35" t="str">
        <f>IF(certifications[[#This Row],[ISSUE DATE]]="", "", TEXT(certifications[[#This Row],[ISSUE DATE]], "YYYY"))</f>
        <v>2022</v>
      </c>
    </row>
    <row r="1584" spans="1:12" s="29" customFormat="1" ht="23.95" customHeight="1" x14ac:dyDescent="0.3">
      <c r="A1584" s="31"/>
      <c r="B1584" s="24">
        <v>1571</v>
      </c>
      <c r="C1584" s="24" t="s">
        <v>1630</v>
      </c>
      <c r="D1584" s="24" t="s">
        <v>141</v>
      </c>
      <c r="E1584" s="24" t="s">
        <v>9</v>
      </c>
      <c r="F1584" s="24">
        <v>20589</v>
      </c>
      <c r="G1584" s="25">
        <v>45490</v>
      </c>
      <c r="H1584" s="25">
        <v>46220</v>
      </c>
      <c r="I1584" s="24" t="s">
        <v>10</v>
      </c>
      <c r="J1584" s="24" t="s">
        <v>38</v>
      </c>
      <c r="K1584" s="24" t="str">
        <f>IF(certifications[[#This Row],[ISSUE DATE]]="", "", TEXT(certifications[[#This Row],[ISSUE DATE]], "MMM"))</f>
        <v>Jul</v>
      </c>
      <c r="L1584" s="35" t="str">
        <f>IF(certifications[[#This Row],[ISSUE DATE]]="", "", TEXT(certifications[[#This Row],[ISSUE DATE]], "YYYY"))</f>
        <v>2024</v>
      </c>
    </row>
    <row r="1585" spans="1:12" s="29" customFormat="1" ht="23.95" customHeight="1" x14ac:dyDescent="0.3">
      <c r="A1585" s="31"/>
      <c r="B1585" s="24">
        <v>1572</v>
      </c>
      <c r="C1585" s="24" t="s">
        <v>1631</v>
      </c>
      <c r="D1585" s="24" t="s">
        <v>46</v>
      </c>
      <c r="E1585" s="24" t="s">
        <v>9</v>
      </c>
      <c r="F1585" s="24">
        <v>20031</v>
      </c>
      <c r="G1585" s="25">
        <v>45372</v>
      </c>
      <c r="H1585" s="25">
        <v>46102</v>
      </c>
      <c r="I1585" s="24" t="s">
        <v>10</v>
      </c>
      <c r="J1585" s="24" t="s">
        <v>38</v>
      </c>
      <c r="K1585" s="24" t="str">
        <f>IF(certifications[[#This Row],[ISSUE DATE]]="", "", TEXT(certifications[[#This Row],[ISSUE DATE]], "MMM"))</f>
        <v>Mar</v>
      </c>
      <c r="L1585" s="35" t="str">
        <f>IF(certifications[[#This Row],[ISSUE DATE]]="", "", TEXT(certifications[[#This Row],[ISSUE DATE]], "YYYY"))</f>
        <v>2024</v>
      </c>
    </row>
    <row r="1586" spans="1:12" s="29" customFormat="1" ht="23.95" customHeight="1" x14ac:dyDescent="0.3">
      <c r="A1586" s="31"/>
      <c r="B1586" s="24">
        <v>1573</v>
      </c>
      <c r="C1586" s="24" t="s">
        <v>1631</v>
      </c>
      <c r="D1586" s="24" t="s">
        <v>46</v>
      </c>
      <c r="E1586" s="24" t="s">
        <v>26</v>
      </c>
      <c r="F1586" s="24">
        <v>20031</v>
      </c>
      <c r="G1586" s="25">
        <v>45383</v>
      </c>
      <c r="H1586" s="25">
        <v>46113</v>
      </c>
      <c r="I1586" s="24" t="s">
        <v>10</v>
      </c>
      <c r="J1586" s="24" t="s">
        <v>38</v>
      </c>
      <c r="K1586" s="24" t="str">
        <f>IF(certifications[[#This Row],[ISSUE DATE]]="", "", TEXT(certifications[[#This Row],[ISSUE DATE]], "MMM"))</f>
        <v>Apr</v>
      </c>
      <c r="L1586" s="35" t="str">
        <f>IF(certifications[[#This Row],[ISSUE DATE]]="", "", TEXT(certifications[[#This Row],[ISSUE DATE]], "YYYY"))</f>
        <v>2024</v>
      </c>
    </row>
    <row r="1587" spans="1:12" s="29" customFormat="1" ht="23.95" customHeight="1" x14ac:dyDescent="0.3">
      <c r="A1587" s="31"/>
      <c r="B1587" s="24">
        <v>1574</v>
      </c>
      <c r="C1587" s="24" t="s">
        <v>1632</v>
      </c>
      <c r="D1587" s="24" t="s">
        <v>32</v>
      </c>
      <c r="E1587" s="24" t="s">
        <v>9</v>
      </c>
      <c r="F1587" s="24">
        <v>15514</v>
      </c>
      <c r="G1587" s="25">
        <v>44096</v>
      </c>
      <c r="H1587" s="25">
        <v>46287</v>
      </c>
      <c r="I1587" s="24" t="s">
        <v>10</v>
      </c>
      <c r="J1587" s="24" t="s">
        <v>33</v>
      </c>
      <c r="K1587" s="24" t="str">
        <f>IF(certifications[[#This Row],[ISSUE DATE]]="", "", TEXT(certifications[[#This Row],[ISSUE DATE]], "MMM"))</f>
        <v>Sep</v>
      </c>
      <c r="L1587" s="35" t="str">
        <f>IF(certifications[[#This Row],[ISSUE DATE]]="", "", TEXT(certifications[[#This Row],[ISSUE DATE]], "YYYY"))</f>
        <v>2020</v>
      </c>
    </row>
    <row r="1588" spans="1:12" s="29" customFormat="1" ht="23.95" customHeight="1" x14ac:dyDescent="0.3">
      <c r="A1588" s="31"/>
      <c r="B1588" s="24">
        <v>1575</v>
      </c>
      <c r="C1588" s="24" t="s">
        <v>1632</v>
      </c>
      <c r="D1588" s="24" t="s">
        <v>32</v>
      </c>
      <c r="E1588" s="24" t="s">
        <v>26</v>
      </c>
      <c r="F1588" s="24">
        <v>15514</v>
      </c>
      <c r="G1588" s="25">
        <v>44306</v>
      </c>
      <c r="H1588" s="25">
        <v>45767</v>
      </c>
      <c r="I1588" s="24" t="s">
        <v>82</v>
      </c>
      <c r="J1588" s="24" t="s">
        <v>33</v>
      </c>
      <c r="K1588" s="24" t="str">
        <f>IF(certifications[[#This Row],[ISSUE DATE]]="", "", TEXT(certifications[[#This Row],[ISSUE DATE]], "MMM"))</f>
        <v>Apr</v>
      </c>
      <c r="L1588" s="35" t="str">
        <f>IF(certifications[[#This Row],[ISSUE DATE]]="", "", TEXT(certifications[[#This Row],[ISSUE DATE]], "YYYY"))</f>
        <v>2021</v>
      </c>
    </row>
    <row r="1589" spans="1:12" s="29" customFormat="1" ht="23.95" customHeight="1" x14ac:dyDescent="0.3">
      <c r="A1589" s="31"/>
      <c r="B1589" s="24">
        <v>1576</v>
      </c>
      <c r="C1589" s="24" t="s">
        <v>1633</v>
      </c>
      <c r="D1589" s="24" t="s">
        <v>32</v>
      </c>
      <c r="E1589" s="24" t="s">
        <v>9</v>
      </c>
      <c r="F1589" s="24">
        <v>5308</v>
      </c>
      <c r="G1589" s="25">
        <v>43697</v>
      </c>
      <c r="H1589" s="25">
        <v>45889</v>
      </c>
      <c r="I1589" s="24" t="s">
        <v>10</v>
      </c>
      <c r="J1589" s="24" t="s">
        <v>33</v>
      </c>
      <c r="K1589" s="24" t="str">
        <f>IF(certifications[[#This Row],[ISSUE DATE]]="", "", TEXT(certifications[[#This Row],[ISSUE DATE]], "MMM"))</f>
        <v>Aug</v>
      </c>
      <c r="L1589" s="35" t="str">
        <f>IF(certifications[[#This Row],[ISSUE DATE]]="", "", TEXT(certifications[[#This Row],[ISSUE DATE]], "YYYY"))</f>
        <v>2019</v>
      </c>
    </row>
    <row r="1590" spans="1:12" s="29" customFormat="1" ht="23.95" customHeight="1" x14ac:dyDescent="0.3">
      <c r="A1590" s="31"/>
      <c r="B1590" s="24">
        <v>1577</v>
      </c>
      <c r="C1590" s="24" t="s">
        <v>1634</v>
      </c>
      <c r="D1590" s="24" t="s">
        <v>32</v>
      </c>
      <c r="E1590" s="24" t="s">
        <v>9</v>
      </c>
      <c r="F1590" s="24">
        <v>10007</v>
      </c>
      <c r="G1590" s="25">
        <v>42753</v>
      </c>
      <c r="H1590" s="25">
        <v>44214</v>
      </c>
      <c r="I1590" s="24" t="s">
        <v>16</v>
      </c>
      <c r="J1590" s="24" t="s">
        <v>33</v>
      </c>
      <c r="K1590" s="24" t="str">
        <f>IF(certifications[[#This Row],[ISSUE DATE]]="", "", TEXT(certifications[[#This Row],[ISSUE DATE]], "MMM"))</f>
        <v>Jan</v>
      </c>
      <c r="L1590" s="35" t="str">
        <f>IF(certifications[[#This Row],[ISSUE DATE]]="", "", TEXT(certifications[[#This Row],[ISSUE DATE]], "YYYY"))</f>
        <v>2017</v>
      </c>
    </row>
    <row r="1591" spans="1:12" s="29" customFormat="1" ht="23.95" customHeight="1" x14ac:dyDescent="0.3">
      <c r="A1591" s="31"/>
      <c r="B1591" s="24">
        <v>1578</v>
      </c>
      <c r="C1591" s="24" t="s">
        <v>1635</v>
      </c>
      <c r="D1591" s="24" t="s">
        <v>258</v>
      </c>
      <c r="E1591" s="24" t="s">
        <v>9</v>
      </c>
      <c r="F1591" s="24">
        <v>10112</v>
      </c>
      <c r="G1591" s="25">
        <v>42846</v>
      </c>
      <c r="H1591" s="25">
        <v>43576</v>
      </c>
      <c r="I1591" s="24" t="s">
        <v>16</v>
      </c>
      <c r="J1591" s="24" t="s">
        <v>30</v>
      </c>
      <c r="K1591" s="24" t="str">
        <f>IF(certifications[[#This Row],[ISSUE DATE]]="", "", TEXT(certifications[[#This Row],[ISSUE DATE]], "MMM"))</f>
        <v>Apr</v>
      </c>
      <c r="L1591" s="35" t="str">
        <f>IF(certifications[[#This Row],[ISSUE DATE]]="", "", TEXT(certifications[[#This Row],[ISSUE DATE]], "YYYY"))</f>
        <v>2017</v>
      </c>
    </row>
    <row r="1592" spans="1:12" s="29" customFormat="1" ht="23.95" customHeight="1" x14ac:dyDescent="0.3">
      <c r="A1592" s="31"/>
      <c r="B1592" s="24">
        <v>1579</v>
      </c>
      <c r="C1592" s="24" t="s">
        <v>1636</v>
      </c>
      <c r="D1592" s="24" t="s">
        <v>579</v>
      </c>
      <c r="E1592" s="24" t="s">
        <v>9</v>
      </c>
      <c r="F1592" s="24">
        <v>16124</v>
      </c>
      <c r="G1592" s="25">
        <v>44280</v>
      </c>
      <c r="H1592" s="25">
        <v>45010</v>
      </c>
      <c r="I1592" s="24" t="s">
        <v>16</v>
      </c>
      <c r="J1592" s="24" t="s">
        <v>19</v>
      </c>
      <c r="K1592" s="24" t="str">
        <f>IF(certifications[[#This Row],[ISSUE DATE]]="", "", TEXT(certifications[[#This Row],[ISSUE DATE]], "MMM"))</f>
        <v>Mar</v>
      </c>
      <c r="L1592" s="35" t="str">
        <f>IF(certifications[[#This Row],[ISSUE DATE]]="", "", TEXT(certifications[[#This Row],[ISSUE DATE]], "YYYY"))</f>
        <v>2021</v>
      </c>
    </row>
    <row r="1593" spans="1:12" s="29" customFormat="1" ht="23.95" customHeight="1" x14ac:dyDescent="0.3">
      <c r="A1593" s="31"/>
      <c r="B1593" s="24">
        <v>1580</v>
      </c>
      <c r="C1593" s="24" t="s">
        <v>1637</v>
      </c>
      <c r="D1593" s="24" t="s">
        <v>465</v>
      </c>
      <c r="E1593" s="24" t="s">
        <v>9</v>
      </c>
      <c r="F1593" s="24">
        <v>10028</v>
      </c>
      <c r="G1593" s="25">
        <v>42766</v>
      </c>
      <c r="H1593" s="25">
        <v>43496</v>
      </c>
      <c r="I1593" s="24" t="s">
        <v>16</v>
      </c>
      <c r="J1593" s="24" t="s">
        <v>22</v>
      </c>
      <c r="K1593" s="24" t="str">
        <f>IF(certifications[[#This Row],[ISSUE DATE]]="", "", TEXT(certifications[[#This Row],[ISSUE DATE]], "MMM"))</f>
        <v>Jan</v>
      </c>
      <c r="L1593" s="35" t="str">
        <f>IF(certifications[[#This Row],[ISSUE DATE]]="", "", TEXT(certifications[[#This Row],[ISSUE DATE]], "YYYY"))</f>
        <v>2017</v>
      </c>
    </row>
    <row r="1594" spans="1:12" s="29" customFormat="1" ht="23.95" customHeight="1" x14ac:dyDescent="0.3">
      <c r="A1594" s="31"/>
      <c r="B1594" s="24">
        <v>1581</v>
      </c>
      <c r="C1594" s="24" t="s">
        <v>1638</v>
      </c>
      <c r="D1594" s="24" t="s">
        <v>848</v>
      </c>
      <c r="E1594" s="24" t="s">
        <v>9</v>
      </c>
      <c r="F1594" s="24">
        <v>20500</v>
      </c>
      <c r="G1594" s="25">
        <v>45469</v>
      </c>
      <c r="H1594" s="25">
        <v>46199</v>
      </c>
      <c r="I1594" s="24" t="s">
        <v>10</v>
      </c>
      <c r="J1594" s="24" t="s">
        <v>38</v>
      </c>
      <c r="K1594" s="24" t="str">
        <f>IF(certifications[[#This Row],[ISSUE DATE]]="", "", TEXT(certifications[[#This Row],[ISSUE DATE]], "MMM"))</f>
        <v>Jun</v>
      </c>
      <c r="L1594" s="35" t="str">
        <f>IF(certifications[[#This Row],[ISSUE DATE]]="", "", TEXT(certifications[[#This Row],[ISSUE DATE]], "YYYY"))</f>
        <v>2024</v>
      </c>
    </row>
    <row r="1595" spans="1:12" s="29" customFormat="1" ht="23.95" customHeight="1" x14ac:dyDescent="0.3">
      <c r="A1595" s="31"/>
      <c r="B1595" s="24">
        <v>1582</v>
      </c>
      <c r="C1595" s="24" t="s">
        <v>1639</v>
      </c>
      <c r="D1595" s="24" t="s">
        <v>363</v>
      </c>
      <c r="E1595" s="24" t="s">
        <v>9</v>
      </c>
      <c r="F1595" s="24">
        <v>7938</v>
      </c>
      <c r="G1595" s="25">
        <v>40823</v>
      </c>
      <c r="H1595" s="25">
        <v>42284</v>
      </c>
      <c r="I1595" s="24" t="s">
        <v>16</v>
      </c>
      <c r="J1595" s="24" t="s">
        <v>19</v>
      </c>
      <c r="K1595" s="24" t="str">
        <f>IF(certifications[[#This Row],[ISSUE DATE]]="", "", TEXT(certifications[[#This Row],[ISSUE DATE]], "MMM"))</f>
        <v>Oct</v>
      </c>
      <c r="L1595" s="35" t="str">
        <f>IF(certifications[[#This Row],[ISSUE DATE]]="", "", TEXT(certifications[[#This Row],[ISSUE DATE]], "YYYY"))</f>
        <v>2011</v>
      </c>
    </row>
    <row r="1596" spans="1:12" s="29" customFormat="1" ht="23.95" customHeight="1" x14ac:dyDescent="0.3">
      <c r="A1596" s="31"/>
      <c r="B1596" s="24">
        <v>1583</v>
      </c>
      <c r="C1596" s="24" t="s">
        <v>1640</v>
      </c>
      <c r="D1596" s="24" t="s">
        <v>32</v>
      </c>
      <c r="E1596" s="24" t="s">
        <v>9</v>
      </c>
      <c r="F1596" s="24">
        <v>9028</v>
      </c>
      <c r="G1596" s="25">
        <v>41905</v>
      </c>
      <c r="H1596" s="25">
        <v>42636</v>
      </c>
      <c r="I1596" s="24" t="s">
        <v>16</v>
      </c>
      <c r="J1596" s="24" t="s">
        <v>33</v>
      </c>
      <c r="K1596" s="24" t="str">
        <f>IF(certifications[[#This Row],[ISSUE DATE]]="", "", TEXT(certifications[[#This Row],[ISSUE DATE]], "MMM"))</f>
        <v>Sep</v>
      </c>
      <c r="L1596" s="35" t="str">
        <f>IF(certifications[[#This Row],[ISSUE DATE]]="", "", TEXT(certifications[[#This Row],[ISSUE DATE]], "YYYY"))</f>
        <v>2014</v>
      </c>
    </row>
    <row r="1597" spans="1:12" s="29" customFormat="1" ht="23.95" customHeight="1" x14ac:dyDescent="0.3">
      <c r="A1597" s="31"/>
      <c r="B1597" s="24">
        <v>1584</v>
      </c>
      <c r="C1597" s="24" t="s">
        <v>1641</v>
      </c>
      <c r="D1597" s="24" t="s">
        <v>133</v>
      </c>
      <c r="E1597" s="24" t="s">
        <v>26</v>
      </c>
      <c r="F1597" s="24">
        <v>20562</v>
      </c>
      <c r="G1597" s="25">
        <v>45483</v>
      </c>
      <c r="H1597" s="25">
        <v>46213</v>
      </c>
      <c r="I1597" s="24" t="s">
        <v>10</v>
      </c>
      <c r="J1597" s="24" t="s">
        <v>14</v>
      </c>
      <c r="K1597" s="24" t="str">
        <f>IF(certifications[[#This Row],[ISSUE DATE]]="", "", TEXT(certifications[[#This Row],[ISSUE DATE]], "MMM"))</f>
        <v>Jul</v>
      </c>
      <c r="L1597" s="35" t="str">
        <f>IF(certifications[[#This Row],[ISSUE DATE]]="", "", TEXT(certifications[[#This Row],[ISSUE DATE]], "YYYY"))</f>
        <v>2024</v>
      </c>
    </row>
    <row r="1598" spans="1:12" s="29" customFormat="1" ht="23.95" customHeight="1" x14ac:dyDescent="0.3">
      <c r="A1598" s="31"/>
      <c r="B1598" s="24">
        <v>1585</v>
      </c>
      <c r="C1598" s="24" t="s">
        <v>1642</v>
      </c>
      <c r="D1598" s="24" t="s">
        <v>32</v>
      </c>
      <c r="E1598" s="24" t="s">
        <v>9</v>
      </c>
      <c r="F1598" s="24">
        <v>15611</v>
      </c>
      <c r="G1598" s="25">
        <v>44140</v>
      </c>
      <c r="H1598" s="25">
        <v>45601</v>
      </c>
      <c r="I1598" s="24" t="s">
        <v>82</v>
      </c>
      <c r="J1598" s="24" t="s">
        <v>33</v>
      </c>
      <c r="K1598" s="24" t="str">
        <f>IF(certifications[[#This Row],[ISSUE DATE]]="", "", TEXT(certifications[[#This Row],[ISSUE DATE]], "MMM"))</f>
        <v>Nov</v>
      </c>
      <c r="L1598" s="35" t="str">
        <f>IF(certifications[[#This Row],[ISSUE DATE]]="", "", TEXT(certifications[[#This Row],[ISSUE DATE]], "YYYY"))</f>
        <v>2020</v>
      </c>
    </row>
    <row r="1599" spans="1:12" s="29" customFormat="1" ht="23.95" customHeight="1" x14ac:dyDescent="0.3">
      <c r="A1599" s="31"/>
      <c r="B1599" s="24">
        <v>1586</v>
      </c>
      <c r="C1599" s="24" t="s">
        <v>1642</v>
      </c>
      <c r="D1599" s="24" t="s">
        <v>32</v>
      </c>
      <c r="E1599" s="24" t="s">
        <v>26</v>
      </c>
      <c r="F1599" s="24">
        <v>15611</v>
      </c>
      <c r="G1599" s="25">
        <v>44267</v>
      </c>
      <c r="H1599" s="25">
        <v>44997</v>
      </c>
      <c r="I1599" s="24" t="s">
        <v>16</v>
      </c>
      <c r="J1599" s="24" t="s">
        <v>33</v>
      </c>
      <c r="K1599" s="24" t="str">
        <f>IF(certifications[[#This Row],[ISSUE DATE]]="", "", TEXT(certifications[[#This Row],[ISSUE DATE]], "MMM"))</f>
        <v>Mar</v>
      </c>
      <c r="L1599" s="35" t="str">
        <f>IF(certifications[[#This Row],[ISSUE DATE]]="", "", TEXT(certifications[[#This Row],[ISSUE DATE]], "YYYY"))</f>
        <v>2021</v>
      </c>
    </row>
    <row r="1600" spans="1:12" s="29" customFormat="1" ht="23.95" customHeight="1" x14ac:dyDescent="0.3">
      <c r="A1600" s="31"/>
      <c r="B1600" s="24">
        <v>1587</v>
      </c>
      <c r="C1600" s="24" t="s">
        <v>1643</v>
      </c>
      <c r="D1600" s="24" t="s">
        <v>18</v>
      </c>
      <c r="E1600" s="24" t="s">
        <v>9</v>
      </c>
      <c r="F1600" s="24">
        <v>9652</v>
      </c>
      <c r="G1600" s="25">
        <v>42537</v>
      </c>
      <c r="H1600" s="25">
        <v>43267</v>
      </c>
      <c r="I1600" s="24" t="s">
        <v>16</v>
      </c>
      <c r="J1600" s="24" t="s">
        <v>19</v>
      </c>
      <c r="K1600" s="24" t="str">
        <f>IF(certifications[[#This Row],[ISSUE DATE]]="", "", TEXT(certifications[[#This Row],[ISSUE DATE]], "MMM"))</f>
        <v>Jun</v>
      </c>
      <c r="L1600" s="35" t="str">
        <f>IF(certifications[[#This Row],[ISSUE DATE]]="", "", TEXT(certifications[[#This Row],[ISSUE DATE]], "YYYY"))</f>
        <v>2016</v>
      </c>
    </row>
    <row r="1601" spans="1:12" s="29" customFormat="1" ht="23.95" customHeight="1" x14ac:dyDescent="0.3">
      <c r="A1601" s="31"/>
      <c r="B1601" s="24">
        <v>1588</v>
      </c>
      <c r="C1601" s="24" t="s">
        <v>1644</v>
      </c>
      <c r="D1601" s="24" t="s">
        <v>674</v>
      </c>
      <c r="E1601" s="24" t="s">
        <v>9</v>
      </c>
      <c r="F1601" s="24">
        <v>9778</v>
      </c>
      <c r="G1601" s="25">
        <v>42622</v>
      </c>
      <c r="H1601" s="25">
        <v>46274</v>
      </c>
      <c r="I1601" s="24" t="s">
        <v>10</v>
      </c>
      <c r="J1601" s="24" t="s">
        <v>22</v>
      </c>
      <c r="K1601" s="24" t="str">
        <f>IF(certifications[[#This Row],[ISSUE DATE]]="", "", TEXT(certifications[[#This Row],[ISSUE DATE]], "MMM"))</f>
        <v>Sep</v>
      </c>
      <c r="L1601" s="35" t="str">
        <f>IF(certifications[[#This Row],[ISSUE DATE]]="", "", TEXT(certifications[[#This Row],[ISSUE DATE]], "YYYY"))</f>
        <v>2016</v>
      </c>
    </row>
    <row r="1602" spans="1:12" s="29" customFormat="1" ht="23.95" customHeight="1" x14ac:dyDescent="0.3">
      <c r="A1602" s="31"/>
      <c r="B1602" s="24">
        <v>1589</v>
      </c>
      <c r="C1602" s="24" t="s">
        <v>1644</v>
      </c>
      <c r="D1602" s="24" t="s">
        <v>674</v>
      </c>
      <c r="E1602" s="24" t="s">
        <v>26</v>
      </c>
      <c r="F1602" s="24">
        <v>9778</v>
      </c>
      <c r="G1602" s="25">
        <v>45678</v>
      </c>
      <c r="H1602" s="25">
        <v>46274</v>
      </c>
      <c r="I1602" s="24" t="s">
        <v>10</v>
      </c>
      <c r="J1602" s="24" t="s">
        <v>22</v>
      </c>
      <c r="K1602" s="24" t="str">
        <f>IF(certifications[[#This Row],[ISSUE DATE]]="", "", TEXT(certifications[[#This Row],[ISSUE DATE]], "MMM"))</f>
        <v>Jan</v>
      </c>
      <c r="L1602" s="35" t="str">
        <f>IF(certifications[[#This Row],[ISSUE DATE]]="", "", TEXT(certifications[[#This Row],[ISSUE DATE]], "YYYY"))</f>
        <v>2025</v>
      </c>
    </row>
    <row r="1603" spans="1:12" s="29" customFormat="1" ht="23.95" customHeight="1" x14ac:dyDescent="0.3">
      <c r="A1603" s="31"/>
      <c r="B1603" s="24">
        <v>1590</v>
      </c>
      <c r="C1603" s="3" t="s">
        <v>1644</v>
      </c>
      <c r="D1603" s="3" t="s">
        <v>674</v>
      </c>
      <c r="E1603" s="3" t="s">
        <v>27</v>
      </c>
      <c r="F1603" s="3">
        <v>9778</v>
      </c>
      <c r="G1603" s="4">
        <v>44244</v>
      </c>
      <c r="H1603" s="4">
        <v>46274</v>
      </c>
      <c r="I1603" s="3" t="s">
        <v>10</v>
      </c>
      <c r="J1603" s="3" t="s">
        <v>22</v>
      </c>
      <c r="K1603" s="3" t="str">
        <f>IF(certifications[[#This Row],[ISSUE DATE]]="", "", TEXT(certifications[[#This Row],[ISSUE DATE]], "MMM"))</f>
        <v>Feb</v>
      </c>
      <c r="L1603" s="36" t="str">
        <f>IF(certifications[[#This Row],[ISSUE DATE]]="", "", TEXT(certifications[[#This Row],[ISSUE DATE]], "YYYY"))</f>
        <v>2021</v>
      </c>
    </row>
    <row r="1604" spans="1:12" s="29" customFormat="1" ht="23.95" customHeight="1" x14ac:dyDescent="0.3">
      <c r="A1604" s="31"/>
      <c r="B1604" s="24">
        <v>1591</v>
      </c>
      <c r="C1604" s="24" t="s">
        <v>1645</v>
      </c>
      <c r="D1604" s="24" t="s">
        <v>13</v>
      </c>
      <c r="E1604" s="24" t="s">
        <v>9</v>
      </c>
      <c r="F1604" s="24">
        <v>8705</v>
      </c>
      <c r="G1604" s="25">
        <v>41620</v>
      </c>
      <c r="H1604" s="25">
        <v>42350</v>
      </c>
      <c r="I1604" s="24" t="s">
        <v>16</v>
      </c>
      <c r="J1604" s="24" t="s">
        <v>14</v>
      </c>
      <c r="K1604" s="24" t="str">
        <f>IF(certifications[[#This Row],[ISSUE DATE]]="", "", TEXT(certifications[[#This Row],[ISSUE DATE]], "MMM"))</f>
        <v>Dec</v>
      </c>
      <c r="L1604" s="35" t="str">
        <f>IF(certifications[[#This Row],[ISSUE DATE]]="", "", TEXT(certifications[[#This Row],[ISSUE DATE]], "YYYY"))</f>
        <v>2013</v>
      </c>
    </row>
    <row r="1605" spans="1:12" s="29" customFormat="1" ht="23.95" customHeight="1" x14ac:dyDescent="0.3">
      <c r="A1605" s="31"/>
      <c r="B1605" s="24">
        <v>1592</v>
      </c>
      <c r="C1605" s="24" t="s">
        <v>1646</v>
      </c>
      <c r="D1605" s="24" t="s">
        <v>32</v>
      </c>
      <c r="E1605" s="24" t="s">
        <v>26</v>
      </c>
      <c r="F1605" s="24">
        <v>20615</v>
      </c>
      <c r="G1605" s="25">
        <v>45498</v>
      </c>
      <c r="H1605" s="25">
        <v>46228</v>
      </c>
      <c r="I1605" s="24" t="s">
        <v>10</v>
      </c>
      <c r="J1605" s="24" t="s">
        <v>33</v>
      </c>
      <c r="K1605" s="24" t="str">
        <f>IF(certifications[[#This Row],[ISSUE DATE]]="", "", TEXT(certifications[[#This Row],[ISSUE DATE]], "MMM"))</f>
        <v>Jul</v>
      </c>
      <c r="L1605" s="35" t="str">
        <f>IF(certifications[[#This Row],[ISSUE DATE]]="", "", TEXT(certifications[[#This Row],[ISSUE DATE]], "YYYY"))</f>
        <v>2024</v>
      </c>
    </row>
    <row r="1606" spans="1:12" s="29" customFormat="1" ht="23.95" customHeight="1" x14ac:dyDescent="0.3">
      <c r="A1606" s="31"/>
      <c r="B1606" s="24">
        <v>1593</v>
      </c>
      <c r="C1606" s="24" t="s">
        <v>1647</v>
      </c>
      <c r="D1606" s="24" t="s">
        <v>59</v>
      </c>
      <c r="E1606" s="24" t="s">
        <v>9</v>
      </c>
      <c r="F1606" s="24">
        <v>13735</v>
      </c>
      <c r="G1606" s="25">
        <v>43641</v>
      </c>
      <c r="H1606" s="25">
        <v>45102</v>
      </c>
      <c r="I1606" s="24" t="s">
        <v>16</v>
      </c>
      <c r="J1606" s="24" t="s">
        <v>30</v>
      </c>
      <c r="K1606" s="24" t="str">
        <f>IF(certifications[[#This Row],[ISSUE DATE]]="", "", TEXT(certifications[[#This Row],[ISSUE DATE]], "MMM"))</f>
        <v>Jun</v>
      </c>
      <c r="L1606" s="35" t="str">
        <f>IF(certifications[[#This Row],[ISSUE DATE]]="", "", TEXT(certifications[[#This Row],[ISSUE DATE]], "YYYY"))</f>
        <v>2019</v>
      </c>
    </row>
    <row r="1607" spans="1:12" s="29" customFormat="1" ht="23.95" customHeight="1" x14ac:dyDescent="0.3">
      <c r="A1607" s="31"/>
      <c r="B1607" s="24">
        <v>1594</v>
      </c>
      <c r="C1607" s="24" t="s">
        <v>1648</v>
      </c>
      <c r="D1607" s="24" t="s">
        <v>309</v>
      </c>
      <c r="E1607" s="24" t="s">
        <v>9</v>
      </c>
      <c r="F1607" s="24">
        <v>10086</v>
      </c>
      <c r="G1607" s="25">
        <v>42815</v>
      </c>
      <c r="H1607" s="25">
        <v>43545</v>
      </c>
      <c r="I1607" s="24" t="s">
        <v>16</v>
      </c>
      <c r="J1607" s="24" t="s">
        <v>11</v>
      </c>
      <c r="K1607" s="24" t="str">
        <f>IF(certifications[[#This Row],[ISSUE DATE]]="", "", TEXT(certifications[[#This Row],[ISSUE DATE]], "MMM"))</f>
        <v>Mar</v>
      </c>
      <c r="L1607" s="35" t="str">
        <f>IF(certifications[[#This Row],[ISSUE DATE]]="", "", TEXT(certifications[[#This Row],[ISSUE DATE]], "YYYY"))</f>
        <v>2017</v>
      </c>
    </row>
    <row r="1608" spans="1:12" s="29" customFormat="1" ht="23.95" customHeight="1" x14ac:dyDescent="0.3">
      <c r="A1608" s="31"/>
      <c r="B1608" s="24">
        <v>1595</v>
      </c>
      <c r="C1608" s="24" t="s">
        <v>1649</v>
      </c>
      <c r="D1608" s="24" t="s">
        <v>13</v>
      </c>
      <c r="E1608" s="24" t="s">
        <v>9</v>
      </c>
      <c r="F1608" s="24">
        <v>15031</v>
      </c>
      <c r="G1608" s="25">
        <v>43840</v>
      </c>
      <c r="H1608" s="25">
        <v>45301</v>
      </c>
      <c r="I1608" s="24" t="s">
        <v>16</v>
      </c>
      <c r="J1608" s="24" t="s">
        <v>14</v>
      </c>
      <c r="K1608" s="24" t="str">
        <f>IF(certifications[[#This Row],[ISSUE DATE]]="", "", TEXT(certifications[[#This Row],[ISSUE DATE]], "MMM"))</f>
        <v>Jan</v>
      </c>
      <c r="L1608" s="35" t="str">
        <f>IF(certifications[[#This Row],[ISSUE DATE]]="", "", TEXT(certifications[[#This Row],[ISSUE DATE]], "YYYY"))</f>
        <v>2020</v>
      </c>
    </row>
    <row r="1609" spans="1:12" s="29" customFormat="1" ht="23.95" customHeight="1" x14ac:dyDescent="0.3">
      <c r="A1609" s="31"/>
      <c r="B1609" s="24">
        <v>1596</v>
      </c>
      <c r="C1609" s="24" t="s">
        <v>1650</v>
      </c>
      <c r="D1609" s="24" t="s">
        <v>32</v>
      </c>
      <c r="E1609" s="24" t="s">
        <v>9</v>
      </c>
      <c r="F1609" s="24">
        <v>22095</v>
      </c>
      <c r="G1609" s="25">
        <v>45812</v>
      </c>
      <c r="H1609" s="25">
        <v>46542</v>
      </c>
      <c r="I1609" s="24" t="s">
        <v>10</v>
      </c>
      <c r="J1609" s="24" t="s">
        <v>33</v>
      </c>
      <c r="K1609" s="24" t="str">
        <f>IF(certifications[[#This Row],[ISSUE DATE]]="", "", TEXT(certifications[[#This Row],[ISSUE DATE]], "MMM"))</f>
        <v>Jun</v>
      </c>
      <c r="L1609" s="35" t="str">
        <f>IF(certifications[[#This Row],[ISSUE DATE]]="", "", TEXT(certifications[[#This Row],[ISSUE DATE]], "YYYY"))</f>
        <v>2025</v>
      </c>
    </row>
    <row r="1610" spans="1:12" s="29" customFormat="1" ht="23.95" customHeight="1" x14ac:dyDescent="0.3">
      <c r="A1610" s="31"/>
      <c r="B1610" s="24">
        <v>1597</v>
      </c>
      <c r="C1610" s="24" t="s">
        <v>1651</v>
      </c>
      <c r="D1610" s="24" t="s">
        <v>305</v>
      </c>
      <c r="E1610" s="24" t="s">
        <v>9</v>
      </c>
      <c r="F1610" s="24">
        <v>13999</v>
      </c>
      <c r="G1610" s="25">
        <v>43670</v>
      </c>
      <c r="H1610" s="25">
        <v>45131</v>
      </c>
      <c r="I1610" s="24" t="s">
        <v>16</v>
      </c>
      <c r="J1610" s="24" t="s">
        <v>22</v>
      </c>
      <c r="K1610" s="24" t="str">
        <f>IF(certifications[[#This Row],[ISSUE DATE]]="", "", TEXT(certifications[[#This Row],[ISSUE DATE]], "MMM"))</f>
        <v>Jul</v>
      </c>
      <c r="L1610" s="35" t="str">
        <f>IF(certifications[[#This Row],[ISSUE DATE]]="", "", TEXT(certifications[[#This Row],[ISSUE DATE]], "YYYY"))</f>
        <v>2019</v>
      </c>
    </row>
    <row r="1611" spans="1:12" s="29" customFormat="1" ht="23.95" customHeight="1" x14ac:dyDescent="0.3">
      <c r="A1611" s="31"/>
      <c r="B1611" s="24">
        <v>1598</v>
      </c>
      <c r="C1611" s="24" t="s">
        <v>1652</v>
      </c>
      <c r="D1611" s="24" t="s">
        <v>32</v>
      </c>
      <c r="E1611" s="24" t="s">
        <v>9</v>
      </c>
      <c r="F1611" s="24">
        <v>11037</v>
      </c>
      <c r="G1611" s="25">
        <v>43203</v>
      </c>
      <c r="H1611" s="25">
        <v>43934</v>
      </c>
      <c r="I1611" s="24" t="s">
        <v>16</v>
      </c>
      <c r="J1611" s="24" t="s">
        <v>33</v>
      </c>
      <c r="K1611" s="24" t="str">
        <f>IF(certifications[[#This Row],[ISSUE DATE]]="", "", TEXT(certifications[[#This Row],[ISSUE DATE]], "MMM"))</f>
        <v>Apr</v>
      </c>
      <c r="L1611" s="35" t="str">
        <f>IF(certifications[[#This Row],[ISSUE DATE]]="", "", TEXT(certifications[[#This Row],[ISSUE DATE]], "YYYY"))</f>
        <v>2018</v>
      </c>
    </row>
    <row r="1612" spans="1:12" s="29" customFormat="1" ht="23.95" customHeight="1" x14ac:dyDescent="0.3">
      <c r="A1612" s="31"/>
      <c r="B1612" s="24">
        <v>1599</v>
      </c>
      <c r="C1612" s="24" t="s">
        <v>1653</v>
      </c>
      <c r="D1612" s="24" t="s">
        <v>131</v>
      </c>
      <c r="E1612" s="24" t="s">
        <v>9</v>
      </c>
      <c r="F1612" s="24">
        <v>8276</v>
      </c>
      <c r="G1612" s="25">
        <v>41255</v>
      </c>
      <c r="H1612" s="25">
        <v>44907</v>
      </c>
      <c r="I1612" s="24" t="s">
        <v>16</v>
      </c>
      <c r="J1612" s="24" t="s">
        <v>38</v>
      </c>
      <c r="K1612" s="24" t="str">
        <f>IF(certifications[[#This Row],[ISSUE DATE]]="", "", TEXT(certifications[[#This Row],[ISSUE DATE]], "MMM"))</f>
        <v>Dec</v>
      </c>
      <c r="L1612" s="35" t="str">
        <f>IF(certifications[[#This Row],[ISSUE DATE]]="", "", TEXT(certifications[[#This Row],[ISSUE DATE]], "YYYY"))</f>
        <v>2012</v>
      </c>
    </row>
    <row r="1613" spans="1:12" s="29" customFormat="1" ht="23.95" customHeight="1" x14ac:dyDescent="0.3">
      <c r="A1613" s="31"/>
      <c r="B1613" s="24">
        <v>1600</v>
      </c>
      <c r="C1613" s="24" t="s">
        <v>1653</v>
      </c>
      <c r="D1613" s="24" t="s">
        <v>131</v>
      </c>
      <c r="E1613" s="24" t="s">
        <v>26</v>
      </c>
      <c r="F1613" s="24">
        <v>8276</v>
      </c>
      <c r="G1613" s="25">
        <v>43679</v>
      </c>
      <c r="H1613" s="25">
        <v>44410</v>
      </c>
      <c r="I1613" s="24" t="s">
        <v>16</v>
      </c>
      <c r="J1613" s="24" t="s">
        <v>38</v>
      </c>
      <c r="K1613" s="24" t="str">
        <f>IF(certifications[[#This Row],[ISSUE DATE]]="", "", TEXT(certifications[[#This Row],[ISSUE DATE]], "MMM"))</f>
        <v>Aug</v>
      </c>
      <c r="L1613" s="35" t="str">
        <f>IF(certifications[[#This Row],[ISSUE DATE]]="", "", TEXT(certifications[[#This Row],[ISSUE DATE]], "YYYY"))</f>
        <v>2019</v>
      </c>
    </row>
    <row r="1614" spans="1:12" s="29" customFormat="1" ht="23.95" customHeight="1" x14ac:dyDescent="0.3">
      <c r="A1614" s="31"/>
      <c r="B1614" s="24">
        <v>1601</v>
      </c>
      <c r="C1614" s="24" t="s">
        <v>1654</v>
      </c>
      <c r="D1614" s="24" t="s">
        <v>715</v>
      </c>
      <c r="E1614" s="24" t="s">
        <v>9</v>
      </c>
      <c r="F1614" s="24">
        <v>12730</v>
      </c>
      <c r="G1614" s="25">
        <v>43479</v>
      </c>
      <c r="H1614" s="25">
        <v>44210</v>
      </c>
      <c r="I1614" s="24" t="s">
        <v>16</v>
      </c>
      <c r="J1614" s="24" t="s">
        <v>19</v>
      </c>
      <c r="K1614" s="24" t="str">
        <f>IF(certifications[[#This Row],[ISSUE DATE]]="", "", TEXT(certifications[[#This Row],[ISSUE DATE]], "MMM"))</f>
        <v>Jan</v>
      </c>
      <c r="L1614" s="35" t="str">
        <f>IF(certifications[[#This Row],[ISSUE DATE]]="", "", TEXT(certifications[[#This Row],[ISSUE DATE]], "YYYY"))</f>
        <v>2019</v>
      </c>
    </row>
    <row r="1615" spans="1:12" s="29" customFormat="1" ht="23.95" customHeight="1" x14ac:dyDescent="0.3">
      <c r="A1615" s="31"/>
      <c r="B1615" s="24">
        <v>1602</v>
      </c>
      <c r="C1615" s="24" t="s">
        <v>1655</v>
      </c>
      <c r="D1615" s="24" t="s">
        <v>46</v>
      </c>
      <c r="E1615" s="24" t="s">
        <v>9</v>
      </c>
      <c r="F1615" s="24">
        <v>14651</v>
      </c>
      <c r="G1615" s="25">
        <v>43714</v>
      </c>
      <c r="H1615" s="25">
        <v>44445</v>
      </c>
      <c r="I1615" s="24" t="s">
        <v>16</v>
      </c>
      <c r="J1615" s="24" t="s">
        <v>38</v>
      </c>
      <c r="K1615" s="24" t="str">
        <f>IF(certifications[[#This Row],[ISSUE DATE]]="", "", TEXT(certifications[[#This Row],[ISSUE DATE]], "MMM"))</f>
        <v>Sep</v>
      </c>
      <c r="L1615" s="35" t="str">
        <f>IF(certifications[[#This Row],[ISSUE DATE]]="", "", TEXT(certifications[[#This Row],[ISSUE DATE]], "YYYY"))</f>
        <v>2019</v>
      </c>
    </row>
    <row r="1616" spans="1:12" s="29" customFormat="1" ht="23.95" customHeight="1" x14ac:dyDescent="0.3">
      <c r="A1616" s="31"/>
      <c r="B1616" s="24">
        <v>1603</v>
      </c>
      <c r="C1616" s="24" t="s">
        <v>1656</v>
      </c>
      <c r="D1616" s="24" t="s">
        <v>32</v>
      </c>
      <c r="E1616" s="24" t="s">
        <v>9</v>
      </c>
      <c r="F1616" s="24">
        <v>8200</v>
      </c>
      <c r="G1616" s="25">
        <v>41159</v>
      </c>
      <c r="H1616" s="25">
        <v>43350</v>
      </c>
      <c r="I1616" s="24" t="s">
        <v>16</v>
      </c>
      <c r="J1616" s="24" t="s">
        <v>33</v>
      </c>
      <c r="K1616" s="24" t="str">
        <f>IF(certifications[[#This Row],[ISSUE DATE]]="", "", TEXT(certifications[[#This Row],[ISSUE DATE]], "MMM"))</f>
        <v>Sep</v>
      </c>
      <c r="L1616" s="35" t="str">
        <f>IF(certifications[[#This Row],[ISSUE DATE]]="", "", TEXT(certifications[[#This Row],[ISSUE DATE]], "YYYY"))</f>
        <v>2012</v>
      </c>
    </row>
    <row r="1617" spans="1:12" s="29" customFormat="1" ht="23.95" customHeight="1" x14ac:dyDescent="0.3">
      <c r="A1617" s="31"/>
      <c r="B1617" s="24">
        <v>1604</v>
      </c>
      <c r="C1617" s="24" t="s">
        <v>1657</v>
      </c>
      <c r="D1617" s="24" t="s">
        <v>46</v>
      </c>
      <c r="E1617" s="24" t="s">
        <v>9</v>
      </c>
      <c r="F1617" s="24">
        <v>8714</v>
      </c>
      <c r="G1617" s="25">
        <v>41620</v>
      </c>
      <c r="H1617" s="25">
        <v>43811</v>
      </c>
      <c r="I1617" s="24" t="s">
        <v>16</v>
      </c>
      <c r="J1617" s="24" t="s">
        <v>38</v>
      </c>
      <c r="K1617" s="24" t="str">
        <f>IF(certifications[[#This Row],[ISSUE DATE]]="", "", TEXT(certifications[[#This Row],[ISSUE DATE]], "MMM"))</f>
        <v>Dec</v>
      </c>
      <c r="L1617" s="35" t="str">
        <f>IF(certifications[[#This Row],[ISSUE DATE]]="", "", TEXT(certifications[[#This Row],[ISSUE DATE]], "YYYY"))</f>
        <v>2013</v>
      </c>
    </row>
    <row r="1618" spans="1:12" s="29" customFormat="1" ht="23.95" customHeight="1" x14ac:dyDescent="0.3">
      <c r="A1618" s="31"/>
      <c r="B1618" s="24">
        <v>1605</v>
      </c>
      <c r="C1618" s="24" t="s">
        <v>1658</v>
      </c>
      <c r="D1618" s="24" t="s">
        <v>1659</v>
      </c>
      <c r="E1618" s="24" t="s">
        <v>9</v>
      </c>
      <c r="F1618" s="24">
        <v>9447</v>
      </c>
      <c r="G1618" s="25">
        <v>42346</v>
      </c>
      <c r="H1618" s="25">
        <v>45268</v>
      </c>
      <c r="I1618" s="24" t="s">
        <v>16</v>
      </c>
      <c r="J1618" s="24" t="s">
        <v>30</v>
      </c>
      <c r="K1618" s="24" t="str">
        <f>IF(certifications[[#This Row],[ISSUE DATE]]="", "", TEXT(certifications[[#This Row],[ISSUE DATE]], "MMM"))</f>
        <v>Dec</v>
      </c>
      <c r="L1618" s="35" t="str">
        <f>IF(certifications[[#This Row],[ISSUE DATE]]="", "", TEXT(certifications[[#This Row],[ISSUE DATE]], "YYYY"))</f>
        <v>2015</v>
      </c>
    </row>
    <row r="1619" spans="1:12" s="29" customFormat="1" ht="23.95" customHeight="1" x14ac:dyDescent="0.3">
      <c r="A1619" s="31"/>
      <c r="B1619" s="24">
        <v>1606</v>
      </c>
      <c r="C1619" s="24" t="s">
        <v>1660</v>
      </c>
      <c r="D1619" s="24" t="s">
        <v>32</v>
      </c>
      <c r="E1619" s="24" t="s">
        <v>9</v>
      </c>
      <c r="F1619" s="24">
        <v>17368</v>
      </c>
      <c r="G1619" s="25">
        <v>45469</v>
      </c>
      <c r="H1619" s="25">
        <v>46199</v>
      </c>
      <c r="I1619" s="24" t="s">
        <v>10</v>
      </c>
      <c r="J1619" s="24" t="s">
        <v>33</v>
      </c>
      <c r="K1619" s="24" t="str">
        <f>IF(certifications[[#This Row],[ISSUE DATE]]="", "", TEXT(certifications[[#This Row],[ISSUE DATE]], "MMM"))</f>
        <v>Jun</v>
      </c>
      <c r="L1619" s="35" t="str">
        <f>IF(certifications[[#This Row],[ISSUE DATE]]="", "", TEXT(certifications[[#This Row],[ISSUE DATE]], "YYYY"))</f>
        <v>2024</v>
      </c>
    </row>
    <row r="1620" spans="1:12" s="29" customFormat="1" ht="23.95" customHeight="1" x14ac:dyDescent="0.3">
      <c r="A1620" s="31"/>
      <c r="B1620" s="24">
        <v>1607</v>
      </c>
      <c r="C1620" s="24" t="s">
        <v>1661</v>
      </c>
      <c r="D1620" s="24" t="s">
        <v>190</v>
      </c>
      <c r="E1620" s="24" t="s">
        <v>9</v>
      </c>
      <c r="F1620" s="24">
        <v>18303</v>
      </c>
      <c r="G1620" s="25">
        <v>45420</v>
      </c>
      <c r="H1620" s="25">
        <v>46150</v>
      </c>
      <c r="I1620" s="24" t="s">
        <v>10</v>
      </c>
      <c r="J1620" s="24" t="s">
        <v>14</v>
      </c>
      <c r="K1620" s="24" t="str">
        <f>IF(certifications[[#This Row],[ISSUE DATE]]="", "", TEXT(certifications[[#This Row],[ISSUE DATE]], "MMM"))</f>
        <v>May</v>
      </c>
      <c r="L1620" s="35" t="str">
        <f>IF(certifications[[#This Row],[ISSUE DATE]]="", "", TEXT(certifications[[#This Row],[ISSUE DATE]], "YYYY"))</f>
        <v>2024</v>
      </c>
    </row>
    <row r="1621" spans="1:12" s="29" customFormat="1" ht="23.95" customHeight="1" x14ac:dyDescent="0.3">
      <c r="A1621" s="31"/>
      <c r="B1621" s="24">
        <v>1608</v>
      </c>
      <c r="C1621" s="24" t="s">
        <v>1662</v>
      </c>
      <c r="D1621" s="24" t="s">
        <v>755</v>
      </c>
      <c r="E1621" s="24" t="s">
        <v>9</v>
      </c>
      <c r="F1621" s="24">
        <v>8159</v>
      </c>
      <c r="G1621" s="25">
        <v>41111</v>
      </c>
      <c r="H1621" s="25">
        <v>41841</v>
      </c>
      <c r="I1621" s="24" t="s">
        <v>16</v>
      </c>
      <c r="J1621" s="24" t="s">
        <v>38</v>
      </c>
      <c r="K1621" s="24" t="str">
        <f>IF(certifications[[#This Row],[ISSUE DATE]]="", "", TEXT(certifications[[#This Row],[ISSUE DATE]], "MMM"))</f>
        <v>Jul</v>
      </c>
      <c r="L1621" s="35" t="str">
        <f>IF(certifications[[#This Row],[ISSUE DATE]]="", "", TEXT(certifications[[#This Row],[ISSUE DATE]], "YYYY"))</f>
        <v>2012</v>
      </c>
    </row>
    <row r="1622" spans="1:12" s="29" customFormat="1" ht="23.95" customHeight="1" x14ac:dyDescent="0.3">
      <c r="A1622" s="31"/>
      <c r="B1622" s="24">
        <v>1609</v>
      </c>
      <c r="C1622" s="24" t="s">
        <v>1663</v>
      </c>
      <c r="D1622" s="24" t="s">
        <v>1664</v>
      </c>
      <c r="E1622" s="24" t="s">
        <v>9</v>
      </c>
      <c r="F1622" s="24">
        <v>15287</v>
      </c>
      <c r="G1622" s="25">
        <v>44012</v>
      </c>
      <c r="H1622" s="25">
        <v>46203</v>
      </c>
      <c r="I1622" s="24" t="s">
        <v>10</v>
      </c>
      <c r="J1622" s="24" t="s">
        <v>30</v>
      </c>
      <c r="K1622" s="24" t="str">
        <f>IF(certifications[[#This Row],[ISSUE DATE]]="", "", TEXT(certifications[[#This Row],[ISSUE DATE]], "MMM"))</f>
        <v>Jun</v>
      </c>
      <c r="L1622" s="35" t="str">
        <f>IF(certifications[[#This Row],[ISSUE DATE]]="", "", TEXT(certifications[[#This Row],[ISSUE DATE]], "YYYY"))</f>
        <v>2020</v>
      </c>
    </row>
    <row r="1623" spans="1:12" s="29" customFormat="1" ht="23.95" customHeight="1" x14ac:dyDescent="0.3">
      <c r="A1623" s="31"/>
      <c r="B1623" s="24">
        <v>1610</v>
      </c>
      <c r="C1623" s="24" t="s">
        <v>1665</v>
      </c>
      <c r="D1623" s="24" t="s">
        <v>32</v>
      </c>
      <c r="E1623" s="24" t="s">
        <v>9</v>
      </c>
      <c r="F1623" s="24">
        <v>15341</v>
      </c>
      <c r="G1623" s="25">
        <v>44041</v>
      </c>
      <c r="H1623" s="25">
        <v>46232</v>
      </c>
      <c r="I1623" s="24" t="s">
        <v>10</v>
      </c>
      <c r="J1623" s="24" t="s">
        <v>33</v>
      </c>
      <c r="K1623" s="24" t="str">
        <f>IF(certifications[[#This Row],[ISSUE DATE]]="", "", TEXT(certifications[[#This Row],[ISSUE DATE]], "MMM"))</f>
        <v>Jul</v>
      </c>
      <c r="L1623" s="35" t="str">
        <f>IF(certifications[[#This Row],[ISSUE DATE]]="", "", TEXT(certifications[[#This Row],[ISSUE DATE]], "YYYY"))</f>
        <v>2020</v>
      </c>
    </row>
    <row r="1624" spans="1:12" s="29" customFormat="1" ht="23.95" customHeight="1" x14ac:dyDescent="0.3">
      <c r="A1624" s="31"/>
      <c r="B1624" s="24">
        <v>1611</v>
      </c>
      <c r="C1624" s="24" t="s">
        <v>1666</v>
      </c>
      <c r="D1624" s="24" t="s">
        <v>32</v>
      </c>
      <c r="E1624" s="24" t="s">
        <v>9</v>
      </c>
      <c r="F1624" s="24">
        <v>11829</v>
      </c>
      <c r="G1624" s="25">
        <v>45629</v>
      </c>
      <c r="H1624" s="25">
        <v>46359</v>
      </c>
      <c r="I1624" s="24" t="s">
        <v>10</v>
      </c>
      <c r="J1624" s="24" t="s">
        <v>33</v>
      </c>
      <c r="K1624" s="24" t="str">
        <f>IF(certifications[[#This Row],[ISSUE DATE]]="", "", TEXT(certifications[[#This Row],[ISSUE DATE]], "MMM"))</f>
        <v>Dec</v>
      </c>
      <c r="L1624" s="35" t="str">
        <f>IF(certifications[[#This Row],[ISSUE DATE]]="", "", TEXT(certifications[[#This Row],[ISSUE DATE]], "YYYY"))</f>
        <v>2024</v>
      </c>
    </row>
    <row r="1625" spans="1:12" s="29" customFormat="1" ht="23.95" customHeight="1" x14ac:dyDescent="0.3">
      <c r="A1625" s="31"/>
      <c r="B1625" s="24">
        <v>1612</v>
      </c>
      <c r="C1625" s="24" t="s">
        <v>1667</v>
      </c>
      <c r="D1625" s="24" t="s">
        <v>32</v>
      </c>
      <c r="E1625" s="24" t="s">
        <v>9</v>
      </c>
      <c r="F1625" s="24">
        <v>14938</v>
      </c>
      <c r="G1625" s="25">
        <v>43818</v>
      </c>
      <c r="H1625" s="25">
        <v>46010</v>
      </c>
      <c r="I1625" s="24" t="s">
        <v>10</v>
      </c>
      <c r="J1625" s="24" t="s">
        <v>33</v>
      </c>
      <c r="K1625" s="24" t="str">
        <f>IF(certifications[[#This Row],[ISSUE DATE]]="", "", TEXT(certifications[[#This Row],[ISSUE DATE]], "MMM"))</f>
        <v>Dec</v>
      </c>
      <c r="L1625" s="35" t="str">
        <f>IF(certifications[[#This Row],[ISSUE DATE]]="", "", TEXT(certifications[[#This Row],[ISSUE DATE]], "YYYY"))</f>
        <v>2019</v>
      </c>
    </row>
    <row r="1626" spans="1:12" s="29" customFormat="1" ht="23.95" customHeight="1" x14ac:dyDescent="0.3">
      <c r="A1626" s="31"/>
      <c r="B1626" s="24">
        <v>1613</v>
      </c>
      <c r="C1626" s="24" t="s">
        <v>1668</v>
      </c>
      <c r="D1626" s="24" t="s">
        <v>877</v>
      </c>
      <c r="E1626" s="24" t="s">
        <v>9</v>
      </c>
      <c r="F1626" s="24">
        <v>8331</v>
      </c>
      <c r="G1626" s="25">
        <v>41325</v>
      </c>
      <c r="H1626" s="25">
        <v>42055</v>
      </c>
      <c r="I1626" s="24" t="s">
        <v>16</v>
      </c>
      <c r="J1626" s="24" t="s">
        <v>30</v>
      </c>
      <c r="K1626" s="24" t="str">
        <f>IF(certifications[[#This Row],[ISSUE DATE]]="", "", TEXT(certifications[[#This Row],[ISSUE DATE]], "MMM"))</f>
        <v>Feb</v>
      </c>
      <c r="L1626" s="35" t="str">
        <f>IF(certifications[[#This Row],[ISSUE DATE]]="", "", TEXT(certifications[[#This Row],[ISSUE DATE]], "YYYY"))</f>
        <v>2013</v>
      </c>
    </row>
    <row r="1627" spans="1:12" s="29" customFormat="1" ht="23.95" customHeight="1" x14ac:dyDescent="0.3">
      <c r="A1627" s="31"/>
      <c r="B1627" s="24">
        <v>1614</v>
      </c>
      <c r="C1627" s="24" t="s">
        <v>1669</v>
      </c>
      <c r="D1627" s="24" t="s">
        <v>1193</v>
      </c>
      <c r="E1627" s="24" t="s">
        <v>9</v>
      </c>
      <c r="F1627" s="24">
        <v>4064</v>
      </c>
      <c r="G1627" s="25">
        <v>42571</v>
      </c>
      <c r="H1627" s="25">
        <v>44762</v>
      </c>
      <c r="I1627" s="24" t="s">
        <v>16</v>
      </c>
      <c r="J1627" s="24" t="s">
        <v>38</v>
      </c>
      <c r="K1627" s="24" t="str">
        <f>IF(certifications[[#This Row],[ISSUE DATE]]="", "", TEXT(certifications[[#This Row],[ISSUE DATE]], "MMM"))</f>
        <v>Jul</v>
      </c>
      <c r="L1627" s="35" t="str">
        <f>IF(certifications[[#This Row],[ISSUE DATE]]="", "", TEXT(certifications[[#This Row],[ISSUE DATE]], "YYYY"))</f>
        <v>2016</v>
      </c>
    </row>
    <row r="1628" spans="1:12" s="29" customFormat="1" ht="23.95" customHeight="1" x14ac:dyDescent="0.3">
      <c r="A1628" s="31"/>
      <c r="B1628" s="24">
        <v>1615</v>
      </c>
      <c r="C1628" s="24" t="s">
        <v>1669</v>
      </c>
      <c r="D1628" s="24" t="s">
        <v>1193</v>
      </c>
      <c r="E1628" s="24" t="s">
        <v>26</v>
      </c>
      <c r="F1628" s="24">
        <v>4064</v>
      </c>
      <c r="G1628" s="25">
        <v>44089</v>
      </c>
      <c r="H1628" s="25">
        <v>44819</v>
      </c>
      <c r="I1628" s="24" t="s">
        <v>16</v>
      </c>
      <c r="J1628" s="24" t="s">
        <v>38</v>
      </c>
      <c r="K1628" s="24" t="str">
        <f>IF(certifications[[#This Row],[ISSUE DATE]]="", "", TEXT(certifications[[#This Row],[ISSUE DATE]], "MMM"))</f>
        <v>Sep</v>
      </c>
      <c r="L1628" s="35" t="str">
        <f>IF(certifications[[#This Row],[ISSUE DATE]]="", "", TEXT(certifications[[#This Row],[ISSUE DATE]], "YYYY"))</f>
        <v>2020</v>
      </c>
    </row>
    <row r="1629" spans="1:12" s="29" customFormat="1" ht="23.95" customHeight="1" x14ac:dyDescent="0.3">
      <c r="A1629" s="31"/>
      <c r="B1629" s="24">
        <v>1616</v>
      </c>
      <c r="C1629" s="24" t="s">
        <v>1670</v>
      </c>
      <c r="D1629" s="24" t="s">
        <v>80</v>
      </c>
      <c r="E1629" s="24" t="s">
        <v>9</v>
      </c>
      <c r="F1629" s="24">
        <v>10246</v>
      </c>
      <c r="G1629" s="25">
        <v>42908</v>
      </c>
      <c r="H1629" s="25">
        <v>43638</v>
      </c>
      <c r="I1629" s="24" t="s">
        <v>16</v>
      </c>
      <c r="J1629" s="24" t="s">
        <v>38</v>
      </c>
      <c r="K1629" s="24" t="str">
        <f>IF(certifications[[#This Row],[ISSUE DATE]]="", "", TEXT(certifications[[#This Row],[ISSUE DATE]], "MMM"))</f>
        <v>Jun</v>
      </c>
      <c r="L1629" s="35" t="str">
        <f>IF(certifications[[#This Row],[ISSUE DATE]]="", "", TEXT(certifications[[#This Row],[ISSUE DATE]], "YYYY"))</f>
        <v>2017</v>
      </c>
    </row>
    <row r="1630" spans="1:12" s="29" customFormat="1" ht="23.95" customHeight="1" x14ac:dyDescent="0.3">
      <c r="A1630" s="31"/>
      <c r="B1630" s="24">
        <v>1617</v>
      </c>
      <c r="C1630" s="24" t="s">
        <v>1671</v>
      </c>
      <c r="D1630" s="24" t="s">
        <v>32</v>
      </c>
      <c r="E1630" s="24" t="s">
        <v>9</v>
      </c>
      <c r="F1630" s="24">
        <v>19404</v>
      </c>
      <c r="G1630" s="25">
        <v>45244</v>
      </c>
      <c r="H1630" s="25">
        <v>45975</v>
      </c>
      <c r="I1630" s="24" t="s">
        <v>10</v>
      </c>
      <c r="J1630" s="24" t="s">
        <v>33</v>
      </c>
      <c r="K1630" s="24" t="str">
        <f>IF(certifications[[#This Row],[ISSUE DATE]]="", "", TEXT(certifications[[#This Row],[ISSUE DATE]], "MMM"))</f>
        <v>Nov</v>
      </c>
      <c r="L1630" s="35" t="str">
        <f>IF(certifications[[#This Row],[ISSUE DATE]]="", "", TEXT(certifications[[#This Row],[ISSUE DATE]], "YYYY"))</f>
        <v>2023</v>
      </c>
    </row>
    <row r="1631" spans="1:12" s="29" customFormat="1" ht="23.95" customHeight="1" x14ac:dyDescent="0.3">
      <c r="A1631" s="31"/>
      <c r="B1631" s="24">
        <v>1618</v>
      </c>
      <c r="C1631" s="24" t="s">
        <v>1672</v>
      </c>
      <c r="D1631" s="24" t="s">
        <v>238</v>
      </c>
      <c r="E1631" s="24" t="s">
        <v>9</v>
      </c>
      <c r="F1631" s="24">
        <v>18106</v>
      </c>
      <c r="G1631" s="25">
        <v>44907</v>
      </c>
      <c r="H1631" s="25">
        <v>45638</v>
      </c>
      <c r="I1631" s="24" t="s">
        <v>82</v>
      </c>
      <c r="J1631" s="24" t="s">
        <v>38</v>
      </c>
      <c r="K1631" s="24" t="str">
        <f>IF(certifications[[#This Row],[ISSUE DATE]]="", "", TEXT(certifications[[#This Row],[ISSUE DATE]], "MMM"))</f>
        <v>Dec</v>
      </c>
      <c r="L1631" s="35" t="str">
        <f>IF(certifications[[#This Row],[ISSUE DATE]]="", "", TEXT(certifications[[#This Row],[ISSUE DATE]], "YYYY"))</f>
        <v>2022</v>
      </c>
    </row>
    <row r="1632" spans="1:12" s="29" customFormat="1" ht="23.95" customHeight="1" x14ac:dyDescent="0.3">
      <c r="A1632" s="31"/>
      <c r="B1632" s="24">
        <v>1619</v>
      </c>
      <c r="C1632" s="24" t="s">
        <v>1673</v>
      </c>
      <c r="D1632" s="24" t="s">
        <v>29</v>
      </c>
      <c r="E1632" s="24" t="s">
        <v>9</v>
      </c>
      <c r="F1632" s="24">
        <v>10298</v>
      </c>
      <c r="G1632" s="25">
        <v>42915</v>
      </c>
      <c r="H1632" s="25">
        <v>45837</v>
      </c>
      <c r="I1632" s="24" t="s">
        <v>10</v>
      </c>
      <c r="J1632" s="24" t="s">
        <v>30</v>
      </c>
      <c r="K1632" s="24" t="str">
        <f>IF(certifications[[#This Row],[ISSUE DATE]]="", "", TEXT(certifications[[#This Row],[ISSUE DATE]], "MMM"))</f>
        <v>Jun</v>
      </c>
      <c r="L1632" s="35" t="str">
        <f>IF(certifications[[#This Row],[ISSUE DATE]]="", "", TEXT(certifications[[#This Row],[ISSUE DATE]], "YYYY"))</f>
        <v>2017</v>
      </c>
    </row>
    <row r="1633" spans="1:12" s="29" customFormat="1" ht="23.95" customHeight="1" x14ac:dyDescent="0.3">
      <c r="A1633" s="31"/>
      <c r="B1633" s="24">
        <v>1620</v>
      </c>
      <c r="C1633" s="24" t="s">
        <v>1674</v>
      </c>
      <c r="D1633" s="24" t="s">
        <v>46</v>
      </c>
      <c r="E1633" s="24" t="s">
        <v>9</v>
      </c>
      <c r="F1633" s="24">
        <v>8682</v>
      </c>
      <c r="G1633" s="25">
        <v>41603</v>
      </c>
      <c r="H1633" s="25">
        <v>45986</v>
      </c>
      <c r="I1633" s="24" t="s">
        <v>10</v>
      </c>
      <c r="J1633" s="24" t="s">
        <v>38</v>
      </c>
      <c r="K1633" s="24" t="str">
        <f>IF(certifications[[#This Row],[ISSUE DATE]]="", "", TEXT(certifications[[#This Row],[ISSUE DATE]], "MMM"))</f>
        <v>Nov</v>
      </c>
      <c r="L1633" s="35" t="str">
        <f>IF(certifications[[#This Row],[ISSUE DATE]]="", "", TEXT(certifications[[#This Row],[ISSUE DATE]], "YYYY"))</f>
        <v>2013</v>
      </c>
    </row>
    <row r="1634" spans="1:12" s="29" customFormat="1" ht="23.95" customHeight="1" x14ac:dyDescent="0.3">
      <c r="A1634" s="31"/>
      <c r="B1634" s="24">
        <v>1621</v>
      </c>
      <c r="C1634" s="24" t="s">
        <v>1674</v>
      </c>
      <c r="D1634" s="24" t="s">
        <v>46</v>
      </c>
      <c r="E1634" s="24" t="s">
        <v>26</v>
      </c>
      <c r="F1634" s="24">
        <v>8626</v>
      </c>
      <c r="G1634" s="25">
        <v>43630</v>
      </c>
      <c r="H1634" s="25">
        <v>46187</v>
      </c>
      <c r="I1634" s="24" t="s">
        <v>10</v>
      </c>
      <c r="J1634" s="24" t="s">
        <v>38</v>
      </c>
      <c r="K1634" s="24" t="str">
        <f>IF(certifications[[#This Row],[ISSUE DATE]]="", "", TEXT(certifications[[#This Row],[ISSUE DATE]], "MMM"))</f>
        <v>Jun</v>
      </c>
      <c r="L1634" s="35" t="str">
        <f>IF(certifications[[#This Row],[ISSUE DATE]]="", "", TEXT(certifications[[#This Row],[ISSUE DATE]], "YYYY"))</f>
        <v>2019</v>
      </c>
    </row>
    <row r="1635" spans="1:12" s="29" customFormat="1" ht="23.95" customHeight="1" x14ac:dyDescent="0.3">
      <c r="A1635" s="31"/>
      <c r="B1635" s="24">
        <v>1622</v>
      </c>
      <c r="C1635" s="24" t="s">
        <v>1675</v>
      </c>
      <c r="D1635" s="24" t="s">
        <v>153</v>
      </c>
      <c r="E1635" s="24" t="s">
        <v>9</v>
      </c>
      <c r="F1635" s="24">
        <v>14005</v>
      </c>
      <c r="G1635" s="25">
        <v>43670</v>
      </c>
      <c r="H1635" s="25">
        <v>44401</v>
      </c>
      <c r="I1635" s="24" t="s">
        <v>16</v>
      </c>
      <c r="J1635" s="24" t="s">
        <v>22</v>
      </c>
      <c r="K1635" s="24" t="str">
        <f>IF(certifications[[#This Row],[ISSUE DATE]]="", "", TEXT(certifications[[#This Row],[ISSUE DATE]], "MMM"))</f>
        <v>Jul</v>
      </c>
      <c r="L1635" s="35" t="str">
        <f>IF(certifications[[#This Row],[ISSUE DATE]]="", "", TEXT(certifications[[#This Row],[ISSUE DATE]], "YYYY"))</f>
        <v>2019</v>
      </c>
    </row>
    <row r="1636" spans="1:12" s="29" customFormat="1" ht="23.95" customHeight="1" x14ac:dyDescent="0.3">
      <c r="A1636" s="31"/>
      <c r="B1636" s="24">
        <v>1623</v>
      </c>
      <c r="C1636" s="24" t="s">
        <v>1676</v>
      </c>
      <c r="D1636" s="24" t="s">
        <v>32</v>
      </c>
      <c r="E1636" s="24" t="s">
        <v>9</v>
      </c>
      <c r="F1636" s="24">
        <v>16120</v>
      </c>
      <c r="G1636" s="25">
        <v>44280</v>
      </c>
      <c r="H1636" s="25">
        <v>45010</v>
      </c>
      <c r="I1636" s="24" t="s">
        <v>16</v>
      </c>
      <c r="J1636" s="24" t="s">
        <v>33</v>
      </c>
      <c r="K1636" s="24" t="str">
        <f>IF(certifications[[#This Row],[ISSUE DATE]]="", "", TEXT(certifications[[#This Row],[ISSUE DATE]], "MMM"))</f>
        <v>Mar</v>
      </c>
      <c r="L1636" s="35" t="str">
        <f>IF(certifications[[#This Row],[ISSUE DATE]]="", "", TEXT(certifications[[#This Row],[ISSUE DATE]], "YYYY"))</f>
        <v>2021</v>
      </c>
    </row>
    <row r="1637" spans="1:12" s="29" customFormat="1" ht="23.95" customHeight="1" x14ac:dyDescent="0.3">
      <c r="A1637" s="31"/>
      <c r="B1637" s="24">
        <v>1624</v>
      </c>
      <c r="C1637" s="24" t="s">
        <v>1677</v>
      </c>
      <c r="D1637" s="24" t="s">
        <v>32</v>
      </c>
      <c r="E1637" s="24" t="s">
        <v>9</v>
      </c>
      <c r="F1637" s="24">
        <v>12681</v>
      </c>
      <c r="G1637" s="25">
        <v>45687</v>
      </c>
      <c r="H1637" s="25">
        <v>46417</v>
      </c>
      <c r="I1637" s="24" t="s">
        <v>10</v>
      </c>
      <c r="J1637" s="24" t="s">
        <v>33</v>
      </c>
      <c r="K1637" s="24" t="str">
        <f>IF(certifications[[#This Row],[ISSUE DATE]]="", "", TEXT(certifications[[#This Row],[ISSUE DATE]], "MMM"))</f>
        <v>Jan</v>
      </c>
      <c r="L1637" s="35" t="str">
        <f>IF(certifications[[#This Row],[ISSUE DATE]]="", "", TEXT(certifications[[#This Row],[ISSUE DATE]], "YYYY"))</f>
        <v>2025</v>
      </c>
    </row>
    <row r="1638" spans="1:12" s="29" customFormat="1" ht="23.95" customHeight="1" x14ac:dyDescent="0.3">
      <c r="A1638" s="31"/>
      <c r="B1638" s="24">
        <v>1625</v>
      </c>
      <c r="C1638" s="24" t="s">
        <v>1678</v>
      </c>
      <c r="D1638" s="24" t="s">
        <v>32</v>
      </c>
      <c r="E1638" s="24" t="s">
        <v>9</v>
      </c>
      <c r="F1638" s="24">
        <v>13639</v>
      </c>
      <c r="G1638" s="25">
        <v>43634</v>
      </c>
      <c r="H1638" s="25">
        <v>44365</v>
      </c>
      <c r="I1638" s="24" t="s">
        <v>16</v>
      </c>
      <c r="J1638" s="24" t="s">
        <v>33</v>
      </c>
      <c r="K1638" s="24" t="str">
        <f>IF(certifications[[#This Row],[ISSUE DATE]]="", "", TEXT(certifications[[#This Row],[ISSUE DATE]], "MMM"))</f>
        <v>Jun</v>
      </c>
      <c r="L1638" s="35" t="str">
        <f>IF(certifications[[#This Row],[ISSUE DATE]]="", "", TEXT(certifications[[#This Row],[ISSUE DATE]], "YYYY"))</f>
        <v>2019</v>
      </c>
    </row>
    <row r="1639" spans="1:12" s="29" customFormat="1" ht="23.95" customHeight="1" x14ac:dyDescent="0.3">
      <c r="A1639" s="31"/>
      <c r="B1639" s="24">
        <v>1626</v>
      </c>
      <c r="C1639" s="24" t="s">
        <v>1679</v>
      </c>
      <c r="D1639" s="24" t="s">
        <v>84</v>
      </c>
      <c r="E1639" s="24" t="s">
        <v>9</v>
      </c>
      <c r="F1639" s="24">
        <v>7159</v>
      </c>
      <c r="G1639" s="25">
        <v>44971</v>
      </c>
      <c r="H1639" s="25">
        <v>45702</v>
      </c>
      <c r="I1639" s="24" t="s">
        <v>82</v>
      </c>
      <c r="J1639" s="24" t="s">
        <v>14</v>
      </c>
      <c r="K1639" s="24" t="str">
        <f>IF(certifications[[#This Row],[ISSUE DATE]]="", "", TEXT(certifications[[#This Row],[ISSUE DATE]], "MMM"))</f>
        <v>Feb</v>
      </c>
      <c r="L1639" s="35" t="str">
        <f>IF(certifications[[#This Row],[ISSUE DATE]]="", "", TEXT(certifications[[#This Row],[ISSUE DATE]], "YYYY"))</f>
        <v>2023</v>
      </c>
    </row>
    <row r="1640" spans="1:12" s="29" customFormat="1" ht="23.95" customHeight="1" x14ac:dyDescent="0.3">
      <c r="A1640" s="31"/>
      <c r="B1640" s="24">
        <v>1627</v>
      </c>
      <c r="C1640" s="24" t="s">
        <v>1680</v>
      </c>
      <c r="D1640" s="24" t="s">
        <v>80</v>
      </c>
      <c r="E1640" s="24" t="s">
        <v>9</v>
      </c>
      <c r="F1640" s="24">
        <v>10257</v>
      </c>
      <c r="G1640" s="25">
        <v>42908</v>
      </c>
      <c r="H1640" s="25">
        <v>43638</v>
      </c>
      <c r="I1640" s="24" t="s">
        <v>16</v>
      </c>
      <c r="J1640" s="24" t="s">
        <v>38</v>
      </c>
      <c r="K1640" s="24" t="str">
        <f>IF(certifications[[#This Row],[ISSUE DATE]]="", "", TEXT(certifications[[#This Row],[ISSUE DATE]], "MMM"))</f>
        <v>Jun</v>
      </c>
      <c r="L1640" s="35" t="str">
        <f>IF(certifications[[#This Row],[ISSUE DATE]]="", "", TEXT(certifications[[#This Row],[ISSUE DATE]], "YYYY"))</f>
        <v>2017</v>
      </c>
    </row>
    <row r="1641" spans="1:12" s="29" customFormat="1" ht="23.95" customHeight="1" x14ac:dyDescent="0.3">
      <c r="A1641" s="31"/>
      <c r="B1641" s="24">
        <v>1628</v>
      </c>
      <c r="C1641" s="24" t="s">
        <v>1681</v>
      </c>
      <c r="D1641" s="24" t="s">
        <v>431</v>
      </c>
      <c r="E1641" s="24" t="s">
        <v>9</v>
      </c>
      <c r="F1641" s="24">
        <v>10258</v>
      </c>
      <c r="G1641" s="25">
        <v>42908</v>
      </c>
      <c r="H1641" s="25">
        <v>43638</v>
      </c>
      <c r="I1641" s="24" t="s">
        <v>16</v>
      </c>
      <c r="J1641" s="24" t="s">
        <v>22</v>
      </c>
      <c r="K1641" s="24" t="str">
        <f>IF(certifications[[#This Row],[ISSUE DATE]]="", "", TEXT(certifications[[#This Row],[ISSUE DATE]], "MMM"))</f>
        <v>Jun</v>
      </c>
      <c r="L1641" s="35" t="str">
        <f>IF(certifications[[#This Row],[ISSUE DATE]]="", "", TEXT(certifications[[#This Row],[ISSUE DATE]], "YYYY"))</f>
        <v>2017</v>
      </c>
    </row>
    <row r="1642" spans="1:12" s="29" customFormat="1" ht="23.95" customHeight="1" x14ac:dyDescent="0.3">
      <c r="A1642" s="31"/>
      <c r="B1642" s="24">
        <v>1629</v>
      </c>
      <c r="C1642" s="24" t="s">
        <v>1682</v>
      </c>
      <c r="D1642" s="24" t="s">
        <v>238</v>
      </c>
      <c r="E1642" s="24" t="s">
        <v>9</v>
      </c>
      <c r="F1642" s="24">
        <v>15948</v>
      </c>
      <c r="G1642" s="25">
        <v>44237</v>
      </c>
      <c r="H1642" s="25">
        <v>46428</v>
      </c>
      <c r="I1642" s="24" t="s">
        <v>10</v>
      </c>
      <c r="J1642" s="24" t="s">
        <v>38</v>
      </c>
      <c r="K1642" s="24" t="str">
        <f>IF(certifications[[#This Row],[ISSUE DATE]]="", "", TEXT(certifications[[#This Row],[ISSUE DATE]], "MMM"))</f>
        <v>Feb</v>
      </c>
      <c r="L1642" s="35" t="str">
        <f>IF(certifications[[#This Row],[ISSUE DATE]]="", "", TEXT(certifications[[#This Row],[ISSUE DATE]], "YYYY"))</f>
        <v>2021</v>
      </c>
    </row>
    <row r="1643" spans="1:12" s="29" customFormat="1" ht="23.95" customHeight="1" x14ac:dyDescent="0.3">
      <c r="A1643" s="31"/>
      <c r="B1643" s="24">
        <v>1630</v>
      </c>
      <c r="C1643" s="24" t="s">
        <v>1683</v>
      </c>
      <c r="D1643" s="24" t="s">
        <v>369</v>
      </c>
      <c r="E1643" s="24" t="s">
        <v>9</v>
      </c>
      <c r="F1643" s="24">
        <v>18491</v>
      </c>
      <c r="G1643" s="25">
        <v>45022</v>
      </c>
      <c r="H1643" s="25">
        <v>46483</v>
      </c>
      <c r="I1643" s="24" t="s">
        <v>10</v>
      </c>
      <c r="J1643" s="24" t="s">
        <v>25</v>
      </c>
      <c r="K1643" s="24" t="str">
        <f>IF(certifications[[#This Row],[ISSUE DATE]]="", "", TEXT(certifications[[#This Row],[ISSUE DATE]], "MMM"))</f>
        <v>Apr</v>
      </c>
      <c r="L1643" s="35" t="str">
        <f>IF(certifications[[#This Row],[ISSUE DATE]]="", "", TEXT(certifications[[#This Row],[ISSUE DATE]], "YYYY"))</f>
        <v>2023</v>
      </c>
    </row>
    <row r="1644" spans="1:12" s="29" customFormat="1" ht="23.95" customHeight="1" x14ac:dyDescent="0.3">
      <c r="A1644" s="31"/>
      <c r="B1644" s="24">
        <v>1631</v>
      </c>
      <c r="C1644" s="24" t="s">
        <v>1684</v>
      </c>
      <c r="D1644" s="24" t="s">
        <v>1685</v>
      </c>
      <c r="E1644" s="24" t="s">
        <v>9</v>
      </c>
      <c r="F1644" s="24">
        <v>8272</v>
      </c>
      <c r="G1644" s="25">
        <v>41255</v>
      </c>
      <c r="H1644" s="25">
        <v>46368</v>
      </c>
      <c r="I1644" s="24" t="s">
        <v>10</v>
      </c>
      <c r="J1644" s="24" t="s">
        <v>14</v>
      </c>
      <c r="K1644" s="24" t="str">
        <f>IF(certifications[[#This Row],[ISSUE DATE]]="", "", TEXT(certifications[[#This Row],[ISSUE DATE]], "MMM"))</f>
        <v>Dec</v>
      </c>
      <c r="L1644" s="35" t="str">
        <f>IF(certifications[[#This Row],[ISSUE DATE]]="", "", TEXT(certifications[[#This Row],[ISSUE DATE]], "YYYY"))</f>
        <v>2012</v>
      </c>
    </row>
    <row r="1645" spans="1:12" s="29" customFormat="1" ht="23.95" customHeight="1" x14ac:dyDescent="0.3">
      <c r="A1645" s="31"/>
      <c r="B1645" s="24">
        <v>1632</v>
      </c>
      <c r="C1645" s="24" t="s">
        <v>1684</v>
      </c>
      <c r="D1645" s="24" t="s">
        <v>1685</v>
      </c>
      <c r="E1645" s="24" t="s">
        <v>26</v>
      </c>
      <c r="F1645" s="24">
        <v>8272</v>
      </c>
      <c r="G1645" s="25">
        <v>43284</v>
      </c>
      <c r="H1645" s="25">
        <v>46368</v>
      </c>
      <c r="I1645" s="24" t="s">
        <v>10</v>
      </c>
      <c r="J1645" s="24" t="s">
        <v>14</v>
      </c>
      <c r="K1645" s="24" t="str">
        <f>IF(certifications[[#This Row],[ISSUE DATE]]="", "", TEXT(certifications[[#This Row],[ISSUE DATE]], "MMM"))</f>
        <v>Jul</v>
      </c>
      <c r="L1645" s="35" t="str">
        <f>IF(certifications[[#This Row],[ISSUE DATE]]="", "", TEXT(certifications[[#This Row],[ISSUE DATE]], "YYYY"))</f>
        <v>2018</v>
      </c>
    </row>
    <row r="1646" spans="1:12" s="29" customFormat="1" ht="23.95" customHeight="1" x14ac:dyDescent="0.3">
      <c r="A1646" s="31"/>
      <c r="B1646" s="24">
        <v>1633</v>
      </c>
      <c r="C1646" s="24" t="s">
        <v>1686</v>
      </c>
      <c r="D1646" s="24" t="s">
        <v>88</v>
      </c>
      <c r="E1646" s="24" t="s">
        <v>9</v>
      </c>
      <c r="F1646" s="24">
        <v>18992</v>
      </c>
      <c r="G1646" s="25">
        <v>45155</v>
      </c>
      <c r="H1646" s="25">
        <v>45886</v>
      </c>
      <c r="I1646" s="24" t="s">
        <v>10</v>
      </c>
      <c r="J1646" s="24" t="s">
        <v>19</v>
      </c>
      <c r="K1646" s="24" t="str">
        <f>IF(certifications[[#This Row],[ISSUE DATE]]="", "", TEXT(certifications[[#This Row],[ISSUE DATE]], "MMM"))</f>
        <v>Aug</v>
      </c>
      <c r="L1646" s="35" t="str">
        <f>IF(certifications[[#This Row],[ISSUE DATE]]="", "", TEXT(certifications[[#This Row],[ISSUE DATE]], "YYYY"))</f>
        <v>2023</v>
      </c>
    </row>
    <row r="1647" spans="1:12" s="29" customFormat="1" ht="23.95" customHeight="1" x14ac:dyDescent="0.3">
      <c r="A1647" s="31"/>
      <c r="B1647" s="24">
        <v>1634</v>
      </c>
      <c r="C1647" s="24" t="s">
        <v>1686</v>
      </c>
      <c r="D1647" s="24" t="s">
        <v>88</v>
      </c>
      <c r="E1647" s="24" t="s">
        <v>26</v>
      </c>
      <c r="F1647" s="24">
        <v>18992</v>
      </c>
      <c r="G1647" s="25">
        <v>45154</v>
      </c>
      <c r="H1647" s="25">
        <v>45875</v>
      </c>
      <c r="I1647" s="24" t="s">
        <v>10</v>
      </c>
      <c r="J1647" s="24" t="s">
        <v>19</v>
      </c>
      <c r="K1647" s="24" t="str">
        <f>IF(certifications[[#This Row],[ISSUE DATE]]="", "", TEXT(certifications[[#This Row],[ISSUE DATE]], "MMM"))</f>
        <v>Aug</v>
      </c>
      <c r="L1647" s="35" t="str">
        <f>IF(certifications[[#This Row],[ISSUE DATE]]="", "", TEXT(certifications[[#This Row],[ISSUE DATE]], "YYYY"))</f>
        <v>2023</v>
      </c>
    </row>
    <row r="1648" spans="1:12" s="29" customFormat="1" ht="23.95" customHeight="1" x14ac:dyDescent="0.3">
      <c r="A1648" s="31"/>
      <c r="B1648" s="24">
        <v>1635</v>
      </c>
      <c r="C1648" s="24" t="s">
        <v>1687</v>
      </c>
      <c r="D1648" s="24" t="s">
        <v>375</v>
      </c>
      <c r="E1648" s="24" t="s">
        <v>9</v>
      </c>
      <c r="F1648" s="24">
        <v>15869</v>
      </c>
      <c r="G1648" s="25">
        <v>44212</v>
      </c>
      <c r="H1648" s="25">
        <v>45673</v>
      </c>
      <c r="I1648" s="24" t="s">
        <v>82</v>
      </c>
      <c r="J1648" s="24" t="s">
        <v>38</v>
      </c>
      <c r="K1648" s="24" t="str">
        <f>IF(certifications[[#This Row],[ISSUE DATE]]="", "", TEXT(certifications[[#This Row],[ISSUE DATE]], "MMM"))</f>
        <v>Jan</v>
      </c>
      <c r="L1648" s="35" t="str">
        <f>IF(certifications[[#This Row],[ISSUE DATE]]="", "", TEXT(certifications[[#This Row],[ISSUE DATE]], "YYYY"))</f>
        <v>2021</v>
      </c>
    </row>
    <row r="1649" spans="1:12" s="29" customFormat="1" ht="23.95" customHeight="1" x14ac:dyDescent="0.3">
      <c r="A1649" s="31"/>
      <c r="B1649" s="24">
        <v>1636</v>
      </c>
      <c r="C1649" s="24" t="s">
        <v>1688</v>
      </c>
      <c r="D1649" s="24" t="s">
        <v>48</v>
      </c>
      <c r="E1649" s="24" t="s">
        <v>9</v>
      </c>
      <c r="F1649" s="24">
        <v>12784</v>
      </c>
      <c r="G1649" s="25">
        <v>43490</v>
      </c>
      <c r="H1649" s="25">
        <v>44221</v>
      </c>
      <c r="I1649" s="24" t="s">
        <v>16</v>
      </c>
      <c r="J1649" s="24" t="s">
        <v>38</v>
      </c>
      <c r="K1649" s="24" t="str">
        <f>IF(certifications[[#This Row],[ISSUE DATE]]="", "", TEXT(certifications[[#This Row],[ISSUE DATE]], "MMM"))</f>
        <v>Jan</v>
      </c>
      <c r="L1649" s="35" t="str">
        <f>IF(certifications[[#This Row],[ISSUE DATE]]="", "", TEXT(certifications[[#This Row],[ISSUE DATE]], "YYYY"))</f>
        <v>2019</v>
      </c>
    </row>
    <row r="1650" spans="1:12" s="29" customFormat="1" ht="23.95" customHeight="1" x14ac:dyDescent="0.3">
      <c r="A1650" s="31"/>
      <c r="B1650" s="24">
        <v>1637</v>
      </c>
      <c r="C1650" s="24" t="s">
        <v>1689</v>
      </c>
      <c r="D1650" s="24" t="s">
        <v>46</v>
      </c>
      <c r="E1650" s="24" t="s">
        <v>9</v>
      </c>
      <c r="F1650" s="24">
        <v>9545</v>
      </c>
      <c r="G1650" s="25">
        <v>42440</v>
      </c>
      <c r="H1650" s="25">
        <v>43170</v>
      </c>
      <c r="I1650" s="24" t="s">
        <v>16</v>
      </c>
      <c r="J1650" s="24" t="s">
        <v>38</v>
      </c>
      <c r="K1650" s="24" t="str">
        <f>IF(certifications[[#This Row],[ISSUE DATE]]="", "", TEXT(certifications[[#This Row],[ISSUE DATE]], "MMM"))</f>
        <v>Mar</v>
      </c>
      <c r="L1650" s="35" t="str">
        <f>IF(certifications[[#This Row],[ISSUE DATE]]="", "", TEXT(certifications[[#This Row],[ISSUE DATE]], "YYYY"))</f>
        <v>2016</v>
      </c>
    </row>
    <row r="1651" spans="1:12" s="29" customFormat="1" ht="23.95" customHeight="1" x14ac:dyDescent="0.3">
      <c r="A1651" s="31"/>
      <c r="B1651" s="24">
        <v>1638</v>
      </c>
      <c r="C1651" s="24" t="s">
        <v>1690</v>
      </c>
      <c r="D1651" s="24" t="s">
        <v>32</v>
      </c>
      <c r="E1651" s="24" t="s">
        <v>9</v>
      </c>
      <c r="F1651" s="24">
        <v>8939</v>
      </c>
      <c r="G1651" s="25">
        <v>41817</v>
      </c>
      <c r="H1651" s="25">
        <v>43278</v>
      </c>
      <c r="I1651" s="24" t="s">
        <v>16</v>
      </c>
      <c r="J1651" s="24" t="s">
        <v>33</v>
      </c>
      <c r="K1651" s="24" t="str">
        <f>IF(certifications[[#This Row],[ISSUE DATE]]="", "", TEXT(certifications[[#This Row],[ISSUE DATE]], "MMM"))</f>
        <v>Jun</v>
      </c>
      <c r="L1651" s="35" t="str">
        <f>IF(certifications[[#This Row],[ISSUE DATE]]="", "", TEXT(certifications[[#This Row],[ISSUE DATE]], "YYYY"))</f>
        <v>2014</v>
      </c>
    </row>
    <row r="1652" spans="1:12" s="29" customFormat="1" ht="23.95" customHeight="1" x14ac:dyDescent="0.3">
      <c r="A1652" s="31"/>
      <c r="B1652" s="24">
        <v>1639</v>
      </c>
      <c r="C1652" s="24" t="s">
        <v>1691</v>
      </c>
      <c r="D1652" s="24" t="s">
        <v>32</v>
      </c>
      <c r="E1652" s="24" t="s">
        <v>9</v>
      </c>
      <c r="F1652" s="24">
        <v>22103</v>
      </c>
      <c r="G1652" s="25">
        <v>45812</v>
      </c>
      <c r="H1652" s="25">
        <v>46542</v>
      </c>
      <c r="I1652" s="24" t="s">
        <v>10</v>
      </c>
      <c r="J1652" s="24" t="s">
        <v>33</v>
      </c>
      <c r="K1652" s="24" t="str">
        <f>IF(certifications[[#This Row],[ISSUE DATE]]="", "", TEXT(certifications[[#This Row],[ISSUE DATE]], "MMM"))</f>
        <v>Jun</v>
      </c>
      <c r="L1652" s="35" t="str">
        <f>IF(certifications[[#This Row],[ISSUE DATE]]="", "", TEXT(certifications[[#This Row],[ISSUE DATE]], "YYYY"))</f>
        <v>2025</v>
      </c>
    </row>
    <row r="1653" spans="1:12" s="29" customFormat="1" ht="23.95" customHeight="1" x14ac:dyDescent="0.3">
      <c r="A1653" s="31"/>
      <c r="B1653" s="24">
        <v>1640</v>
      </c>
      <c r="C1653" s="24" t="s">
        <v>1692</v>
      </c>
      <c r="D1653" s="24" t="s">
        <v>32</v>
      </c>
      <c r="E1653" s="24" t="s">
        <v>9</v>
      </c>
      <c r="F1653" s="24">
        <v>14411</v>
      </c>
      <c r="G1653" s="25">
        <v>43697</v>
      </c>
      <c r="H1653" s="25">
        <v>44428</v>
      </c>
      <c r="I1653" s="24" t="s">
        <v>16</v>
      </c>
      <c r="J1653" s="24" t="s">
        <v>33</v>
      </c>
      <c r="K1653" s="24" t="str">
        <f>IF(certifications[[#This Row],[ISSUE DATE]]="", "", TEXT(certifications[[#This Row],[ISSUE DATE]], "MMM"))</f>
        <v>Aug</v>
      </c>
      <c r="L1653" s="35" t="str">
        <f>IF(certifications[[#This Row],[ISSUE DATE]]="", "", TEXT(certifications[[#This Row],[ISSUE DATE]], "YYYY"))</f>
        <v>2019</v>
      </c>
    </row>
    <row r="1654" spans="1:12" s="29" customFormat="1" ht="23.95" customHeight="1" x14ac:dyDescent="0.3">
      <c r="A1654" s="31"/>
      <c r="B1654" s="24">
        <v>1641</v>
      </c>
      <c r="C1654" s="24" t="s">
        <v>1693</v>
      </c>
      <c r="D1654" s="24" t="s">
        <v>18</v>
      </c>
      <c r="E1654" s="24" t="s">
        <v>9</v>
      </c>
      <c r="F1654" s="24">
        <v>7659</v>
      </c>
      <c r="G1654" s="25">
        <v>42506</v>
      </c>
      <c r="H1654" s="25">
        <v>43967</v>
      </c>
      <c r="I1654" s="24" t="s">
        <v>16</v>
      </c>
      <c r="J1654" s="24" t="s">
        <v>19</v>
      </c>
      <c r="K1654" s="24" t="str">
        <f>IF(certifications[[#This Row],[ISSUE DATE]]="", "", TEXT(certifications[[#This Row],[ISSUE DATE]], "MMM"))</f>
        <v>May</v>
      </c>
      <c r="L1654" s="35" t="str">
        <f>IF(certifications[[#This Row],[ISSUE DATE]]="", "", TEXT(certifications[[#This Row],[ISSUE DATE]], "YYYY"))</f>
        <v>2016</v>
      </c>
    </row>
    <row r="1655" spans="1:12" s="29" customFormat="1" ht="23.95" customHeight="1" x14ac:dyDescent="0.3">
      <c r="A1655" s="31"/>
      <c r="B1655" s="24">
        <v>1642</v>
      </c>
      <c r="C1655" s="24" t="s">
        <v>1694</v>
      </c>
      <c r="D1655" s="24" t="s">
        <v>32</v>
      </c>
      <c r="E1655" s="24" t="s">
        <v>9</v>
      </c>
      <c r="F1655" s="24">
        <v>21637</v>
      </c>
      <c r="G1655" s="25">
        <v>45723</v>
      </c>
      <c r="H1655" s="25">
        <v>46453</v>
      </c>
      <c r="I1655" s="24" t="s">
        <v>10</v>
      </c>
      <c r="J1655" s="24" t="s">
        <v>33</v>
      </c>
      <c r="K1655" s="24" t="str">
        <f>IF(certifications[[#This Row],[ISSUE DATE]]="", "", TEXT(certifications[[#This Row],[ISSUE DATE]], "MMM"))</f>
        <v>Mar</v>
      </c>
      <c r="L1655" s="35" t="str">
        <f>IF(certifications[[#This Row],[ISSUE DATE]]="", "", TEXT(certifications[[#This Row],[ISSUE DATE]], "YYYY"))</f>
        <v>2025</v>
      </c>
    </row>
    <row r="1656" spans="1:12" s="29" customFormat="1" ht="23.95" customHeight="1" x14ac:dyDescent="0.3">
      <c r="A1656" s="31"/>
      <c r="B1656" s="24">
        <v>1643</v>
      </c>
      <c r="C1656" s="24" t="s">
        <v>1694</v>
      </c>
      <c r="D1656" s="24" t="s">
        <v>32</v>
      </c>
      <c r="E1656" s="24" t="s">
        <v>26</v>
      </c>
      <c r="F1656" s="24">
        <v>21637</v>
      </c>
      <c r="G1656" s="25">
        <v>45719</v>
      </c>
      <c r="H1656" s="25">
        <v>46449</v>
      </c>
      <c r="I1656" s="24" t="s">
        <v>10</v>
      </c>
      <c r="J1656" s="24" t="s">
        <v>33</v>
      </c>
      <c r="K1656" s="24" t="str">
        <f>IF(certifications[[#This Row],[ISSUE DATE]]="", "", TEXT(certifications[[#This Row],[ISSUE DATE]], "MMM"))</f>
        <v>Mar</v>
      </c>
      <c r="L1656" s="35" t="str">
        <f>IF(certifications[[#This Row],[ISSUE DATE]]="", "", TEXT(certifications[[#This Row],[ISSUE DATE]], "YYYY"))</f>
        <v>2025</v>
      </c>
    </row>
    <row r="1657" spans="1:12" s="29" customFormat="1" ht="23.95" customHeight="1" x14ac:dyDescent="0.3">
      <c r="A1657" s="31"/>
      <c r="B1657" s="24">
        <v>1644</v>
      </c>
      <c r="C1657" s="24" t="s">
        <v>1695</v>
      </c>
      <c r="D1657" s="24" t="s">
        <v>32</v>
      </c>
      <c r="E1657" s="24" t="s">
        <v>9</v>
      </c>
      <c r="F1657" s="24">
        <v>8393</v>
      </c>
      <c r="G1657" s="25">
        <v>41393</v>
      </c>
      <c r="H1657" s="25">
        <v>43584</v>
      </c>
      <c r="I1657" s="24" t="s">
        <v>16</v>
      </c>
      <c r="J1657" s="24" t="s">
        <v>33</v>
      </c>
      <c r="K1657" s="24" t="str">
        <f>IF(certifications[[#This Row],[ISSUE DATE]]="", "", TEXT(certifications[[#This Row],[ISSUE DATE]], "MMM"))</f>
        <v>Apr</v>
      </c>
      <c r="L1657" s="35" t="str">
        <f>IF(certifications[[#This Row],[ISSUE DATE]]="", "", TEXT(certifications[[#This Row],[ISSUE DATE]], "YYYY"))</f>
        <v>2013</v>
      </c>
    </row>
    <row r="1658" spans="1:12" s="29" customFormat="1" ht="23.95" customHeight="1" x14ac:dyDescent="0.3">
      <c r="A1658" s="31"/>
      <c r="B1658" s="24">
        <v>1645</v>
      </c>
      <c r="C1658" s="24" t="s">
        <v>1696</v>
      </c>
      <c r="D1658" s="24" t="s">
        <v>32</v>
      </c>
      <c r="E1658" s="24" t="s">
        <v>9</v>
      </c>
      <c r="F1658" s="24">
        <v>18300</v>
      </c>
      <c r="G1658" s="25">
        <v>44973</v>
      </c>
      <c r="H1658" s="25">
        <v>45704</v>
      </c>
      <c r="I1658" s="24" t="s">
        <v>82</v>
      </c>
      <c r="J1658" s="24" t="s">
        <v>33</v>
      </c>
      <c r="K1658" s="24" t="str">
        <f>IF(certifications[[#This Row],[ISSUE DATE]]="", "", TEXT(certifications[[#This Row],[ISSUE DATE]], "MMM"))</f>
        <v>Feb</v>
      </c>
      <c r="L1658" s="35" t="str">
        <f>IF(certifications[[#This Row],[ISSUE DATE]]="", "", TEXT(certifications[[#This Row],[ISSUE DATE]], "YYYY"))</f>
        <v>2023</v>
      </c>
    </row>
    <row r="1659" spans="1:12" s="29" customFormat="1" ht="23.95" customHeight="1" x14ac:dyDescent="0.3">
      <c r="A1659" s="31"/>
      <c r="B1659" s="24">
        <v>1646</v>
      </c>
      <c r="C1659" s="24" t="s">
        <v>1696</v>
      </c>
      <c r="D1659" s="24" t="s">
        <v>32</v>
      </c>
      <c r="E1659" s="24" t="s">
        <v>26</v>
      </c>
      <c r="F1659" s="24">
        <v>18300</v>
      </c>
      <c r="G1659" s="25">
        <v>44972</v>
      </c>
      <c r="H1659" s="25">
        <v>45703</v>
      </c>
      <c r="I1659" s="24" t="s">
        <v>82</v>
      </c>
      <c r="J1659" s="24" t="s">
        <v>33</v>
      </c>
      <c r="K1659" s="24" t="str">
        <f>IF(certifications[[#This Row],[ISSUE DATE]]="", "", TEXT(certifications[[#This Row],[ISSUE DATE]], "MMM"))</f>
        <v>Feb</v>
      </c>
      <c r="L1659" s="35" t="str">
        <f>IF(certifications[[#This Row],[ISSUE DATE]]="", "", TEXT(certifications[[#This Row],[ISSUE DATE]], "YYYY"))</f>
        <v>2023</v>
      </c>
    </row>
    <row r="1660" spans="1:12" s="29" customFormat="1" ht="23.95" customHeight="1" x14ac:dyDescent="0.3">
      <c r="A1660" s="31"/>
      <c r="B1660" s="24">
        <v>1647</v>
      </c>
      <c r="C1660" s="24" t="s">
        <v>1697</v>
      </c>
      <c r="D1660" s="24" t="s">
        <v>29</v>
      </c>
      <c r="E1660" s="24" t="s">
        <v>9</v>
      </c>
      <c r="F1660" s="24">
        <v>12362</v>
      </c>
      <c r="G1660" s="25">
        <v>43369</v>
      </c>
      <c r="H1660" s="25">
        <v>44100</v>
      </c>
      <c r="I1660" s="24" t="s">
        <v>16</v>
      </c>
      <c r="J1660" s="24" t="s">
        <v>30</v>
      </c>
      <c r="K1660" s="24" t="str">
        <f>IF(certifications[[#This Row],[ISSUE DATE]]="", "", TEXT(certifications[[#This Row],[ISSUE DATE]], "MMM"))</f>
        <v>Sep</v>
      </c>
      <c r="L1660" s="35" t="str">
        <f>IF(certifications[[#This Row],[ISSUE DATE]]="", "", TEXT(certifications[[#This Row],[ISSUE DATE]], "YYYY"))</f>
        <v>2018</v>
      </c>
    </row>
    <row r="1661" spans="1:12" s="29" customFormat="1" ht="23.95" customHeight="1" x14ac:dyDescent="0.3">
      <c r="A1661" s="31"/>
      <c r="B1661" s="24">
        <v>1648</v>
      </c>
      <c r="C1661" s="24" t="s">
        <v>1698</v>
      </c>
      <c r="D1661" s="24" t="s">
        <v>32</v>
      </c>
      <c r="E1661" s="24" t="s">
        <v>9</v>
      </c>
      <c r="F1661" s="24">
        <v>11045</v>
      </c>
      <c r="G1661" s="25">
        <v>43203</v>
      </c>
      <c r="H1661" s="25">
        <v>43934</v>
      </c>
      <c r="I1661" s="24" t="s">
        <v>16</v>
      </c>
      <c r="J1661" s="24" t="s">
        <v>33</v>
      </c>
      <c r="K1661" s="24" t="str">
        <f>IF(certifications[[#This Row],[ISSUE DATE]]="", "", TEXT(certifications[[#This Row],[ISSUE DATE]], "MMM"))</f>
        <v>Apr</v>
      </c>
      <c r="L1661" s="35" t="str">
        <f>IF(certifications[[#This Row],[ISSUE DATE]]="", "", TEXT(certifications[[#This Row],[ISSUE DATE]], "YYYY"))</f>
        <v>2018</v>
      </c>
    </row>
    <row r="1662" spans="1:12" s="29" customFormat="1" ht="23.95" customHeight="1" x14ac:dyDescent="0.3">
      <c r="A1662" s="31"/>
      <c r="B1662" s="24">
        <v>1649</v>
      </c>
      <c r="C1662" s="24" t="s">
        <v>1699</v>
      </c>
      <c r="D1662" s="24" t="s">
        <v>57</v>
      </c>
      <c r="E1662" s="24" t="s">
        <v>9</v>
      </c>
      <c r="F1662" s="24">
        <v>17310</v>
      </c>
      <c r="G1662" s="25">
        <v>44665</v>
      </c>
      <c r="H1662" s="25">
        <v>46126</v>
      </c>
      <c r="I1662" s="24" t="s">
        <v>10</v>
      </c>
      <c r="J1662" s="24" t="s">
        <v>38</v>
      </c>
      <c r="K1662" s="24" t="str">
        <f>IF(certifications[[#This Row],[ISSUE DATE]]="", "", TEXT(certifications[[#This Row],[ISSUE DATE]], "MMM"))</f>
        <v>Apr</v>
      </c>
      <c r="L1662" s="35" t="str">
        <f>IF(certifications[[#This Row],[ISSUE DATE]]="", "", TEXT(certifications[[#This Row],[ISSUE DATE]], "YYYY"))</f>
        <v>2022</v>
      </c>
    </row>
    <row r="1663" spans="1:12" s="29" customFormat="1" ht="23.95" customHeight="1" x14ac:dyDescent="0.3">
      <c r="A1663" s="31"/>
      <c r="B1663" s="24">
        <v>1650</v>
      </c>
      <c r="C1663" s="24" t="s">
        <v>1699</v>
      </c>
      <c r="D1663" s="24" t="s">
        <v>57</v>
      </c>
      <c r="E1663" s="24" t="s">
        <v>26</v>
      </c>
      <c r="F1663" s="24">
        <v>17310</v>
      </c>
      <c r="G1663" s="25">
        <v>44658</v>
      </c>
      <c r="H1663" s="25">
        <v>46119</v>
      </c>
      <c r="I1663" s="24" t="s">
        <v>10</v>
      </c>
      <c r="J1663" s="24" t="s">
        <v>38</v>
      </c>
      <c r="K1663" s="24" t="str">
        <f>IF(certifications[[#This Row],[ISSUE DATE]]="", "", TEXT(certifications[[#This Row],[ISSUE DATE]], "MMM"))</f>
        <v>Apr</v>
      </c>
      <c r="L1663" s="35" t="str">
        <f>IF(certifications[[#This Row],[ISSUE DATE]]="", "", TEXT(certifications[[#This Row],[ISSUE DATE]], "YYYY"))</f>
        <v>2022</v>
      </c>
    </row>
    <row r="1664" spans="1:12" s="29" customFormat="1" ht="23.95" customHeight="1" x14ac:dyDescent="0.3">
      <c r="A1664" s="31"/>
      <c r="B1664" s="24">
        <v>1651</v>
      </c>
      <c r="C1664" s="24" t="s">
        <v>1700</v>
      </c>
      <c r="D1664" s="24" t="s">
        <v>32</v>
      </c>
      <c r="E1664" s="24" t="s">
        <v>9</v>
      </c>
      <c r="F1664" s="24">
        <v>17223</v>
      </c>
      <c r="G1664" s="25">
        <v>44596</v>
      </c>
      <c r="H1664" s="25">
        <v>46057</v>
      </c>
      <c r="I1664" s="24" t="s">
        <v>10</v>
      </c>
      <c r="J1664" s="24" t="s">
        <v>33</v>
      </c>
      <c r="K1664" s="24" t="str">
        <f>IF(certifications[[#This Row],[ISSUE DATE]]="", "", TEXT(certifications[[#This Row],[ISSUE DATE]], "MMM"))</f>
        <v>Feb</v>
      </c>
      <c r="L1664" s="35" t="str">
        <f>IF(certifications[[#This Row],[ISSUE DATE]]="", "", TEXT(certifications[[#This Row],[ISSUE DATE]], "YYYY"))</f>
        <v>2022</v>
      </c>
    </row>
    <row r="1665" spans="1:12" s="29" customFormat="1" ht="23.95" customHeight="1" x14ac:dyDescent="0.3">
      <c r="A1665" s="31"/>
      <c r="B1665" s="24">
        <v>1652</v>
      </c>
      <c r="C1665" s="3" t="s">
        <v>1700</v>
      </c>
      <c r="D1665" s="3" t="s">
        <v>32</v>
      </c>
      <c r="E1665" s="3" t="s">
        <v>27</v>
      </c>
      <c r="F1665" s="3">
        <v>17223</v>
      </c>
      <c r="G1665" s="4">
        <v>45678</v>
      </c>
      <c r="H1665" s="4">
        <v>46408</v>
      </c>
      <c r="I1665" s="3" t="s">
        <v>10</v>
      </c>
      <c r="J1665" s="3" t="s">
        <v>33</v>
      </c>
      <c r="K1665" s="3" t="str">
        <f>IF(certifications[[#This Row],[ISSUE DATE]]="", "", TEXT(certifications[[#This Row],[ISSUE DATE]], "MMM"))</f>
        <v>Jan</v>
      </c>
      <c r="L1665" s="36" t="str">
        <f>IF(certifications[[#This Row],[ISSUE DATE]]="", "", TEXT(certifications[[#This Row],[ISSUE DATE]], "YYYY"))</f>
        <v>2025</v>
      </c>
    </row>
    <row r="1666" spans="1:12" s="29" customFormat="1" ht="23.95" customHeight="1" x14ac:dyDescent="0.3">
      <c r="A1666" s="31"/>
      <c r="B1666" s="24">
        <v>1653</v>
      </c>
      <c r="C1666" s="24" t="s">
        <v>1701</v>
      </c>
      <c r="D1666" s="24" t="s">
        <v>48</v>
      </c>
      <c r="E1666" s="24" t="s">
        <v>9</v>
      </c>
      <c r="F1666" s="24">
        <v>11775</v>
      </c>
      <c r="G1666" s="25">
        <v>43641</v>
      </c>
      <c r="H1666" s="25">
        <v>44372</v>
      </c>
      <c r="I1666" s="24" t="s">
        <v>16</v>
      </c>
      <c r="J1666" s="24" t="s">
        <v>38</v>
      </c>
      <c r="K1666" s="24" t="str">
        <f>IF(certifications[[#This Row],[ISSUE DATE]]="", "", TEXT(certifications[[#This Row],[ISSUE DATE]], "MMM"))</f>
        <v>Jun</v>
      </c>
      <c r="L1666" s="35" t="str">
        <f>IF(certifications[[#This Row],[ISSUE DATE]]="", "", TEXT(certifications[[#This Row],[ISSUE DATE]], "YYYY"))</f>
        <v>2019</v>
      </c>
    </row>
    <row r="1667" spans="1:12" s="29" customFormat="1" ht="23.95" customHeight="1" x14ac:dyDescent="0.3">
      <c r="A1667" s="31"/>
      <c r="B1667" s="24">
        <v>1654</v>
      </c>
      <c r="C1667" s="24" t="s">
        <v>1702</v>
      </c>
      <c r="D1667" s="24" t="s">
        <v>153</v>
      </c>
      <c r="E1667" s="24" t="s">
        <v>9</v>
      </c>
      <c r="F1667" s="24">
        <v>8495</v>
      </c>
      <c r="G1667" s="25">
        <v>42704</v>
      </c>
      <c r="H1667" s="25">
        <v>43434</v>
      </c>
      <c r="I1667" s="24" t="s">
        <v>16</v>
      </c>
      <c r="J1667" s="24" t="s">
        <v>22</v>
      </c>
      <c r="K1667" s="24" t="str">
        <f>IF(certifications[[#This Row],[ISSUE DATE]]="", "", TEXT(certifications[[#This Row],[ISSUE DATE]], "MMM"))</f>
        <v>Nov</v>
      </c>
      <c r="L1667" s="35" t="str">
        <f>IF(certifications[[#This Row],[ISSUE DATE]]="", "", TEXT(certifications[[#This Row],[ISSUE DATE]], "YYYY"))</f>
        <v>2016</v>
      </c>
    </row>
    <row r="1668" spans="1:12" s="29" customFormat="1" ht="23.95" customHeight="1" x14ac:dyDescent="0.3">
      <c r="A1668" s="31"/>
      <c r="B1668" s="24">
        <v>1655</v>
      </c>
      <c r="C1668" s="24" t="s">
        <v>1703</v>
      </c>
      <c r="D1668" s="24" t="s">
        <v>32</v>
      </c>
      <c r="E1668" s="24" t="s">
        <v>9</v>
      </c>
      <c r="F1668" s="24">
        <v>20951</v>
      </c>
      <c r="G1668" s="25">
        <v>45575</v>
      </c>
      <c r="H1668" s="25">
        <v>46305</v>
      </c>
      <c r="I1668" s="24" t="s">
        <v>10</v>
      </c>
      <c r="J1668" s="24" t="s">
        <v>33</v>
      </c>
      <c r="K1668" s="24" t="str">
        <f>IF(certifications[[#This Row],[ISSUE DATE]]="", "", TEXT(certifications[[#This Row],[ISSUE DATE]], "MMM"))</f>
        <v>Oct</v>
      </c>
      <c r="L1668" s="35" t="str">
        <f>IF(certifications[[#This Row],[ISSUE DATE]]="", "", TEXT(certifications[[#This Row],[ISSUE DATE]], "YYYY"))</f>
        <v>2024</v>
      </c>
    </row>
    <row r="1669" spans="1:12" s="29" customFormat="1" ht="23.95" customHeight="1" x14ac:dyDescent="0.3">
      <c r="A1669" s="31"/>
      <c r="B1669" s="24">
        <v>1656</v>
      </c>
      <c r="C1669" s="24" t="s">
        <v>1704</v>
      </c>
      <c r="D1669" s="24" t="s">
        <v>32</v>
      </c>
      <c r="E1669" s="24" t="s">
        <v>9</v>
      </c>
      <c r="F1669" s="24">
        <v>11350</v>
      </c>
      <c r="G1669" s="25">
        <v>43227</v>
      </c>
      <c r="H1669" s="25">
        <v>43958</v>
      </c>
      <c r="I1669" s="24" t="s">
        <v>16</v>
      </c>
      <c r="J1669" s="24" t="s">
        <v>33</v>
      </c>
      <c r="K1669" s="24" t="str">
        <f>IF(certifications[[#This Row],[ISSUE DATE]]="", "", TEXT(certifications[[#This Row],[ISSUE DATE]], "MMM"))</f>
        <v>May</v>
      </c>
      <c r="L1669" s="35" t="str">
        <f>IF(certifications[[#This Row],[ISSUE DATE]]="", "", TEXT(certifications[[#This Row],[ISSUE DATE]], "YYYY"))</f>
        <v>2018</v>
      </c>
    </row>
    <row r="1670" spans="1:12" s="29" customFormat="1" ht="23.95" customHeight="1" x14ac:dyDescent="0.3">
      <c r="A1670" s="31"/>
      <c r="B1670" s="24">
        <v>1657</v>
      </c>
      <c r="C1670" s="24" t="s">
        <v>1705</v>
      </c>
      <c r="D1670" s="24" t="s">
        <v>32</v>
      </c>
      <c r="E1670" s="24" t="s">
        <v>9</v>
      </c>
      <c r="F1670" s="24">
        <v>16526</v>
      </c>
      <c r="G1670" s="25">
        <v>44372</v>
      </c>
      <c r="H1670" s="25">
        <v>45833</v>
      </c>
      <c r="I1670" s="24" t="s">
        <v>10</v>
      </c>
      <c r="J1670" s="24" t="s">
        <v>33</v>
      </c>
      <c r="K1670" s="24" t="str">
        <f>IF(certifications[[#This Row],[ISSUE DATE]]="", "", TEXT(certifications[[#This Row],[ISSUE DATE]], "MMM"))</f>
        <v>Jun</v>
      </c>
      <c r="L1670" s="35" t="str">
        <f>IF(certifications[[#This Row],[ISSUE DATE]]="", "", TEXT(certifications[[#This Row],[ISSUE DATE]], "YYYY"))</f>
        <v>2021</v>
      </c>
    </row>
    <row r="1671" spans="1:12" s="29" customFormat="1" ht="23.95" customHeight="1" x14ac:dyDescent="0.3">
      <c r="A1671" s="31"/>
      <c r="B1671" s="24">
        <v>1658</v>
      </c>
      <c r="C1671" s="24" t="s">
        <v>1706</v>
      </c>
      <c r="D1671" s="24" t="s">
        <v>32</v>
      </c>
      <c r="E1671" s="24" t="s">
        <v>9</v>
      </c>
      <c r="F1671" s="24">
        <v>14419</v>
      </c>
      <c r="G1671" s="25">
        <v>43697</v>
      </c>
      <c r="H1671" s="25">
        <v>44428</v>
      </c>
      <c r="I1671" s="24" t="s">
        <v>16</v>
      </c>
      <c r="J1671" s="24" t="s">
        <v>33</v>
      </c>
      <c r="K1671" s="24" t="str">
        <f>IF(certifications[[#This Row],[ISSUE DATE]]="", "", TEXT(certifications[[#This Row],[ISSUE DATE]], "MMM"))</f>
        <v>Aug</v>
      </c>
      <c r="L1671" s="35" t="str">
        <f>IF(certifications[[#This Row],[ISSUE DATE]]="", "", TEXT(certifications[[#This Row],[ISSUE DATE]], "YYYY"))</f>
        <v>2019</v>
      </c>
    </row>
    <row r="1672" spans="1:12" s="29" customFormat="1" ht="23.95" customHeight="1" x14ac:dyDescent="0.3">
      <c r="A1672" s="31"/>
      <c r="B1672" s="24">
        <v>1659</v>
      </c>
      <c r="C1672" s="24" t="s">
        <v>1707</v>
      </c>
      <c r="D1672" s="24" t="s">
        <v>141</v>
      </c>
      <c r="E1672" s="24" t="s">
        <v>9</v>
      </c>
      <c r="F1672" s="24">
        <v>9709</v>
      </c>
      <c r="G1672" s="25">
        <v>42571</v>
      </c>
      <c r="H1672" s="25">
        <v>46223</v>
      </c>
      <c r="I1672" s="24" t="s">
        <v>10</v>
      </c>
      <c r="J1672" s="24" t="s">
        <v>38</v>
      </c>
      <c r="K1672" s="24" t="str">
        <f>IF(certifications[[#This Row],[ISSUE DATE]]="", "", TEXT(certifications[[#This Row],[ISSUE DATE]], "MMM"))</f>
        <v>Jul</v>
      </c>
      <c r="L1672" s="35" t="str">
        <f>IF(certifications[[#This Row],[ISSUE DATE]]="", "", TEXT(certifications[[#This Row],[ISSUE DATE]], "YYYY"))</f>
        <v>2016</v>
      </c>
    </row>
    <row r="1673" spans="1:12" s="29" customFormat="1" ht="23.95" customHeight="1" x14ac:dyDescent="0.3">
      <c r="A1673" s="31"/>
      <c r="B1673" s="24">
        <v>1660</v>
      </c>
      <c r="C1673" s="24" t="s">
        <v>1708</v>
      </c>
      <c r="D1673" s="24" t="s">
        <v>32</v>
      </c>
      <c r="E1673" s="24" t="s">
        <v>9</v>
      </c>
      <c r="F1673" s="24">
        <v>18764</v>
      </c>
      <c r="G1673" s="25">
        <v>45098</v>
      </c>
      <c r="H1673" s="25">
        <v>45829</v>
      </c>
      <c r="I1673" s="24" t="s">
        <v>10</v>
      </c>
      <c r="J1673" s="24" t="s">
        <v>33</v>
      </c>
      <c r="K1673" s="24" t="str">
        <f>IF(certifications[[#This Row],[ISSUE DATE]]="", "", TEXT(certifications[[#This Row],[ISSUE DATE]], "MMM"))</f>
        <v>Jun</v>
      </c>
      <c r="L1673" s="35" t="str">
        <f>IF(certifications[[#This Row],[ISSUE DATE]]="", "", TEXT(certifications[[#This Row],[ISSUE DATE]], "YYYY"))</f>
        <v>2023</v>
      </c>
    </row>
    <row r="1674" spans="1:12" s="29" customFormat="1" ht="23.95" customHeight="1" x14ac:dyDescent="0.3">
      <c r="A1674" s="31"/>
      <c r="B1674" s="24">
        <v>1661</v>
      </c>
      <c r="C1674" s="24" t="s">
        <v>1709</v>
      </c>
      <c r="D1674" s="24" t="s">
        <v>13</v>
      </c>
      <c r="E1674" s="24" t="s">
        <v>9</v>
      </c>
      <c r="F1674" s="24">
        <v>7778</v>
      </c>
      <c r="G1674" s="25">
        <v>43362</v>
      </c>
      <c r="H1674" s="25">
        <v>45554</v>
      </c>
      <c r="I1674" s="24" t="s">
        <v>82</v>
      </c>
      <c r="J1674" s="24" t="s">
        <v>14</v>
      </c>
      <c r="K1674" s="24" t="str">
        <f>IF(certifications[[#This Row],[ISSUE DATE]]="", "", TEXT(certifications[[#This Row],[ISSUE DATE]], "MMM"))</f>
        <v>Sep</v>
      </c>
      <c r="L1674" s="35" t="str">
        <f>IF(certifications[[#This Row],[ISSUE DATE]]="", "", TEXT(certifications[[#This Row],[ISSUE DATE]], "YYYY"))</f>
        <v>2018</v>
      </c>
    </row>
    <row r="1675" spans="1:12" s="29" customFormat="1" ht="23.95" customHeight="1" x14ac:dyDescent="0.3">
      <c r="A1675" s="31"/>
      <c r="B1675" s="24">
        <v>1662</v>
      </c>
      <c r="C1675" s="24" t="s">
        <v>1710</v>
      </c>
      <c r="D1675" s="24" t="s">
        <v>73</v>
      </c>
      <c r="E1675" s="24" t="s">
        <v>9</v>
      </c>
      <c r="F1675" s="24">
        <v>16824</v>
      </c>
      <c r="G1675" s="25">
        <v>44452</v>
      </c>
      <c r="H1675" s="25">
        <v>45182</v>
      </c>
      <c r="I1675" s="24" t="s">
        <v>16</v>
      </c>
      <c r="J1675" s="24" t="s">
        <v>30</v>
      </c>
      <c r="K1675" s="24" t="str">
        <f>IF(certifications[[#This Row],[ISSUE DATE]]="", "", TEXT(certifications[[#This Row],[ISSUE DATE]], "MMM"))</f>
        <v>Sep</v>
      </c>
      <c r="L1675" s="35" t="str">
        <f>IF(certifications[[#This Row],[ISSUE DATE]]="", "", TEXT(certifications[[#This Row],[ISSUE DATE]], "YYYY"))</f>
        <v>2021</v>
      </c>
    </row>
    <row r="1676" spans="1:12" s="29" customFormat="1" ht="23.95" customHeight="1" x14ac:dyDescent="0.3">
      <c r="A1676" s="31"/>
      <c r="B1676" s="24">
        <v>1663</v>
      </c>
      <c r="C1676" s="24" t="s">
        <v>1711</v>
      </c>
      <c r="D1676" s="24" t="s">
        <v>148</v>
      </c>
      <c r="E1676" s="24" t="s">
        <v>9</v>
      </c>
      <c r="F1676" s="24">
        <v>8864</v>
      </c>
      <c r="G1676" s="25">
        <v>41774</v>
      </c>
      <c r="H1676" s="25">
        <v>43965</v>
      </c>
      <c r="I1676" s="24" t="s">
        <v>16</v>
      </c>
      <c r="J1676" s="24" t="s">
        <v>14</v>
      </c>
      <c r="K1676" s="24" t="str">
        <f>IF(certifications[[#This Row],[ISSUE DATE]]="", "", TEXT(certifications[[#This Row],[ISSUE DATE]], "MMM"))</f>
        <v>May</v>
      </c>
      <c r="L1676" s="35" t="str">
        <f>IF(certifications[[#This Row],[ISSUE DATE]]="", "", TEXT(certifications[[#This Row],[ISSUE DATE]], "YYYY"))</f>
        <v>2014</v>
      </c>
    </row>
    <row r="1677" spans="1:12" s="29" customFormat="1" ht="23.95" customHeight="1" x14ac:dyDescent="0.3">
      <c r="A1677" s="31"/>
      <c r="B1677" s="24">
        <v>1664</v>
      </c>
      <c r="C1677" s="24" t="s">
        <v>1712</v>
      </c>
      <c r="D1677" s="24" t="s">
        <v>169</v>
      </c>
      <c r="E1677" s="24" t="s">
        <v>9</v>
      </c>
      <c r="F1677" s="24">
        <v>8652</v>
      </c>
      <c r="G1677" s="25">
        <v>41577</v>
      </c>
      <c r="H1677" s="25">
        <v>45960</v>
      </c>
      <c r="I1677" s="24" t="s">
        <v>10</v>
      </c>
      <c r="J1677" s="24" t="s">
        <v>14</v>
      </c>
      <c r="K1677" s="24" t="str">
        <f>IF(certifications[[#This Row],[ISSUE DATE]]="", "", TEXT(certifications[[#This Row],[ISSUE DATE]], "MMM"))</f>
        <v>Oct</v>
      </c>
      <c r="L1677" s="35" t="str">
        <f>IF(certifications[[#This Row],[ISSUE DATE]]="", "", TEXT(certifications[[#This Row],[ISSUE DATE]], "YYYY"))</f>
        <v>2013</v>
      </c>
    </row>
    <row r="1678" spans="1:12" s="29" customFormat="1" ht="23.95" customHeight="1" x14ac:dyDescent="0.3">
      <c r="A1678" s="31"/>
      <c r="B1678" s="24">
        <v>1665</v>
      </c>
      <c r="C1678" s="24" t="s">
        <v>1713</v>
      </c>
      <c r="D1678" s="24" t="s">
        <v>32</v>
      </c>
      <c r="E1678" s="24" t="s">
        <v>9</v>
      </c>
      <c r="F1678" s="24">
        <v>8778</v>
      </c>
      <c r="G1678" s="25">
        <v>43510</v>
      </c>
      <c r="H1678" s="25">
        <v>45702</v>
      </c>
      <c r="I1678" s="24" t="s">
        <v>82</v>
      </c>
      <c r="J1678" s="24" t="s">
        <v>33</v>
      </c>
      <c r="K1678" s="24" t="str">
        <f>IF(certifications[[#This Row],[ISSUE DATE]]="", "", TEXT(certifications[[#This Row],[ISSUE DATE]], "MMM"))</f>
        <v>Feb</v>
      </c>
      <c r="L1678" s="35" t="str">
        <f>IF(certifications[[#This Row],[ISSUE DATE]]="", "", TEXT(certifications[[#This Row],[ISSUE DATE]], "YYYY"))</f>
        <v>2019</v>
      </c>
    </row>
    <row r="1679" spans="1:12" s="29" customFormat="1" ht="23.95" customHeight="1" x14ac:dyDescent="0.3">
      <c r="A1679" s="31"/>
      <c r="B1679" s="24">
        <v>1666</v>
      </c>
      <c r="C1679" s="24" t="s">
        <v>1714</v>
      </c>
      <c r="D1679" s="24" t="s">
        <v>109</v>
      </c>
      <c r="E1679" s="24" t="s">
        <v>9</v>
      </c>
      <c r="F1679" s="24">
        <v>8666</v>
      </c>
      <c r="G1679" s="25">
        <v>41577</v>
      </c>
      <c r="H1679" s="25">
        <v>42307</v>
      </c>
      <c r="I1679" s="24" t="s">
        <v>16</v>
      </c>
      <c r="J1679" s="24" t="s">
        <v>38</v>
      </c>
      <c r="K1679" s="24" t="str">
        <f>IF(certifications[[#This Row],[ISSUE DATE]]="", "", TEXT(certifications[[#This Row],[ISSUE DATE]], "MMM"))</f>
        <v>Oct</v>
      </c>
      <c r="L1679" s="35" t="str">
        <f>IF(certifications[[#This Row],[ISSUE DATE]]="", "", TEXT(certifications[[#This Row],[ISSUE DATE]], "YYYY"))</f>
        <v>2013</v>
      </c>
    </row>
    <row r="1680" spans="1:12" s="29" customFormat="1" ht="23.95" customHeight="1" x14ac:dyDescent="0.3">
      <c r="A1680" s="31"/>
      <c r="B1680" s="24">
        <v>1667</v>
      </c>
      <c r="C1680" s="24" t="s">
        <v>1715</v>
      </c>
      <c r="D1680" s="24" t="s">
        <v>32</v>
      </c>
      <c r="E1680" s="24" t="s">
        <v>9</v>
      </c>
      <c r="F1680" s="24">
        <v>11706</v>
      </c>
      <c r="G1680" s="25">
        <v>43272</v>
      </c>
      <c r="H1680" s="25">
        <v>44003</v>
      </c>
      <c r="I1680" s="24" t="s">
        <v>16</v>
      </c>
      <c r="J1680" s="24" t="s">
        <v>33</v>
      </c>
      <c r="K1680" s="24" t="str">
        <f>IF(certifications[[#This Row],[ISSUE DATE]]="", "", TEXT(certifications[[#This Row],[ISSUE DATE]], "MMM"))</f>
        <v>Jun</v>
      </c>
      <c r="L1680" s="35" t="str">
        <f>IF(certifications[[#This Row],[ISSUE DATE]]="", "", TEXT(certifications[[#This Row],[ISSUE DATE]], "YYYY"))</f>
        <v>2018</v>
      </c>
    </row>
    <row r="1681" spans="1:12" s="29" customFormat="1" ht="23.95" customHeight="1" x14ac:dyDescent="0.3">
      <c r="A1681" s="31"/>
      <c r="B1681" s="24">
        <v>1668</v>
      </c>
      <c r="C1681" s="24" t="s">
        <v>1716</v>
      </c>
      <c r="D1681" s="24" t="s">
        <v>32</v>
      </c>
      <c r="E1681" s="24" t="s">
        <v>9</v>
      </c>
      <c r="F1681" s="24">
        <v>20918</v>
      </c>
      <c r="G1681" s="25">
        <v>45567</v>
      </c>
      <c r="H1681" s="25">
        <v>46297</v>
      </c>
      <c r="I1681" s="24" t="s">
        <v>10</v>
      </c>
      <c r="J1681" s="24" t="s">
        <v>33</v>
      </c>
      <c r="K1681" s="24" t="str">
        <f>IF(certifications[[#This Row],[ISSUE DATE]]="", "", TEXT(certifications[[#This Row],[ISSUE DATE]], "MMM"))</f>
        <v>Oct</v>
      </c>
      <c r="L1681" s="35" t="str">
        <f>IF(certifications[[#This Row],[ISSUE DATE]]="", "", TEXT(certifications[[#This Row],[ISSUE DATE]], "YYYY"))</f>
        <v>2024</v>
      </c>
    </row>
    <row r="1682" spans="1:12" s="29" customFormat="1" ht="23.95" customHeight="1" x14ac:dyDescent="0.3">
      <c r="A1682" s="31"/>
      <c r="B1682" s="24">
        <v>1669</v>
      </c>
      <c r="C1682" s="24" t="s">
        <v>1717</v>
      </c>
      <c r="D1682" s="24" t="s">
        <v>32</v>
      </c>
      <c r="E1682" s="24" t="s">
        <v>9</v>
      </c>
      <c r="F1682" s="24">
        <v>17574</v>
      </c>
      <c r="G1682" s="25">
        <v>44732</v>
      </c>
      <c r="H1682" s="25">
        <v>45463</v>
      </c>
      <c r="I1682" s="24" t="s">
        <v>82</v>
      </c>
      <c r="J1682" s="24" t="s">
        <v>33</v>
      </c>
      <c r="K1682" s="24" t="str">
        <f>IF(certifications[[#This Row],[ISSUE DATE]]="", "", TEXT(certifications[[#This Row],[ISSUE DATE]], "MMM"))</f>
        <v>Jun</v>
      </c>
      <c r="L1682" s="35" t="str">
        <f>IF(certifications[[#This Row],[ISSUE DATE]]="", "", TEXT(certifications[[#This Row],[ISSUE DATE]], "YYYY"))</f>
        <v>2022</v>
      </c>
    </row>
    <row r="1683" spans="1:12" s="29" customFormat="1" ht="23.95" customHeight="1" x14ac:dyDescent="0.3">
      <c r="A1683" s="31"/>
      <c r="B1683" s="24">
        <v>1670</v>
      </c>
      <c r="C1683" s="24" t="s">
        <v>1718</v>
      </c>
      <c r="D1683" s="24" t="s">
        <v>148</v>
      </c>
      <c r="E1683" s="24" t="s">
        <v>9</v>
      </c>
      <c r="F1683" s="24">
        <v>12263</v>
      </c>
      <c r="G1683" s="25">
        <v>43504</v>
      </c>
      <c r="H1683" s="25">
        <v>46426</v>
      </c>
      <c r="I1683" s="24" t="s">
        <v>10</v>
      </c>
      <c r="J1683" s="24" t="s">
        <v>14</v>
      </c>
      <c r="K1683" s="24" t="str">
        <f>IF(certifications[[#This Row],[ISSUE DATE]]="", "", TEXT(certifications[[#This Row],[ISSUE DATE]], "MMM"))</f>
        <v>Feb</v>
      </c>
      <c r="L1683" s="35" t="str">
        <f>IF(certifications[[#This Row],[ISSUE DATE]]="", "", TEXT(certifications[[#This Row],[ISSUE DATE]], "YYYY"))</f>
        <v>2019</v>
      </c>
    </row>
    <row r="1684" spans="1:12" s="29" customFormat="1" ht="23.95" customHeight="1" x14ac:dyDescent="0.3">
      <c r="A1684" s="31"/>
      <c r="B1684" s="24">
        <v>1671</v>
      </c>
      <c r="C1684" s="24" t="s">
        <v>1719</v>
      </c>
      <c r="D1684" s="24" t="s">
        <v>104</v>
      </c>
      <c r="E1684" s="24" t="s">
        <v>9</v>
      </c>
      <c r="F1684" s="24">
        <v>16858</v>
      </c>
      <c r="G1684" s="25">
        <v>44461</v>
      </c>
      <c r="H1684" s="25">
        <v>45922</v>
      </c>
      <c r="I1684" s="24" t="s">
        <v>10</v>
      </c>
      <c r="J1684" s="24" t="s">
        <v>14</v>
      </c>
      <c r="K1684" s="24" t="str">
        <f>IF(certifications[[#This Row],[ISSUE DATE]]="", "", TEXT(certifications[[#This Row],[ISSUE DATE]], "MMM"))</f>
        <v>Sep</v>
      </c>
      <c r="L1684" s="35" t="str">
        <f>IF(certifications[[#This Row],[ISSUE DATE]]="", "", TEXT(certifications[[#This Row],[ISSUE DATE]], "YYYY"))</f>
        <v>2021</v>
      </c>
    </row>
    <row r="1685" spans="1:12" s="29" customFormat="1" ht="23.95" customHeight="1" x14ac:dyDescent="0.3">
      <c r="A1685" s="31"/>
      <c r="B1685" s="24">
        <v>1672</v>
      </c>
      <c r="C1685" s="24" t="s">
        <v>1720</v>
      </c>
      <c r="D1685" s="24" t="s">
        <v>88</v>
      </c>
      <c r="E1685" s="24" t="s">
        <v>9</v>
      </c>
      <c r="F1685" s="24">
        <v>13701</v>
      </c>
      <c r="G1685" s="25">
        <v>43640</v>
      </c>
      <c r="H1685" s="25">
        <v>45101</v>
      </c>
      <c r="I1685" s="24" t="s">
        <v>16</v>
      </c>
      <c r="J1685" s="24" t="s">
        <v>19</v>
      </c>
      <c r="K1685" s="24" t="str">
        <f>IF(certifications[[#This Row],[ISSUE DATE]]="", "", TEXT(certifications[[#This Row],[ISSUE DATE]], "MMM"))</f>
        <v>Jun</v>
      </c>
      <c r="L1685" s="35" t="str">
        <f>IF(certifications[[#This Row],[ISSUE DATE]]="", "", TEXT(certifications[[#This Row],[ISSUE DATE]], "YYYY"))</f>
        <v>2019</v>
      </c>
    </row>
    <row r="1686" spans="1:12" s="29" customFormat="1" ht="23.95" customHeight="1" x14ac:dyDescent="0.3">
      <c r="A1686" s="31"/>
      <c r="B1686" s="24">
        <v>1673</v>
      </c>
      <c r="C1686" s="24" t="s">
        <v>1721</v>
      </c>
      <c r="D1686" s="24" t="s">
        <v>32</v>
      </c>
      <c r="E1686" s="24" t="s">
        <v>9</v>
      </c>
      <c r="F1686" s="24">
        <v>20994</v>
      </c>
      <c r="G1686" s="25">
        <v>45580</v>
      </c>
      <c r="H1686" s="25">
        <v>46310</v>
      </c>
      <c r="I1686" s="24" t="s">
        <v>10</v>
      </c>
      <c r="J1686" s="24" t="s">
        <v>33</v>
      </c>
      <c r="K1686" s="24" t="str">
        <f>IF(certifications[[#This Row],[ISSUE DATE]]="", "", TEXT(certifications[[#This Row],[ISSUE DATE]], "MMM"))</f>
        <v>Oct</v>
      </c>
      <c r="L1686" s="35" t="str">
        <f>IF(certifications[[#This Row],[ISSUE DATE]]="", "", TEXT(certifications[[#This Row],[ISSUE DATE]], "YYYY"))</f>
        <v>2024</v>
      </c>
    </row>
    <row r="1687" spans="1:12" s="29" customFormat="1" ht="23.95" customHeight="1" x14ac:dyDescent="0.3">
      <c r="A1687" s="31"/>
      <c r="B1687" s="24">
        <v>1674</v>
      </c>
      <c r="C1687" s="24" t="s">
        <v>1722</v>
      </c>
      <c r="D1687" s="24" t="s">
        <v>13</v>
      </c>
      <c r="E1687" s="24" t="s">
        <v>9</v>
      </c>
      <c r="F1687" s="24">
        <v>10119</v>
      </c>
      <c r="G1687" s="25">
        <v>42846</v>
      </c>
      <c r="H1687" s="25">
        <v>44307</v>
      </c>
      <c r="I1687" s="24" t="s">
        <v>16</v>
      </c>
      <c r="J1687" s="24" t="s">
        <v>14</v>
      </c>
      <c r="K1687" s="24" t="str">
        <f>IF(certifications[[#This Row],[ISSUE DATE]]="", "", TEXT(certifications[[#This Row],[ISSUE DATE]], "MMM"))</f>
        <v>Apr</v>
      </c>
      <c r="L1687" s="35" t="str">
        <f>IF(certifications[[#This Row],[ISSUE DATE]]="", "", TEXT(certifications[[#This Row],[ISSUE DATE]], "YYYY"))</f>
        <v>2017</v>
      </c>
    </row>
    <row r="1688" spans="1:12" s="29" customFormat="1" ht="23.95" customHeight="1" x14ac:dyDescent="0.3">
      <c r="A1688" s="31"/>
      <c r="B1688" s="24">
        <v>1675</v>
      </c>
      <c r="C1688" s="24" t="s">
        <v>1723</v>
      </c>
      <c r="D1688" s="24" t="s">
        <v>1216</v>
      </c>
      <c r="E1688" s="24" t="s">
        <v>9</v>
      </c>
      <c r="F1688" s="24">
        <v>18060</v>
      </c>
      <c r="G1688" s="25">
        <v>44887</v>
      </c>
      <c r="H1688" s="25">
        <v>45618</v>
      </c>
      <c r="I1688" s="24" t="s">
        <v>82</v>
      </c>
      <c r="J1688" s="24" t="s">
        <v>11</v>
      </c>
      <c r="K1688" s="24" t="str">
        <f>IF(certifications[[#This Row],[ISSUE DATE]]="", "", TEXT(certifications[[#This Row],[ISSUE DATE]], "MMM"))</f>
        <v>Nov</v>
      </c>
      <c r="L1688" s="35" t="str">
        <f>IF(certifications[[#This Row],[ISSUE DATE]]="", "", TEXT(certifications[[#This Row],[ISSUE DATE]], "YYYY"))</f>
        <v>2022</v>
      </c>
    </row>
    <row r="1689" spans="1:12" s="29" customFormat="1" ht="23.95" customHeight="1" x14ac:dyDescent="0.3">
      <c r="A1689" s="31"/>
      <c r="B1689" s="24">
        <v>1676</v>
      </c>
      <c r="C1689" s="24" t="s">
        <v>1724</v>
      </c>
      <c r="D1689" s="24" t="s">
        <v>109</v>
      </c>
      <c r="E1689" s="24" t="s">
        <v>9</v>
      </c>
      <c r="F1689" s="24">
        <v>9720</v>
      </c>
      <c r="G1689" s="25">
        <v>42571</v>
      </c>
      <c r="H1689" s="25">
        <v>44032</v>
      </c>
      <c r="I1689" s="24" t="s">
        <v>16</v>
      </c>
      <c r="J1689" s="24" t="s">
        <v>38</v>
      </c>
      <c r="K1689" s="24" t="str">
        <f>IF(certifications[[#This Row],[ISSUE DATE]]="", "", TEXT(certifications[[#This Row],[ISSUE DATE]], "MMM"))</f>
        <v>Jul</v>
      </c>
      <c r="L1689" s="35" t="str">
        <f>IF(certifications[[#This Row],[ISSUE DATE]]="", "", TEXT(certifications[[#This Row],[ISSUE DATE]], "YYYY"))</f>
        <v>2016</v>
      </c>
    </row>
    <row r="1690" spans="1:12" s="29" customFormat="1" ht="23.95" customHeight="1" x14ac:dyDescent="0.3">
      <c r="A1690" s="31"/>
      <c r="B1690" s="24">
        <v>1677</v>
      </c>
      <c r="C1690" s="24" t="s">
        <v>1725</v>
      </c>
      <c r="D1690" s="24" t="s">
        <v>141</v>
      </c>
      <c r="E1690" s="24" t="s">
        <v>9</v>
      </c>
      <c r="F1690" s="24">
        <v>9244</v>
      </c>
      <c r="G1690" s="25">
        <v>42180</v>
      </c>
      <c r="H1690" s="25">
        <v>42911</v>
      </c>
      <c r="I1690" s="24" t="s">
        <v>16</v>
      </c>
      <c r="J1690" s="24" t="s">
        <v>38</v>
      </c>
      <c r="K1690" s="24" t="str">
        <f>IF(certifications[[#This Row],[ISSUE DATE]]="", "", TEXT(certifications[[#This Row],[ISSUE DATE]], "MMM"))</f>
        <v>Jun</v>
      </c>
      <c r="L1690" s="35" t="str">
        <f>IF(certifications[[#This Row],[ISSUE DATE]]="", "", TEXT(certifications[[#This Row],[ISSUE DATE]], "YYYY"))</f>
        <v>2015</v>
      </c>
    </row>
    <row r="1691" spans="1:12" s="29" customFormat="1" ht="23.95" customHeight="1" x14ac:dyDescent="0.3">
      <c r="A1691" s="31"/>
      <c r="B1691" s="24">
        <v>1678</v>
      </c>
      <c r="C1691" s="24" t="s">
        <v>1726</v>
      </c>
      <c r="D1691" s="24" t="s">
        <v>579</v>
      </c>
      <c r="E1691" s="24" t="s">
        <v>9</v>
      </c>
      <c r="F1691" s="24">
        <v>15951</v>
      </c>
      <c r="G1691" s="25">
        <v>44239</v>
      </c>
      <c r="H1691" s="25">
        <v>45700</v>
      </c>
      <c r="I1691" s="24" t="s">
        <v>82</v>
      </c>
      <c r="J1691" s="24" t="s">
        <v>19</v>
      </c>
      <c r="K1691" s="24" t="str">
        <f>IF(certifications[[#This Row],[ISSUE DATE]]="", "", TEXT(certifications[[#This Row],[ISSUE DATE]], "MMM"))</f>
        <v>Feb</v>
      </c>
      <c r="L1691" s="35" t="str">
        <f>IF(certifications[[#This Row],[ISSUE DATE]]="", "", TEXT(certifications[[#This Row],[ISSUE DATE]], "YYYY"))</f>
        <v>2021</v>
      </c>
    </row>
    <row r="1692" spans="1:12" s="29" customFormat="1" ht="23.95" customHeight="1" x14ac:dyDescent="0.3">
      <c r="A1692" s="31"/>
      <c r="B1692" s="24">
        <v>1679</v>
      </c>
      <c r="C1692" s="24" t="s">
        <v>1726</v>
      </c>
      <c r="D1692" s="24" t="s">
        <v>579</v>
      </c>
      <c r="E1692" s="24" t="s">
        <v>26</v>
      </c>
      <c r="F1692" s="24">
        <v>15951</v>
      </c>
      <c r="G1692" s="25">
        <v>44565</v>
      </c>
      <c r="H1692" s="25">
        <v>45295</v>
      </c>
      <c r="I1692" s="24" t="s">
        <v>16</v>
      </c>
      <c r="J1692" s="24" t="s">
        <v>19</v>
      </c>
      <c r="K1692" s="24" t="str">
        <f>IF(certifications[[#This Row],[ISSUE DATE]]="", "", TEXT(certifications[[#This Row],[ISSUE DATE]], "MMM"))</f>
        <v>Jan</v>
      </c>
      <c r="L1692" s="35" t="str">
        <f>IF(certifications[[#This Row],[ISSUE DATE]]="", "", TEXT(certifications[[#This Row],[ISSUE DATE]], "YYYY"))</f>
        <v>2022</v>
      </c>
    </row>
    <row r="1693" spans="1:12" s="29" customFormat="1" ht="23.95" customHeight="1" x14ac:dyDescent="0.3">
      <c r="A1693" s="31"/>
      <c r="B1693" s="24">
        <v>1680</v>
      </c>
      <c r="C1693" s="24" t="s">
        <v>1727</v>
      </c>
      <c r="D1693" s="24" t="s">
        <v>13</v>
      </c>
      <c r="E1693" s="24" t="s">
        <v>9</v>
      </c>
      <c r="F1693" s="24">
        <v>7772</v>
      </c>
      <c r="G1693" s="25">
        <v>40613</v>
      </c>
      <c r="H1693" s="25">
        <v>45727</v>
      </c>
      <c r="I1693" s="24" t="s">
        <v>82</v>
      </c>
      <c r="J1693" s="24" t="s">
        <v>14</v>
      </c>
      <c r="K1693" s="24" t="str">
        <f>IF(certifications[[#This Row],[ISSUE DATE]]="", "", TEXT(certifications[[#This Row],[ISSUE DATE]], "MMM"))</f>
        <v>Mar</v>
      </c>
      <c r="L1693" s="35" t="str">
        <f>IF(certifications[[#This Row],[ISSUE DATE]]="", "", TEXT(certifications[[#This Row],[ISSUE DATE]], "YYYY"))</f>
        <v>2011</v>
      </c>
    </row>
    <row r="1694" spans="1:12" s="29" customFormat="1" ht="23.95" customHeight="1" x14ac:dyDescent="0.3">
      <c r="A1694" s="31"/>
      <c r="B1694" s="24">
        <v>1681</v>
      </c>
      <c r="C1694" s="24" t="s">
        <v>1727</v>
      </c>
      <c r="D1694" s="24" t="s">
        <v>13</v>
      </c>
      <c r="E1694" s="24" t="s">
        <v>26</v>
      </c>
      <c r="F1694" s="24">
        <v>7772</v>
      </c>
      <c r="G1694" s="25">
        <v>43741</v>
      </c>
      <c r="H1694" s="25">
        <v>45727</v>
      </c>
      <c r="I1694" s="24" t="s">
        <v>82</v>
      </c>
      <c r="J1694" s="24" t="s">
        <v>14</v>
      </c>
      <c r="K1694" s="24" t="str">
        <f>IF(certifications[[#This Row],[ISSUE DATE]]="", "", TEXT(certifications[[#This Row],[ISSUE DATE]], "MMM"))</f>
        <v>Oct</v>
      </c>
      <c r="L1694" s="35" t="str">
        <f>IF(certifications[[#This Row],[ISSUE DATE]]="", "", TEXT(certifications[[#This Row],[ISSUE DATE]], "YYYY"))</f>
        <v>2019</v>
      </c>
    </row>
    <row r="1695" spans="1:12" s="29" customFormat="1" ht="23.95" customHeight="1" x14ac:dyDescent="0.3">
      <c r="A1695" s="31"/>
      <c r="B1695" s="24">
        <v>1682</v>
      </c>
      <c r="C1695" s="24" t="s">
        <v>1728</v>
      </c>
      <c r="D1695" s="24" t="s">
        <v>18</v>
      </c>
      <c r="E1695" s="24" t="s">
        <v>9</v>
      </c>
      <c r="F1695" s="24">
        <v>20859</v>
      </c>
      <c r="G1695" s="25">
        <v>45554</v>
      </c>
      <c r="H1695" s="25">
        <v>46284</v>
      </c>
      <c r="I1695" s="24" t="s">
        <v>10</v>
      </c>
      <c r="J1695" s="24" t="s">
        <v>19</v>
      </c>
      <c r="K1695" s="24" t="str">
        <f>IF(certifications[[#This Row],[ISSUE DATE]]="", "", TEXT(certifications[[#This Row],[ISSUE DATE]], "MMM"))</f>
        <v>Sep</v>
      </c>
      <c r="L1695" s="35" t="str">
        <f>IF(certifications[[#This Row],[ISSUE DATE]]="", "", TEXT(certifications[[#This Row],[ISSUE DATE]], "YYYY"))</f>
        <v>2024</v>
      </c>
    </row>
    <row r="1696" spans="1:12" s="29" customFormat="1" ht="23.95" customHeight="1" x14ac:dyDescent="0.3">
      <c r="A1696" s="31"/>
      <c r="B1696" s="24">
        <v>1683</v>
      </c>
      <c r="C1696" s="24" t="s">
        <v>1729</v>
      </c>
      <c r="D1696" s="24" t="s">
        <v>877</v>
      </c>
      <c r="E1696" s="24" t="s">
        <v>9</v>
      </c>
      <c r="F1696" s="24">
        <v>11094</v>
      </c>
      <c r="G1696" s="25">
        <v>43350</v>
      </c>
      <c r="H1696" s="25">
        <v>44081</v>
      </c>
      <c r="I1696" s="24" t="s">
        <v>16</v>
      </c>
      <c r="J1696" s="24" t="s">
        <v>30</v>
      </c>
      <c r="K1696" s="24" t="str">
        <f>IF(certifications[[#This Row],[ISSUE DATE]]="", "", TEXT(certifications[[#This Row],[ISSUE DATE]], "MMM"))</f>
        <v>Sep</v>
      </c>
      <c r="L1696" s="35" t="str">
        <f>IF(certifications[[#This Row],[ISSUE DATE]]="", "", TEXT(certifications[[#This Row],[ISSUE DATE]], "YYYY"))</f>
        <v>2018</v>
      </c>
    </row>
    <row r="1697" spans="1:12" s="29" customFormat="1" ht="23.95" customHeight="1" x14ac:dyDescent="0.3">
      <c r="A1697" s="31"/>
      <c r="B1697" s="24">
        <v>1684</v>
      </c>
      <c r="C1697" s="24" t="s">
        <v>1730</v>
      </c>
      <c r="D1697" s="24" t="s">
        <v>13</v>
      </c>
      <c r="E1697" s="24" t="s">
        <v>9</v>
      </c>
      <c r="F1697" s="24">
        <v>13582</v>
      </c>
      <c r="G1697" s="25">
        <v>43630</v>
      </c>
      <c r="H1697" s="25">
        <v>44361</v>
      </c>
      <c r="I1697" s="24" t="s">
        <v>16</v>
      </c>
      <c r="J1697" s="24" t="s">
        <v>14</v>
      </c>
      <c r="K1697" s="24" t="str">
        <f>IF(certifications[[#This Row],[ISSUE DATE]]="", "", TEXT(certifications[[#This Row],[ISSUE DATE]], "MMM"))</f>
        <v>Jun</v>
      </c>
      <c r="L1697" s="35" t="str">
        <f>IF(certifications[[#This Row],[ISSUE DATE]]="", "", TEXT(certifications[[#This Row],[ISSUE DATE]], "YYYY"))</f>
        <v>2019</v>
      </c>
    </row>
    <row r="1698" spans="1:12" s="29" customFormat="1" ht="23.95" customHeight="1" x14ac:dyDescent="0.3">
      <c r="A1698" s="31"/>
      <c r="B1698" s="24">
        <v>1685</v>
      </c>
      <c r="C1698" s="24" t="s">
        <v>1731</v>
      </c>
      <c r="D1698" s="24" t="s">
        <v>32</v>
      </c>
      <c r="E1698" s="24" t="s">
        <v>9</v>
      </c>
      <c r="F1698" s="24">
        <v>17989</v>
      </c>
      <c r="G1698" s="25">
        <v>44863</v>
      </c>
      <c r="H1698" s="25">
        <v>46324</v>
      </c>
      <c r="I1698" s="24" t="s">
        <v>10</v>
      </c>
      <c r="J1698" s="24" t="s">
        <v>33</v>
      </c>
      <c r="K1698" s="24" t="str">
        <f>IF(certifications[[#This Row],[ISSUE DATE]]="", "", TEXT(certifications[[#This Row],[ISSUE DATE]], "MMM"))</f>
        <v>Oct</v>
      </c>
      <c r="L1698" s="35" t="str">
        <f>IF(certifications[[#This Row],[ISSUE DATE]]="", "", TEXT(certifications[[#This Row],[ISSUE DATE]], "YYYY"))</f>
        <v>2022</v>
      </c>
    </row>
    <row r="1699" spans="1:12" s="29" customFormat="1" ht="23.95" customHeight="1" x14ac:dyDescent="0.3">
      <c r="A1699" s="31"/>
      <c r="B1699" s="24">
        <v>1686</v>
      </c>
      <c r="C1699" s="24" t="s">
        <v>1732</v>
      </c>
      <c r="D1699" s="24" t="s">
        <v>1272</v>
      </c>
      <c r="E1699" s="24" t="s">
        <v>9</v>
      </c>
      <c r="F1699" s="24">
        <v>8702</v>
      </c>
      <c r="G1699" s="25">
        <v>41620</v>
      </c>
      <c r="H1699" s="25">
        <v>42350</v>
      </c>
      <c r="I1699" s="24" t="s">
        <v>16</v>
      </c>
      <c r="J1699" s="24" t="s">
        <v>38</v>
      </c>
      <c r="K1699" s="24" t="str">
        <f>IF(certifications[[#This Row],[ISSUE DATE]]="", "", TEXT(certifications[[#This Row],[ISSUE DATE]], "MMM"))</f>
        <v>Dec</v>
      </c>
      <c r="L1699" s="35" t="str">
        <f>IF(certifications[[#This Row],[ISSUE DATE]]="", "", TEXT(certifications[[#This Row],[ISSUE DATE]], "YYYY"))</f>
        <v>2013</v>
      </c>
    </row>
    <row r="1700" spans="1:12" s="29" customFormat="1" ht="23.95" customHeight="1" x14ac:dyDescent="0.3">
      <c r="A1700" s="31"/>
      <c r="B1700" s="24">
        <v>1687</v>
      </c>
      <c r="C1700" s="24" t="s">
        <v>1733</v>
      </c>
      <c r="D1700" s="24" t="s">
        <v>402</v>
      </c>
      <c r="E1700" s="24" t="s">
        <v>9</v>
      </c>
      <c r="F1700" s="24">
        <v>10384</v>
      </c>
      <c r="G1700" s="25">
        <v>42990</v>
      </c>
      <c r="H1700" s="25">
        <v>43720</v>
      </c>
      <c r="I1700" s="24" t="s">
        <v>16</v>
      </c>
      <c r="J1700" s="24" t="s">
        <v>19</v>
      </c>
      <c r="K1700" s="24" t="str">
        <f>IF(certifications[[#This Row],[ISSUE DATE]]="", "", TEXT(certifications[[#This Row],[ISSUE DATE]], "MMM"))</f>
        <v>Sep</v>
      </c>
      <c r="L1700" s="35" t="str">
        <f>IF(certifications[[#This Row],[ISSUE DATE]]="", "", TEXT(certifications[[#This Row],[ISSUE DATE]], "YYYY"))</f>
        <v>2017</v>
      </c>
    </row>
    <row r="1701" spans="1:12" s="29" customFormat="1" ht="23.95" customHeight="1" x14ac:dyDescent="0.3">
      <c r="A1701" s="31"/>
      <c r="B1701" s="24">
        <v>1688</v>
      </c>
      <c r="C1701" s="24" t="s">
        <v>1734</v>
      </c>
      <c r="D1701" s="24" t="s">
        <v>452</v>
      </c>
      <c r="E1701" s="24" t="s">
        <v>26</v>
      </c>
      <c r="F1701" s="24">
        <v>18442</v>
      </c>
      <c r="G1701" s="25">
        <v>45006</v>
      </c>
      <c r="H1701" s="25">
        <v>46467</v>
      </c>
      <c r="I1701" s="24" t="s">
        <v>10</v>
      </c>
      <c r="J1701" s="24" t="s">
        <v>25</v>
      </c>
      <c r="K1701" s="24" t="str">
        <f>IF(certifications[[#This Row],[ISSUE DATE]]="", "", TEXT(certifications[[#This Row],[ISSUE DATE]], "MMM"))</f>
        <v>Mar</v>
      </c>
      <c r="L1701" s="35" t="str">
        <f>IF(certifications[[#This Row],[ISSUE DATE]]="", "", TEXT(certifications[[#This Row],[ISSUE DATE]], "YYYY"))</f>
        <v>2023</v>
      </c>
    </row>
    <row r="1702" spans="1:12" s="29" customFormat="1" ht="23.95" customHeight="1" x14ac:dyDescent="0.3">
      <c r="A1702" s="31"/>
      <c r="B1702" s="24">
        <v>1689</v>
      </c>
      <c r="C1702" s="24" t="s">
        <v>1735</v>
      </c>
      <c r="D1702" s="24" t="s">
        <v>1272</v>
      </c>
      <c r="E1702" s="24" t="s">
        <v>9</v>
      </c>
      <c r="F1702" s="24">
        <v>20865</v>
      </c>
      <c r="G1702" s="25">
        <v>45555</v>
      </c>
      <c r="H1702" s="25">
        <v>46285</v>
      </c>
      <c r="I1702" s="24" t="s">
        <v>10</v>
      </c>
      <c r="J1702" s="24" t="s">
        <v>38</v>
      </c>
      <c r="K1702" s="24" t="str">
        <f>IF(certifications[[#This Row],[ISSUE DATE]]="", "", TEXT(certifications[[#This Row],[ISSUE DATE]], "MMM"))</f>
        <v>Sep</v>
      </c>
      <c r="L1702" s="35" t="str">
        <f>IF(certifications[[#This Row],[ISSUE DATE]]="", "", TEXT(certifications[[#This Row],[ISSUE DATE]], "YYYY"))</f>
        <v>2024</v>
      </c>
    </row>
    <row r="1703" spans="1:12" s="29" customFormat="1" ht="23.95" customHeight="1" x14ac:dyDescent="0.3">
      <c r="A1703" s="31"/>
      <c r="B1703" s="24">
        <v>1690</v>
      </c>
      <c r="C1703" s="24" t="s">
        <v>1736</v>
      </c>
      <c r="D1703" s="24" t="s">
        <v>114</v>
      </c>
      <c r="E1703" s="24" t="s">
        <v>9</v>
      </c>
      <c r="F1703" s="24">
        <v>10025</v>
      </c>
      <c r="G1703" s="25">
        <v>42766</v>
      </c>
      <c r="H1703" s="25">
        <v>45688</v>
      </c>
      <c r="I1703" s="24" t="s">
        <v>82</v>
      </c>
      <c r="J1703" s="24" t="s">
        <v>22</v>
      </c>
      <c r="K1703" s="24" t="str">
        <f>IF(certifications[[#This Row],[ISSUE DATE]]="", "", TEXT(certifications[[#This Row],[ISSUE DATE]], "MMM"))</f>
        <v>Jan</v>
      </c>
      <c r="L1703" s="35" t="str">
        <f>IF(certifications[[#This Row],[ISSUE DATE]]="", "", TEXT(certifications[[#This Row],[ISSUE DATE]], "YYYY"))</f>
        <v>2017</v>
      </c>
    </row>
    <row r="1704" spans="1:12" s="29" customFormat="1" ht="23.95" customHeight="1" x14ac:dyDescent="0.3">
      <c r="A1704" s="31"/>
      <c r="B1704" s="24">
        <v>1691</v>
      </c>
      <c r="C1704" s="24" t="s">
        <v>1737</v>
      </c>
      <c r="D1704" s="24" t="s">
        <v>32</v>
      </c>
      <c r="E1704" s="24" t="s">
        <v>9</v>
      </c>
      <c r="F1704" s="24">
        <v>15717</v>
      </c>
      <c r="G1704" s="25">
        <v>44172</v>
      </c>
      <c r="H1704" s="25">
        <v>46363</v>
      </c>
      <c r="I1704" s="24" t="s">
        <v>10</v>
      </c>
      <c r="J1704" s="24" t="s">
        <v>33</v>
      </c>
      <c r="K1704" s="24" t="str">
        <f>IF(certifications[[#This Row],[ISSUE DATE]]="", "", TEXT(certifications[[#This Row],[ISSUE DATE]], "MMM"))</f>
        <v>Dec</v>
      </c>
      <c r="L1704" s="35" t="str">
        <f>IF(certifications[[#This Row],[ISSUE DATE]]="", "", TEXT(certifications[[#This Row],[ISSUE DATE]], "YYYY"))</f>
        <v>2020</v>
      </c>
    </row>
    <row r="1705" spans="1:12" s="29" customFormat="1" ht="23.95" customHeight="1" x14ac:dyDescent="0.3">
      <c r="A1705" s="31"/>
      <c r="B1705" s="24">
        <v>1692</v>
      </c>
      <c r="C1705" s="24" t="s">
        <v>1738</v>
      </c>
      <c r="D1705" s="24" t="s">
        <v>88</v>
      </c>
      <c r="E1705" s="24" t="s">
        <v>9</v>
      </c>
      <c r="F1705" s="24">
        <v>19156</v>
      </c>
      <c r="G1705" s="25">
        <v>45562</v>
      </c>
      <c r="H1705" s="25">
        <v>46292</v>
      </c>
      <c r="I1705" s="24" t="s">
        <v>10</v>
      </c>
      <c r="J1705" s="24" t="s">
        <v>19</v>
      </c>
      <c r="K1705" s="24" t="str">
        <f>IF(certifications[[#This Row],[ISSUE DATE]]="", "", TEXT(certifications[[#This Row],[ISSUE DATE]], "MMM"))</f>
        <v>Sep</v>
      </c>
      <c r="L1705" s="35" t="str">
        <f>IF(certifications[[#This Row],[ISSUE DATE]]="", "", TEXT(certifications[[#This Row],[ISSUE DATE]], "YYYY"))</f>
        <v>2024</v>
      </c>
    </row>
    <row r="1706" spans="1:12" s="29" customFormat="1" ht="23.95" customHeight="1" x14ac:dyDescent="0.3">
      <c r="A1706" s="31"/>
      <c r="B1706" s="24">
        <v>1693</v>
      </c>
      <c r="C1706" s="24" t="s">
        <v>1739</v>
      </c>
      <c r="D1706" s="24" t="s">
        <v>13</v>
      </c>
      <c r="E1706" s="24" t="s">
        <v>9</v>
      </c>
      <c r="F1706" s="24">
        <v>7939</v>
      </c>
      <c r="G1706" s="25">
        <v>41501</v>
      </c>
      <c r="H1706" s="25">
        <v>45884</v>
      </c>
      <c r="I1706" s="24" t="s">
        <v>10</v>
      </c>
      <c r="J1706" s="24" t="s">
        <v>14</v>
      </c>
      <c r="K1706" s="24" t="str">
        <f>IF(certifications[[#This Row],[ISSUE DATE]]="", "", TEXT(certifications[[#This Row],[ISSUE DATE]], "MMM"))</f>
        <v>Aug</v>
      </c>
      <c r="L1706" s="35" t="str">
        <f>IF(certifications[[#This Row],[ISSUE DATE]]="", "", TEXT(certifications[[#This Row],[ISSUE DATE]], "YYYY"))</f>
        <v>2013</v>
      </c>
    </row>
    <row r="1707" spans="1:12" s="29" customFormat="1" ht="23.95" customHeight="1" x14ac:dyDescent="0.3">
      <c r="A1707" s="31"/>
      <c r="B1707" s="24">
        <v>1694</v>
      </c>
      <c r="C1707" s="24" t="s">
        <v>1740</v>
      </c>
      <c r="D1707" s="24" t="s">
        <v>32</v>
      </c>
      <c r="E1707" s="24" t="s">
        <v>9</v>
      </c>
      <c r="F1707" s="24">
        <v>19394</v>
      </c>
      <c r="G1707" s="25">
        <v>45244</v>
      </c>
      <c r="H1707" s="25">
        <v>45975</v>
      </c>
      <c r="I1707" s="24" t="s">
        <v>10</v>
      </c>
      <c r="J1707" s="24" t="s">
        <v>33</v>
      </c>
      <c r="K1707" s="24" t="str">
        <f>IF(certifications[[#This Row],[ISSUE DATE]]="", "", TEXT(certifications[[#This Row],[ISSUE DATE]], "MMM"))</f>
        <v>Nov</v>
      </c>
      <c r="L1707" s="35" t="str">
        <f>IF(certifications[[#This Row],[ISSUE DATE]]="", "", TEXT(certifications[[#This Row],[ISSUE DATE]], "YYYY"))</f>
        <v>2023</v>
      </c>
    </row>
    <row r="1708" spans="1:12" s="29" customFormat="1" ht="23.95" customHeight="1" x14ac:dyDescent="0.3">
      <c r="A1708" s="31"/>
      <c r="B1708" s="24">
        <v>1695</v>
      </c>
      <c r="C1708" s="24" t="s">
        <v>1741</v>
      </c>
      <c r="D1708" s="24" t="s">
        <v>55</v>
      </c>
      <c r="E1708" s="24" t="s">
        <v>9</v>
      </c>
      <c r="F1708" s="24">
        <v>15010</v>
      </c>
      <c r="G1708" s="25">
        <v>43840</v>
      </c>
      <c r="H1708" s="25">
        <v>44571</v>
      </c>
      <c r="I1708" s="24" t="s">
        <v>16</v>
      </c>
      <c r="J1708" s="24" t="s">
        <v>11</v>
      </c>
      <c r="K1708" s="24" t="str">
        <f>IF(certifications[[#This Row],[ISSUE DATE]]="", "", TEXT(certifications[[#This Row],[ISSUE DATE]], "MMM"))</f>
        <v>Jan</v>
      </c>
      <c r="L1708" s="35" t="str">
        <f>IF(certifications[[#This Row],[ISSUE DATE]]="", "", TEXT(certifications[[#This Row],[ISSUE DATE]], "YYYY"))</f>
        <v>2020</v>
      </c>
    </row>
    <row r="1709" spans="1:12" s="29" customFormat="1" ht="23.95" customHeight="1" x14ac:dyDescent="0.3">
      <c r="A1709" s="31"/>
      <c r="B1709" s="24">
        <v>1696</v>
      </c>
      <c r="C1709" s="24" t="s">
        <v>1741</v>
      </c>
      <c r="D1709" s="24" t="s">
        <v>55</v>
      </c>
      <c r="E1709" s="24" t="s">
        <v>26</v>
      </c>
      <c r="F1709" s="24">
        <v>15010</v>
      </c>
      <c r="G1709" s="25">
        <v>44278</v>
      </c>
      <c r="H1709" s="25">
        <v>45008</v>
      </c>
      <c r="I1709" s="24" t="s">
        <v>16</v>
      </c>
      <c r="J1709" s="24" t="s">
        <v>11</v>
      </c>
      <c r="K1709" s="24" t="str">
        <f>IF(certifications[[#This Row],[ISSUE DATE]]="", "", TEXT(certifications[[#This Row],[ISSUE DATE]], "MMM"))</f>
        <v>Mar</v>
      </c>
      <c r="L1709" s="35" t="str">
        <f>IF(certifications[[#This Row],[ISSUE DATE]]="", "", TEXT(certifications[[#This Row],[ISSUE DATE]], "YYYY"))</f>
        <v>2021</v>
      </c>
    </row>
    <row r="1710" spans="1:12" s="29" customFormat="1" ht="23.95" customHeight="1" x14ac:dyDescent="0.3">
      <c r="A1710" s="31"/>
      <c r="B1710" s="24">
        <v>1697</v>
      </c>
      <c r="C1710" s="24" t="s">
        <v>1742</v>
      </c>
      <c r="D1710" s="24" t="s">
        <v>18</v>
      </c>
      <c r="E1710" s="24" t="s">
        <v>9</v>
      </c>
      <c r="F1710" s="24">
        <v>13712</v>
      </c>
      <c r="G1710" s="25">
        <v>43640</v>
      </c>
      <c r="H1710" s="25">
        <v>45101</v>
      </c>
      <c r="I1710" s="24" t="s">
        <v>16</v>
      </c>
      <c r="J1710" s="24" t="s">
        <v>19</v>
      </c>
      <c r="K1710" s="24" t="str">
        <f>IF(certifications[[#This Row],[ISSUE DATE]]="", "", TEXT(certifications[[#This Row],[ISSUE DATE]], "MMM"))</f>
        <v>Jun</v>
      </c>
      <c r="L1710" s="35" t="str">
        <f>IF(certifications[[#This Row],[ISSUE DATE]]="", "", TEXT(certifications[[#This Row],[ISSUE DATE]], "YYYY"))</f>
        <v>2019</v>
      </c>
    </row>
    <row r="1711" spans="1:12" s="29" customFormat="1" ht="23.95" customHeight="1" x14ac:dyDescent="0.3">
      <c r="A1711" s="31"/>
      <c r="B1711" s="24">
        <v>1698</v>
      </c>
      <c r="C1711" s="24" t="s">
        <v>1743</v>
      </c>
      <c r="D1711" s="24" t="s">
        <v>8</v>
      </c>
      <c r="E1711" s="24" t="s">
        <v>9</v>
      </c>
      <c r="F1711" s="24">
        <v>17400</v>
      </c>
      <c r="G1711" s="25">
        <v>44679</v>
      </c>
      <c r="H1711" s="25">
        <v>46140</v>
      </c>
      <c r="I1711" s="24" t="s">
        <v>10</v>
      </c>
      <c r="J1711" s="24" t="s">
        <v>11</v>
      </c>
      <c r="K1711" s="24" t="str">
        <f>IF(certifications[[#This Row],[ISSUE DATE]]="", "", TEXT(certifications[[#This Row],[ISSUE DATE]], "MMM"))</f>
        <v>Apr</v>
      </c>
      <c r="L1711" s="35" t="str">
        <f>IF(certifications[[#This Row],[ISSUE DATE]]="", "", TEXT(certifications[[#This Row],[ISSUE DATE]], "YYYY"))</f>
        <v>2022</v>
      </c>
    </row>
    <row r="1712" spans="1:12" s="29" customFormat="1" ht="23.95" customHeight="1" x14ac:dyDescent="0.3">
      <c r="A1712" s="31"/>
      <c r="B1712" s="24">
        <v>1699</v>
      </c>
      <c r="C1712" s="24" t="s">
        <v>1744</v>
      </c>
      <c r="D1712" s="24" t="s">
        <v>32</v>
      </c>
      <c r="E1712" s="24" t="s">
        <v>9</v>
      </c>
      <c r="F1712" s="24">
        <v>10651</v>
      </c>
      <c r="G1712" s="25">
        <v>43118</v>
      </c>
      <c r="H1712" s="25">
        <v>46040</v>
      </c>
      <c r="I1712" s="24" t="s">
        <v>10</v>
      </c>
      <c r="J1712" s="24" t="s">
        <v>33</v>
      </c>
      <c r="K1712" s="24" t="str">
        <f>IF(certifications[[#This Row],[ISSUE DATE]]="", "", TEXT(certifications[[#This Row],[ISSUE DATE]], "MMM"))</f>
        <v>Jan</v>
      </c>
      <c r="L1712" s="35" t="str">
        <f>IF(certifications[[#This Row],[ISSUE DATE]]="", "", TEXT(certifications[[#This Row],[ISSUE DATE]], "YYYY"))</f>
        <v>2018</v>
      </c>
    </row>
    <row r="1713" spans="1:12" s="29" customFormat="1" ht="23.95" customHeight="1" x14ac:dyDescent="0.3">
      <c r="A1713" s="31"/>
      <c r="B1713" s="24">
        <v>1700</v>
      </c>
      <c r="C1713" s="24" t="s">
        <v>1745</v>
      </c>
      <c r="D1713" s="24" t="s">
        <v>273</v>
      </c>
      <c r="E1713" s="24" t="s">
        <v>9</v>
      </c>
      <c r="F1713" s="24">
        <v>14423</v>
      </c>
      <c r="G1713" s="25">
        <v>43697</v>
      </c>
      <c r="H1713" s="25">
        <v>44428</v>
      </c>
      <c r="I1713" s="24" t="s">
        <v>16</v>
      </c>
      <c r="J1713" s="24" t="s">
        <v>30</v>
      </c>
      <c r="K1713" s="24" t="str">
        <f>IF(certifications[[#This Row],[ISSUE DATE]]="", "", TEXT(certifications[[#This Row],[ISSUE DATE]], "MMM"))</f>
        <v>Aug</v>
      </c>
      <c r="L1713" s="35" t="str">
        <f>IF(certifications[[#This Row],[ISSUE DATE]]="", "", TEXT(certifications[[#This Row],[ISSUE DATE]], "YYYY"))</f>
        <v>2019</v>
      </c>
    </row>
    <row r="1714" spans="1:12" s="29" customFormat="1" ht="23.95" customHeight="1" x14ac:dyDescent="0.3">
      <c r="A1714" s="31"/>
      <c r="B1714" s="24">
        <v>1701</v>
      </c>
      <c r="C1714" s="24" t="s">
        <v>1746</v>
      </c>
      <c r="D1714" s="24" t="s">
        <v>848</v>
      </c>
      <c r="E1714" s="24" t="s">
        <v>9</v>
      </c>
      <c r="F1714" s="24">
        <v>9164</v>
      </c>
      <c r="G1714" s="25">
        <v>42132</v>
      </c>
      <c r="H1714" s="25">
        <v>42863</v>
      </c>
      <c r="I1714" s="24" t="s">
        <v>16</v>
      </c>
      <c r="J1714" s="24" t="s">
        <v>38</v>
      </c>
      <c r="K1714" s="24" t="str">
        <f>IF(certifications[[#This Row],[ISSUE DATE]]="", "", TEXT(certifications[[#This Row],[ISSUE DATE]], "MMM"))</f>
        <v>May</v>
      </c>
      <c r="L1714" s="35" t="str">
        <f>IF(certifications[[#This Row],[ISSUE DATE]]="", "", TEXT(certifications[[#This Row],[ISSUE DATE]], "YYYY"))</f>
        <v>2015</v>
      </c>
    </row>
    <row r="1715" spans="1:12" s="29" customFormat="1" ht="23.95" customHeight="1" x14ac:dyDescent="0.3">
      <c r="A1715" s="31"/>
      <c r="B1715" s="24">
        <v>1702</v>
      </c>
      <c r="C1715" s="24" t="s">
        <v>1747</v>
      </c>
      <c r="D1715" s="24" t="s">
        <v>40</v>
      </c>
      <c r="E1715" s="24" t="s">
        <v>9</v>
      </c>
      <c r="F1715" s="24">
        <v>8633</v>
      </c>
      <c r="G1715" s="25">
        <v>41530</v>
      </c>
      <c r="H1715" s="25">
        <v>42260</v>
      </c>
      <c r="I1715" s="24" t="s">
        <v>16</v>
      </c>
      <c r="J1715" s="24" t="s">
        <v>25</v>
      </c>
      <c r="K1715" s="24" t="str">
        <f>IF(certifications[[#This Row],[ISSUE DATE]]="", "", TEXT(certifications[[#This Row],[ISSUE DATE]], "MMM"))</f>
        <v>Sep</v>
      </c>
      <c r="L1715" s="35" t="str">
        <f>IF(certifications[[#This Row],[ISSUE DATE]]="", "", TEXT(certifications[[#This Row],[ISSUE DATE]], "YYYY"))</f>
        <v>2013</v>
      </c>
    </row>
    <row r="1716" spans="1:12" s="29" customFormat="1" ht="23.95" customHeight="1" x14ac:dyDescent="0.3">
      <c r="A1716" s="31"/>
      <c r="B1716" s="24">
        <v>1703</v>
      </c>
      <c r="C1716" s="24" t="s">
        <v>1748</v>
      </c>
      <c r="D1716" s="24" t="s">
        <v>40</v>
      </c>
      <c r="E1716" s="24" t="s">
        <v>9</v>
      </c>
      <c r="F1716" s="24">
        <v>18691</v>
      </c>
      <c r="G1716" s="25">
        <v>45084</v>
      </c>
      <c r="H1716" s="25">
        <v>45815</v>
      </c>
      <c r="I1716" s="24" t="s">
        <v>82</v>
      </c>
      <c r="J1716" s="24" t="s">
        <v>25</v>
      </c>
      <c r="K1716" s="24" t="str">
        <f>IF(certifications[[#This Row],[ISSUE DATE]]="", "", TEXT(certifications[[#This Row],[ISSUE DATE]], "MMM"))</f>
        <v>Jun</v>
      </c>
      <c r="L1716" s="35" t="str">
        <f>IF(certifications[[#This Row],[ISSUE DATE]]="", "", TEXT(certifications[[#This Row],[ISSUE DATE]], "YYYY"))</f>
        <v>2023</v>
      </c>
    </row>
    <row r="1717" spans="1:12" s="29" customFormat="1" ht="23.95" customHeight="1" x14ac:dyDescent="0.3">
      <c r="A1717" s="31"/>
      <c r="B1717" s="24">
        <v>1704</v>
      </c>
      <c r="C1717" s="24" t="s">
        <v>1749</v>
      </c>
      <c r="D1717" s="24" t="s">
        <v>13</v>
      </c>
      <c r="E1717" s="24" t="s">
        <v>9</v>
      </c>
      <c r="F1717" s="24">
        <v>10296</v>
      </c>
      <c r="G1717" s="25">
        <v>42915</v>
      </c>
      <c r="H1717" s="25">
        <v>46567</v>
      </c>
      <c r="I1717" s="24" t="s">
        <v>10</v>
      </c>
      <c r="J1717" s="24" t="s">
        <v>14</v>
      </c>
      <c r="K1717" s="24" t="str">
        <f>IF(certifications[[#This Row],[ISSUE DATE]]="", "", TEXT(certifications[[#This Row],[ISSUE DATE]], "MMM"))</f>
        <v>Jun</v>
      </c>
      <c r="L1717" s="35" t="str">
        <f>IF(certifications[[#This Row],[ISSUE DATE]]="", "", TEXT(certifications[[#This Row],[ISSUE DATE]], "YYYY"))</f>
        <v>2017</v>
      </c>
    </row>
    <row r="1718" spans="1:12" s="29" customFormat="1" ht="23.95" customHeight="1" x14ac:dyDescent="0.3">
      <c r="A1718" s="31"/>
      <c r="B1718" s="24">
        <v>1705</v>
      </c>
      <c r="C1718" s="24" t="s">
        <v>1750</v>
      </c>
      <c r="D1718" s="24" t="s">
        <v>109</v>
      </c>
      <c r="E1718" s="24" t="s">
        <v>26</v>
      </c>
      <c r="F1718" s="24">
        <v>19534</v>
      </c>
      <c r="G1718" s="25">
        <v>45272</v>
      </c>
      <c r="H1718" s="25">
        <v>46003</v>
      </c>
      <c r="I1718" s="24" t="s">
        <v>10</v>
      </c>
      <c r="J1718" s="24" t="s">
        <v>38</v>
      </c>
      <c r="K1718" s="24" t="str">
        <f>IF(certifications[[#This Row],[ISSUE DATE]]="", "", TEXT(certifications[[#This Row],[ISSUE DATE]], "MMM"))</f>
        <v>Dec</v>
      </c>
      <c r="L1718" s="35" t="str">
        <f>IF(certifications[[#This Row],[ISSUE DATE]]="", "", TEXT(certifications[[#This Row],[ISSUE DATE]], "YYYY"))</f>
        <v>2023</v>
      </c>
    </row>
    <row r="1719" spans="1:12" s="29" customFormat="1" ht="23.95" customHeight="1" x14ac:dyDescent="0.3">
      <c r="A1719" s="31"/>
      <c r="B1719" s="24">
        <v>1706</v>
      </c>
      <c r="C1719" s="24" t="s">
        <v>1751</v>
      </c>
      <c r="D1719" s="24" t="s">
        <v>13</v>
      </c>
      <c r="E1719" s="24" t="s">
        <v>9</v>
      </c>
      <c r="F1719" s="24">
        <v>9657</v>
      </c>
      <c r="G1719" s="25">
        <v>42537</v>
      </c>
      <c r="H1719" s="25">
        <v>43267</v>
      </c>
      <c r="I1719" s="24" t="s">
        <v>16</v>
      </c>
      <c r="J1719" s="24" t="s">
        <v>14</v>
      </c>
      <c r="K1719" s="24" t="str">
        <f>IF(certifications[[#This Row],[ISSUE DATE]]="", "", TEXT(certifications[[#This Row],[ISSUE DATE]], "MMM"))</f>
        <v>Jun</v>
      </c>
      <c r="L1719" s="35" t="str">
        <f>IF(certifications[[#This Row],[ISSUE DATE]]="", "", TEXT(certifications[[#This Row],[ISSUE DATE]], "YYYY"))</f>
        <v>2016</v>
      </c>
    </row>
    <row r="1720" spans="1:12" s="29" customFormat="1" ht="23.95" customHeight="1" x14ac:dyDescent="0.3">
      <c r="A1720" s="31"/>
      <c r="B1720" s="24">
        <v>1707</v>
      </c>
      <c r="C1720" s="24" t="s">
        <v>1752</v>
      </c>
      <c r="D1720" s="24" t="s">
        <v>1183</v>
      </c>
      <c r="E1720" s="24" t="s">
        <v>9</v>
      </c>
      <c r="F1720" s="24">
        <v>9739</v>
      </c>
      <c r="G1720" s="25">
        <v>42586</v>
      </c>
      <c r="H1720" s="25">
        <v>45508</v>
      </c>
      <c r="I1720" s="24" t="s">
        <v>82</v>
      </c>
      <c r="J1720" s="24" t="s">
        <v>19</v>
      </c>
      <c r="K1720" s="24" t="str">
        <f>IF(certifications[[#This Row],[ISSUE DATE]]="", "", TEXT(certifications[[#This Row],[ISSUE DATE]], "MMM"))</f>
        <v>Aug</v>
      </c>
      <c r="L1720" s="35" t="str">
        <f>IF(certifications[[#This Row],[ISSUE DATE]]="", "", TEXT(certifications[[#This Row],[ISSUE DATE]], "YYYY"))</f>
        <v>2016</v>
      </c>
    </row>
    <row r="1721" spans="1:12" s="29" customFormat="1" ht="23.95" customHeight="1" x14ac:dyDescent="0.3">
      <c r="A1721" s="31"/>
      <c r="B1721" s="24">
        <v>1708</v>
      </c>
      <c r="C1721" s="3" t="s">
        <v>1752</v>
      </c>
      <c r="D1721" s="3" t="s">
        <v>1183</v>
      </c>
      <c r="E1721" s="3" t="s">
        <v>27</v>
      </c>
      <c r="F1721" s="3">
        <v>9739</v>
      </c>
      <c r="G1721" s="4">
        <v>44606</v>
      </c>
      <c r="H1721" s="4">
        <v>46067</v>
      </c>
      <c r="I1721" s="3" t="s">
        <v>10</v>
      </c>
      <c r="J1721" s="3" t="s">
        <v>19</v>
      </c>
      <c r="K1721" s="3" t="str">
        <f>IF(certifications[[#This Row],[ISSUE DATE]]="", "", TEXT(certifications[[#This Row],[ISSUE DATE]], "MMM"))</f>
        <v>Feb</v>
      </c>
      <c r="L1721" s="36" t="str">
        <f>IF(certifications[[#This Row],[ISSUE DATE]]="", "", TEXT(certifications[[#This Row],[ISSUE DATE]], "YYYY"))</f>
        <v>2022</v>
      </c>
    </row>
    <row r="1722" spans="1:12" s="29" customFormat="1" ht="23.95" customHeight="1" x14ac:dyDescent="0.3">
      <c r="A1722" s="31"/>
      <c r="B1722" s="24">
        <v>1709</v>
      </c>
      <c r="C1722" s="24" t="s">
        <v>1753</v>
      </c>
      <c r="D1722" s="24" t="s">
        <v>1754</v>
      </c>
      <c r="E1722" s="24" t="s">
        <v>9</v>
      </c>
      <c r="F1722" s="24">
        <v>9451</v>
      </c>
      <c r="G1722" s="25">
        <v>42346</v>
      </c>
      <c r="H1722" s="25">
        <v>43077</v>
      </c>
      <c r="I1722" s="24" t="s">
        <v>16</v>
      </c>
      <c r="J1722" s="24" t="s">
        <v>30</v>
      </c>
      <c r="K1722" s="24" t="str">
        <f>IF(certifications[[#This Row],[ISSUE DATE]]="", "", TEXT(certifications[[#This Row],[ISSUE DATE]], "MMM"))</f>
        <v>Dec</v>
      </c>
      <c r="L1722" s="35" t="str">
        <f>IF(certifications[[#This Row],[ISSUE DATE]]="", "", TEXT(certifications[[#This Row],[ISSUE DATE]], "YYYY"))</f>
        <v>2015</v>
      </c>
    </row>
    <row r="1723" spans="1:12" s="29" customFormat="1" ht="23.95" customHeight="1" x14ac:dyDescent="0.3">
      <c r="A1723" s="31"/>
      <c r="B1723" s="24">
        <v>1710</v>
      </c>
      <c r="C1723" s="24" t="s">
        <v>1755</v>
      </c>
      <c r="D1723" s="24" t="s">
        <v>431</v>
      </c>
      <c r="E1723" s="24" t="s">
        <v>9</v>
      </c>
      <c r="F1723" s="24">
        <v>17036</v>
      </c>
      <c r="G1723" s="25">
        <v>44822</v>
      </c>
      <c r="H1723" s="25">
        <v>45553</v>
      </c>
      <c r="I1723" s="24" t="s">
        <v>82</v>
      </c>
      <c r="J1723" s="24" t="s">
        <v>22</v>
      </c>
      <c r="K1723" s="24" t="str">
        <f>IF(certifications[[#This Row],[ISSUE DATE]]="", "", TEXT(certifications[[#This Row],[ISSUE DATE]], "MMM"))</f>
        <v>Sep</v>
      </c>
      <c r="L1723" s="35" t="str">
        <f>IF(certifications[[#This Row],[ISSUE DATE]]="", "", TEXT(certifications[[#This Row],[ISSUE DATE]], "YYYY"))</f>
        <v>2022</v>
      </c>
    </row>
    <row r="1724" spans="1:12" s="29" customFormat="1" ht="23.95" customHeight="1" x14ac:dyDescent="0.3">
      <c r="A1724" s="31"/>
      <c r="B1724" s="24">
        <v>1711</v>
      </c>
      <c r="C1724" s="24" t="s">
        <v>1756</v>
      </c>
      <c r="D1724" s="24" t="s">
        <v>32</v>
      </c>
      <c r="E1724" s="24" t="s">
        <v>9</v>
      </c>
      <c r="F1724" s="24">
        <v>13333</v>
      </c>
      <c r="G1724" s="25">
        <v>43599</v>
      </c>
      <c r="H1724" s="25">
        <v>44330</v>
      </c>
      <c r="I1724" s="24" t="s">
        <v>16</v>
      </c>
      <c r="J1724" s="24" t="s">
        <v>33</v>
      </c>
      <c r="K1724" s="24" t="str">
        <f>IF(certifications[[#This Row],[ISSUE DATE]]="", "", TEXT(certifications[[#This Row],[ISSUE DATE]], "MMM"))</f>
        <v>May</v>
      </c>
      <c r="L1724" s="35" t="str">
        <f>IF(certifications[[#This Row],[ISSUE DATE]]="", "", TEXT(certifications[[#This Row],[ISSUE DATE]], "YYYY"))</f>
        <v>2019</v>
      </c>
    </row>
    <row r="1725" spans="1:12" s="29" customFormat="1" ht="23.95" customHeight="1" x14ac:dyDescent="0.3">
      <c r="A1725" s="31"/>
      <c r="B1725" s="24">
        <v>1712</v>
      </c>
      <c r="C1725" s="24" t="s">
        <v>1757</v>
      </c>
      <c r="D1725" s="24" t="s">
        <v>515</v>
      </c>
      <c r="E1725" s="24" t="s">
        <v>9</v>
      </c>
      <c r="F1725" s="24">
        <v>11827</v>
      </c>
      <c r="G1725" s="25">
        <v>43279</v>
      </c>
      <c r="H1725" s="25">
        <v>44740</v>
      </c>
      <c r="I1725" s="24" t="s">
        <v>16</v>
      </c>
      <c r="J1725" s="24" t="s">
        <v>14</v>
      </c>
      <c r="K1725" s="24" t="str">
        <f>IF(certifications[[#This Row],[ISSUE DATE]]="", "", TEXT(certifications[[#This Row],[ISSUE DATE]], "MMM"))</f>
        <v>Jun</v>
      </c>
      <c r="L1725" s="35" t="str">
        <f>IF(certifications[[#This Row],[ISSUE DATE]]="", "", TEXT(certifications[[#This Row],[ISSUE DATE]], "YYYY"))</f>
        <v>2018</v>
      </c>
    </row>
    <row r="1726" spans="1:12" s="29" customFormat="1" ht="23.95" customHeight="1" x14ac:dyDescent="0.3">
      <c r="A1726" s="31"/>
      <c r="B1726" s="24">
        <v>1713</v>
      </c>
      <c r="C1726" s="24" t="s">
        <v>1758</v>
      </c>
      <c r="D1726" s="24" t="s">
        <v>48</v>
      </c>
      <c r="E1726" s="24" t="s">
        <v>9</v>
      </c>
      <c r="F1726" s="24">
        <v>21213</v>
      </c>
      <c r="G1726" s="25">
        <v>45631</v>
      </c>
      <c r="H1726" s="25">
        <v>46361</v>
      </c>
      <c r="I1726" s="24" t="s">
        <v>10</v>
      </c>
      <c r="J1726" s="24" t="s">
        <v>38</v>
      </c>
      <c r="K1726" s="24" t="str">
        <f>IF(certifications[[#This Row],[ISSUE DATE]]="", "", TEXT(certifications[[#This Row],[ISSUE DATE]], "MMM"))</f>
        <v>Dec</v>
      </c>
      <c r="L1726" s="35" t="str">
        <f>IF(certifications[[#This Row],[ISSUE DATE]]="", "", TEXT(certifications[[#This Row],[ISSUE DATE]], "YYYY"))</f>
        <v>2024</v>
      </c>
    </row>
    <row r="1727" spans="1:12" s="29" customFormat="1" ht="23.95" customHeight="1" x14ac:dyDescent="0.3">
      <c r="A1727" s="31"/>
      <c r="B1727" s="24">
        <v>1714</v>
      </c>
      <c r="C1727" s="24" t="s">
        <v>1759</v>
      </c>
      <c r="D1727" s="24" t="s">
        <v>29</v>
      </c>
      <c r="E1727" s="24" t="s">
        <v>9</v>
      </c>
      <c r="F1727" s="24">
        <v>21649</v>
      </c>
      <c r="G1727" s="25">
        <v>45721</v>
      </c>
      <c r="H1727" s="25">
        <v>46451</v>
      </c>
      <c r="I1727" s="24" t="s">
        <v>10</v>
      </c>
      <c r="J1727" s="24" t="s">
        <v>30</v>
      </c>
      <c r="K1727" s="24" t="str">
        <f>IF(certifications[[#This Row],[ISSUE DATE]]="", "", TEXT(certifications[[#This Row],[ISSUE DATE]], "MMM"))</f>
        <v>Mar</v>
      </c>
      <c r="L1727" s="35" t="str">
        <f>IF(certifications[[#This Row],[ISSUE DATE]]="", "", TEXT(certifications[[#This Row],[ISSUE DATE]], "YYYY"))</f>
        <v>2025</v>
      </c>
    </row>
    <row r="1728" spans="1:12" s="29" customFormat="1" ht="23.95" customHeight="1" x14ac:dyDescent="0.3">
      <c r="A1728" s="31"/>
      <c r="B1728" s="24">
        <v>1715</v>
      </c>
      <c r="C1728" s="24" t="s">
        <v>1759</v>
      </c>
      <c r="D1728" s="24" t="s">
        <v>29</v>
      </c>
      <c r="E1728" s="24" t="s">
        <v>26</v>
      </c>
      <c r="F1728" s="24">
        <v>21649</v>
      </c>
      <c r="G1728" s="25">
        <v>45721</v>
      </c>
      <c r="H1728" s="25">
        <v>46451</v>
      </c>
      <c r="I1728" s="24" t="s">
        <v>10</v>
      </c>
      <c r="J1728" s="24" t="s">
        <v>30</v>
      </c>
      <c r="K1728" s="24" t="str">
        <f>IF(certifications[[#This Row],[ISSUE DATE]]="", "", TEXT(certifications[[#This Row],[ISSUE DATE]], "MMM"))</f>
        <v>Mar</v>
      </c>
      <c r="L1728" s="35" t="str">
        <f>IF(certifications[[#This Row],[ISSUE DATE]]="", "", TEXT(certifications[[#This Row],[ISSUE DATE]], "YYYY"))</f>
        <v>2025</v>
      </c>
    </row>
    <row r="1729" spans="1:12" s="29" customFormat="1" ht="23.95" customHeight="1" x14ac:dyDescent="0.3">
      <c r="A1729" s="31"/>
      <c r="B1729" s="24">
        <v>1716</v>
      </c>
      <c r="C1729" s="24" t="s">
        <v>1760</v>
      </c>
      <c r="D1729" s="24" t="s">
        <v>32</v>
      </c>
      <c r="E1729" s="24" t="s">
        <v>9</v>
      </c>
      <c r="F1729" s="24">
        <v>9045</v>
      </c>
      <c r="G1729" s="25">
        <v>44284</v>
      </c>
      <c r="H1729" s="25">
        <v>45014</v>
      </c>
      <c r="I1729" s="24" t="s">
        <v>16</v>
      </c>
      <c r="J1729" s="24" t="s">
        <v>33</v>
      </c>
      <c r="K1729" s="24" t="str">
        <f>IF(certifications[[#This Row],[ISSUE DATE]]="", "", TEXT(certifications[[#This Row],[ISSUE DATE]], "MMM"))</f>
        <v>Mar</v>
      </c>
      <c r="L1729" s="35" t="str">
        <f>IF(certifications[[#This Row],[ISSUE DATE]]="", "", TEXT(certifications[[#This Row],[ISSUE DATE]], "YYYY"))</f>
        <v>2021</v>
      </c>
    </row>
    <row r="1730" spans="1:12" s="29" customFormat="1" ht="23.95" customHeight="1" x14ac:dyDescent="0.3">
      <c r="A1730" s="31"/>
      <c r="B1730" s="24">
        <v>1717</v>
      </c>
      <c r="C1730" s="24" t="s">
        <v>1761</v>
      </c>
      <c r="D1730" s="24" t="s">
        <v>32</v>
      </c>
      <c r="E1730" s="24" t="s">
        <v>9</v>
      </c>
      <c r="F1730" s="24">
        <v>14000</v>
      </c>
      <c r="G1730" s="25">
        <v>43670</v>
      </c>
      <c r="H1730" s="25">
        <v>45131</v>
      </c>
      <c r="I1730" s="24" t="s">
        <v>16</v>
      </c>
      <c r="J1730" s="24" t="s">
        <v>33</v>
      </c>
      <c r="K1730" s="24" t="str">
        <f>IF(certifications[[#This Row],[ISSUE DATE]]="", "", TEXT(certifications[[#This Row],[ISSUE DATE]], "MMM"))</f>
        <v>Jul</v>
      </c>
      <c r="L1730" s="35" t="str">
        <f>IF(certifications[[#This Row],[ISSUE DATE]]="", "", TEXT(certifications[[#This Row],[ISSUE DATE]], "YYYY"))</f>
        <v>2019</v>
      </c>
    </row>
    <row r="1731" spans="1:12" s="29" customFormat="1" ht="23.95" customHeight="1" x14ac:dyDescent="0.3">
      <c r="A1731" s="31"/>
      <c r="B1731" s="24">
        <v>1718</v>
      </c>
      <c r="C1731" s="24" t="s">
        <v>1762</v>
      </c>
      <c r="D1731" s="24" t="s">
        <v>1272</v>
      </c>
      <c r="E1731" s="24" t="s">
        <v>9</v>
      </c>
      <c r="F1731" s="24">
        <v>14941</v>
      </c>
      <c r="G1731" s="25">
        <v>43818</v>
      </c>
      <c r="H1731" s="25">
        <v>44549</v>
      </c>
      <c r="I1731" s="24" t="s">
        <v>16</v>
      </c>
      <c r="J1731" s="24" t="s">
        <v>38</v>
      </c>
      <c r="K1731" s="24" t="str">
        <f>IF(certifications[[#This Row],[ISSUE DATE]]="", "", TEXT(certifications[[#This Row],[ISSUE DATE]], "MMM"))</f>
        <v>Dec</v>
      </c>
      <c r="L1731" s="35" t="str">
        <f>IF(certifications[[#This Row],[ISSUE DATE]]="", "", TEXT(certifications[[#This Row],[ISSUE DATE]], "YYYY"))</f>
        <v>2019</v>
      </c>
    </row>
    <row r="1732" spans="1:12" s="29" customFormat="1" ht="23.95" customHeight="1" x14ac:dyDescent="0.3">
      <c r="A1732" s="31"/>
      <c r="B1732" s="24">
        <v>1719</v>
      </c>
      <c r="C1732" s="24" t="s">
        <v>1763</v>
      </c>
      <c r="D1732" s="24" t="s">
        <v>55</v>
      </c>
      <c r="E1732" s="24" t="s">
        <v>9</v>
      </c>
      <c r="F1732" s="24">
        <v>13567</v>
      </c>
      <c r="G1732" s="25">
        <v>43630</v>
      </c>
      <c r="H1732" s="25">
        <v>46552</v>
      </c>
      <c r="I1732" s="24" t="s">
        <v>10</v>
      </c>
      <c r="J1732" s="24" t="s">
        <v>11</v>
      </c>
      <c r="K1732" s="24" t="str">
        <f>IF(certifications[[#This Row],[ISSUE DATE]]="", "", TEXT(certifications[[#This Row],[ISSUE DATE]], "MMM"))</f>
        <v>Jun</v>
      </c>
      <c r="L1732" s="35" t="str">
        <f>IF(certifications[[#This Row],[ISSUE DATE]]="", "", TEXT(certifications[[#This Row],[ISSUE DATE]], "YYYY"))</f>
        <v>2019</v>
      </c>
    </row>
    <row r="1733" spans="1:12" s="29" customFormat="1" ht="23.95" customHeight="1" x14ac:dyDescent="0.3">
      <c r="A1733" s="31"/>
      <c r="B1733" s="24">
        <v>1720</v>
      </c>
      <c r="C1733" s="24" t="s">
        <v>1763</v>
      </c>
      <c r="D1733" s="24" t="s">
        <v>55</v>
      </c>
      <c r="E1733" s="24" t="s">
        <v>26</v>
      </c>
      <c r="F1733" s="24">
        <v>13567</v>
      </c>
      <c r="G1733" s="25">
        <v>44152</v>
      </c>
      <c r="H1733" s="25">
        <v>46343</v>
      </c>
      <c r="I1733" s="24" t="s">
        <v>10</v>
      </c>
      <c r="J1733" s="24" t="s">
        <v>11</v>
      </c>
      <c r="K1733" s="24" t="str">
        <f>IF(certifications[[#This Row],[ISSUE DATE]]="", "", TEXT(certifications[[#This Row],[ISSUE DATE]], "MMM"))</f>
        <v>Nov</v>
      </c>
      <c r="L1733" s="35" t="str">
        <f>IF(certifications[[#This Row],[ISSUE DATE]]="", "", TEXT(certifications[[#This Row],[ISSUE DATE]], "YYYY"))</f>
        <v>2020</v>
      </c>
    </row>
    <row r="1734" spans="1:12" s="29" customFormat="1" ht="23.95" customHeight="1" x14ac:dyDescent="0.3">
      <c r="A1734" s="31"/>
      <c r="B1734" s="24">
        <v>1721</v>
      </c>
      <c r="C1734" s="24" t="s">
        <v>1764</v>
      </c>
      <c r="D1734" s="24" t="s">
        <v>40</v>
      </c>
      <c r="E1734" s="24" t="s">
        <v>9</v>
      </c>
      <c r="F1734" s="24">
        <v>17690</v>
      </c>
      <c r="G1734" s="25">
        <v>44770</v>
      </c>
      <c r="H1734" s="25">
        <v>45501</v>
      </c>
      <c r="I1734" s="24" t="s">
        <v>82</v>
      </c>
      <c r="J1734" s="24" t="s">
        <v>25</v>
      </c>
      <c r="K1734" s="24" t="str">
        <f>IF(certifications[[#This Row],[ISSUE DATE]]="", "", TEXT(certifications[[#This Row],[ISSUE DATE]], "MMM"))</f>
        <v>Jul</v>
      </c>
      <c r="L1734" s="35" t="str">
        <f>IF(certifications[[#This Row],[ISSUE DATE]]="", "", TEXT(certifications[[#This Row],[ISSUE DATE]], "YYYY"))</f>
        <v>2022</v>
      </c>
    </row>
    <row r="1735" spans="1:12" s="29" customFormat="1" ht="23.95" customHeight="1" x14ac:dyDescent="0.3">
      <c r="A1735" s="31"/>
      <c r="B1735" s="24">
        <v>1722</v>
      </c>
      <c r="C1735" s="24" t="s">
        <v>1765</v>
      </c>
      <c r="D1735" s="24" t="s">
        <v>32</v>
      </c>
      <c r="E1735" s="24" t="s">
        <v>26</v>
      </c>
      <c r="F1735" s="24">
        <v>17964</v>
      </c>
      <c r="G1735" s="25">
        <v>44853</v>
      </c>
      <c r="H1735" s="25">
        <v>45584</v>
      </c>
      <c r="I1735" s="24" t="s">
        <v>82</v>
      </c>
      <c r="J1735" s="24" t="s">
        <v>33</v>
      </c>
      <c r="K1735" s="24" t="str">
        <f>IF(certifications[[#This Row],[ISSUE DATE]]="", "", TEXT(certifications[[#This Row],[ISSUE DATE]], "MMM"))</f>
        <v>Oct</v>
      </c>
      <c r="L1735" s="35" t="str">
        <f>IF(certifications[[#This Row],[ISSUE DATE]]="", "", TEXT(certifications[[#This Row],[ISSUE DATE]], "YYYY"))</f>
        <v>2022</v>
      </c>
    </row>
    <row r="1736" spans="1:12" s="29" customFormat="1" ht="23.95" customHeight="1" x14ac:dyDescent="0.3">
      <c r="A1736" s="31"/>
      <c r="B1736" s="24">
        <v>1723</v>
      </c>
      <c r="C1736" s="24" t="s">
        <v>1766</v>
      </c>
      <c r="D1736" s="24" t="s">
        <v>32</v>
      </c>
      <c r="E1736" s="24" t="s">
        <v>9</v>
      </c>
      <c r="F1736" s="24">
        <v>13733</v>
      </c>
      <c r="G1736" s="25">
        <v>43641</v>
      </c>
      <c r="H1736" s="25">
        <v>45833</v>
      </c>
      <c r="I1736" s="24" t="s">
        <v>10</v>
      </c>
      <c r="J1736" s="24" t="s">
        <v>33</v>
      </c>
      <c r="K1736" s="24" t="str">
        <f>IF(certifications[[#This Row],[ISSUE DATE]]="", "", TEXT(certifications[[#This Row],[ISSUE DATE]], "MMM"))</f>
        <v>Jun</v>
      </c>
      <c r="L1736" s="35" t="str">
        <f>IF(certifications[[#This Row],[ISSUE DATE]]="", "", TEXT(certifications[[#This Row],[ISSUE DATE]], "YYYY"))</f>
        <v>2019</v>
      </c>
    </row>
    <row r="1737" spans="1:12" s="29" customFormat="1" ht="23.95" customHeight="1" x14ac:dyDescent="0.3">
      <c r="A1737" s="31"/>
      <c r="B1737" s="24">
        <v>1724</v>
      </c>
      <c r="C1737" s="24" t="s">
        <v>1767</v>
      </c>
      <c r="D1737" s="24" t="s">
        <v>88</v>
      </c>
      <c r="E1737" s="24" t="s">
        <v>26</v>
      </c>
      <c r="F1737" s="24">
        <v>13127</v>
      </c>
      <c r="G1737" s="25">
        <v>43559</v>
      </c>
      <c r="H1737" s="25">
        <v>45020</v>
      </c>
      <c r="I1737" s="24" t="s">
        <v>16</v>
      </c>
      <c r="J1737" s="24" t="s">
        <v>19</v>
      </c>
      <c r="K1737" s="24" t="str">
        <f>IF(certifications[[#This Row],[ISSUE DATE]]="", "", TEXT(certifications[[#This Row],[ISSUE DATE]], "MMM"))</f>
        <v>Apr</v>
      </c>
      <c r="L1737" s="35" t="str">
        <f>IF(certifications[[#This Row],[ISSUE DATE]]="", "", TEXT(certifications[[#This Row],[ISSUE DATE]], "YYYY"))</f>
        <v>2019</v>
      </c>
    </row>
    <row r="1738" spans="1:12" s="29" customFormat="1" ht="23.95" customHeight="1" x14ac:dyDescent="0.3">
      <c r="A1738" s="31"/>
      <c r="B1738" s="24">
        <v>1725</v>
      </c>
      <c r="C1738" s="24" t="s">
        <v>1768</v>
      </c>
      <c r="D1738" s="24" t="s">
        <v>32</v>
      </c>
      <c r="E1738" s="24" t="s">
        <v>26</v>
      </c>
      <c r="F1738" s="24">
        <v>12881</v>
      </c>
      <c r="G1738" s="25">
        <v>43518</v>
      </c>
      <c r="H1738" s="25">
        <v>44979</v>
      </c>
      <c r="I1738" s="24" t="s">
        <v>16</v>
      </c>
      <c r="J1738" s="24" t="s">
        <v>33</v>
      </c>
      <c r="K1738" s="24" t="str">
        <f>IF(certifications[[#This Row],[ISSUE DATE]]="", "", TEXT(certifications[[#This Row],[ISSUE DATE]], "MMM"))</f>
        <v>Feb</v>
      </c>
      <c r="L1738" s="35" t="str">
        <f>IF(certifications[[#This Row],[ISSUE DATE]]="", "", TEXT(certifications[[#This Row],[ISSUE DATE]], "YYYY"))</f>
        <v>2019</v>
      </c>
    </row>
    <row r="1739" spans="1:12" s="29" customFormat="1" ht="23.95" customHeight="1" x14ac:dyDescent="0.3">
      <c r="A1739" s="31"/>
      <c r="B1739" s="24">
        <v>1726</v>
      </c>
      <c r="C1739" s="24" t="s">
        <v>1769</v>
      </c>
      <c r="D1739" s="24" t="s">
        <v>305</v>
      </c>
      <c r="E1739" s="24" t="s">
        <v>9</v>
      </c>
      <c r="F1739" s="24">
        <v>21620</v>
      </c>
      <c r="G1739" s="25">
        <v>45715</v>
      </c>
      <c r="H1739" s="25">
        <v>46445</v>
      </c>
      <c r="I1739" s="24" t="s">
        <v>10</v>
      </c>
      <c r="J1739" s="24" t="s">
        <v>22</v>
      </c>
      <c r="K1739" s="24" t="str">
        <f>IF(certifications[[#This Row],[ISSUE DATE]]="", "", TEXT(certifications[[#This Row],[ISSUE DATE]], "MMM"))</f>
        <v>Feb</v>
      </c>
      <c r="L1739" s="35" t="str">
        <f>IF(certifications[[#This Row],[ISSUE DATE]]="", "", TEXT(certifications[[#This Row],[ISSUE DATE]], "YYYY"))</f>
        <v>2025</v>
      </c>
    </row>
    <row r="1740" spans="1:12" s="29" customFormat="1" ht="23.95" customHeight="1" x14ac:dyDescent="0.3">
      <c r="A1740" s="31"/>
      <c r="B1740" s="24">
        <v>1727</v>
      </c>
      <c r="C1740" s="24" t="s">
        <v>1770</v>
      </c>
      <c r="D1740" s="24" t="s">
        <v>24</v>
      </c>
      <c r="E1740" s="24" t="s">
        <v>26</v>
      </c>
      <c r="F1740" s="24">
        <v>21821</v>
      </c>
      <c r="G1740" s="25">
        <v>45757</v>
      </c>
      <c r="H1740" s="25">
        <v>46487</v>
      </c>
      <c r="I1740" s="24" t="s">
        <v>10</v>
      </c>
      <c r="J1740" s="24" t="s">
        <v>25</v>
      </c>
      <c r="K1740" s="24" t="str">
        <f>IF(certifications[[#This Row],[ISSUE DATE]]="", "", TEXT(certifications[[#This Row],[ISSUE DATE]], "MMM"))</f>
        <v>Apr</v>
      </c>
      <c r="L1740" s="35" t="str">
        <f>IF(certifications[[#This Row],[ISSUE DATE]]="", "", TEXT(certifications[[#This Row],[ISSUE DATE]], "YYYY"))</f>
        <v>2025</v>
      </c>
    </row>
    <row r="1741" spans="1:12" s="29" customFormat="1" ht="23.95" customHeight="1" x14ac:dyDescent="0.3">
      <c r="A1741" s="31"/>
      <c r="B1741" s="24">
        <v>1728</v>
      </c>
      <c r="C1741" s="24" t="s">
        <v>1771</v>
      </c>
      <c r="D1741" s="24" t="s">
        <v>40</v>
      </c>
      <c r="E1741" s="24" t="s">
        <v>9</v>
      </c>
      <c r="F1741" s="24">
        <v>10648</v>
      </c>
      <c r="G1741" s="25">
        <v>43118</v>
      </c>
      <c r="H1741" s="25">
        <v>43848</v>
      </c>
      <c r="I1741" s="24" t="s">
        <v>16</v>
      </c>
      <c r="J1741" s="24" t="s">
        <v>25</v>
      </c>
      <c r="K1741" s="24" t="str">
        <f>IF(certifications[[#This Row],[ISSUE DATE]]="", "", TEXT(certifications[[#This Row],[ISSUE DATE]], "MMM"))</f>
        <v>Jan</v>
      </c>
      <c r="L1741" s="35" t="str">
        <f>IF(certifications[[#This Row],[ISSUE DATE]]="", "", TEXT(certifications[[#This Row],[ISSUE DATE]], "YYYY"))</f>
        <v>2018</v>
      </c>
    </row>
    <row r="1742" spans="1:12" s="29" customFormat="1" ht="23.95" customHeight="1" x14ac:dyDescent="0.3">
      <c r="A1742" s="31"/>
      <c r="B1742" s="24">
        <v>1729</v>
      </c>
      <c r="C1742" s="24" t="s">
        <v>1772</v>
      </c>
      <c r="D1742" s="24" t="s">
        <v>57</v>
      </c>
      <c r="E1742" s="24" t="s">
        <v>9</v>
      </c>
      <c r="F1742" s="24">
        <v>8658</v>
      </c>
      <c r="G1742" s="25">
        <v>41577</v>
      </c>
      <c r="H1742" s="25">
        <v>43038</v>
      </c>
      <c r="I1742" s="24" t="s">
        <v>16</v>
      </c>
      <c r="J1742" s="24" t="s">
        <v>38</v>
      </c>
      <c r="K1742" s="24" t="str">
        <f>IF(certifications[[#This Row],[ISSUE DATE]]="", "", TEXT(certifications[[#This Row],[ISSUE DATE]], "MMM"))</f>
        <v>Oct</v>
      </c>
      <c r="L1742" s="35" t="str">
        <f>IF(certifications[[#This Row],[ISSUE DATE]]="", "", TEXT(certifications[[#This Row],[ISSUE DATE]], "YYYY"))</f>
        <v>2013</v>
      </c>
    </row>
    <row r="1743" spans="1:12" s="29" customFormat="1" ht="23.95" customHeight="1" x14ac:dyDescent="0.3">
      <c r="A1743" s="31"/>
      <c r="B1743" s="24">
        <v>1730</v>
      </c>
      <c r="C1743" s="24" t="s">
        <v>1773</v>
      </c>
      <c r="D1743" s="24" t="s">
        <v>32</v>
      </c>
      <c r="E1743" s="24" t="s">
        <v>9</v>
      </c>
      <c r="F1743" s="24">
        <v>8400</v>
      </c>
      <c r="G1743" s="25">
        <v>41393</v>
      </c>
      <c r="H1743" s="25">
        <v>42123</v>
      </c>
      <c r="I1743" s="24" t="s">
        <v>16</v>
      </c>
      <c r="J1743" s="24" t="s">
        <v>33</v>
      </c>
      <c r="K1743" s="24" t="str">
        <f>IF(certifications[[#This Row],[ISSUE DATE]]="", "", TEXT(certifications[[#This Row],[ISSUE DATE]], "MMM"))</f>
        <v>Apr</v>
      </c>
      <c r="L1743" s="35" t="str">
        <f>IF(certifications[[#This Row],[ISSUE DATE]]="", "", TEXT(certifications[[#This Row],[ISSUE DATE]], "YYYY"))</f>
        <v>2013</v>
      </c>
    </row>
    <row r="1744" spans="1:12" s="29" customFormat="1" ht="23.95" customHeight="1" x14ac:dyDescent="0.3">
      <c r="A1744" s="31"/>
      <c r="B1744" s="24">
        <v>1731</v>
      </c>
      <c r="C1744" s="24" t="s">
        <v>1774</v>
      </c>
      <c r="D1744" s="24" t="s">
        <v>390</v>
      </c>
      <c r="E1744" s="24" t="s">
        <v>9</v>
      </c>
      <c r="F1744" s="24">
        <v>9518</v>
      </c>
      <c r="G1744" s="25">
        <v>42411</v>
      </c>
      <c r="H1744" s="25">
        <v>43142</v>
      </c>
      <c r="I1744" s="24" t="s">
        <v>16</v>
      </c>
      <c r="J1744" s="24" t="s">
        <v>22</v>
      </c>
      <c r="K1744" s="24" t="str">
        <f>IF(certifications[[#This Row],[ISSUE DATE]]="", "", TEXT(certifications[[#This Row],[ISSUE DATE]], "MMM"))</f>
        <v>Feb</v>
      </c>
      <c r="L1744" s="35" t="str">
        <f>IF(certifications[[#This Row],[ISSUE DATE]]="", "", TEXT(certifications[[#This Row],[ISSUE DATE]], "YYYY"))</f>
        <v>2016</v>
      </c>
    </row>
    <row r="1745" spans="1:12" s="29" customFormat="1" ht="23.95" customHeight="1" x14ac:dyDescent="0.3">
      <c r="A1745" s="31"/>
      <c r="B1745" s="24">
        <v>1732</v>
      </c>
      <c r="C1745" s="24" t="s">
        <v>1775</v>
      </c>
      <c r="D1745" s="24" t="s">
        <v>32</v>
      </c>
      <c r="E1745" s="24" t="s">
        <v>9</v>
      </c>
      <c r="F1745" s="24">
        <v>10001</v>
      </c>
      <c r="G1745" s="25">
        <v>42753</v>
      </c>
      <c r="H1745" s="25">
        <v>43483</v>
      </c>
      <c r="I1745" s="24" t="s">
        <v>16</v>
      </c>
      <c r="J1745" s="24" t="s">
        <v>33</v>
      </c>
      <c r="K1745" s="24" t="str">
        <f>IF(certifications[[#This Row],[ISSUE DATE]]="", "", TEXT(certifications[[#This Row],[ISSUE DATE]], "MMM"))</f>
        <v>Jan</v>
      </c>
      <c r="L1745" s="35" t="str">
        <f>IF(certifications[[#This Row],[ISSUE DATE]]="", "", TEXT(certifications[[#This Row],[ISSUE DATE]], "YYYY"))</f>
        <v>2017</v>
      </c>
    </row>
    <row r="1746" spans="1:12" s="29" customFormat="1" ht="23.95" customHeight="1" x14ac:dyDescent="0.3">
      <c r="A1746" s="31"/>
      <c r="B1746" s="24">
        <v>1733</v>
      </c>
      <c r="C1746" s="24" t="s">
        <v>1776</v>
      </c>
      <c r="D1746" s="24" t="s">
        <v>1272</v>
      </c>
      <c r="E1746" s="24" t="s">
        <v>26</v>
      </c>
      <c r="F1746" s="24">
        <v>16729</v>
      </c>
      <c r="G1746" s="25">
        <v>44410</v>
      </c>
      <c r="H1746" s="25">
        <v>45140</v>
      </c>
      <c r="I1746" s="24" t="s">
        <v>16</v>
      </c>
      <c r="J1746" s="24" t="s">
        <v>38</v>
      </c>
      <c r="K1746" s="24" t="str">
        <f>IF(certifications[[#This Row],[ISSUE DATE]]="", "", TEXT(certifications[[#This Row],[ISSUE DATE]], "MMM"))</f>
        <v>Aug</v>
      </c>
      <c r="L1746" s="35" t="str">
        <f>IF(certifications[[#This Row],[ISSUE DATE]]="", "", TEXT(certifications[[#This Row],[ISSUE DATE]], "YYYY"))</f>
        <v>2021</v>
      </c>
    </row>
    <row r="1747" spans="1:12" s="29" customFormat="1" ht="23.95" customHeight="1" x14ac:dyDescent="0.3">
      <c r="A1747" s="31"/>
      <c r="B1747" s="24">
        <v>1734</v>
      </c>
      <c r="C1747" s="24" t="s">
        <v>1777</v>
      </c>
      <c r="D1747" s="24" t="s">
        <v>426</v>
      </c>
      <c r="E1747" s="24" t="s">
        <v>9</v>
      </c>
      <c r="F1747" s="24">
        <v>15518</v>
      </c>
      <c r="G1747" s="25">
        <v>44096</v>
      </c>
      <c r="H1747" s="25">
        <v>44826</v>
      </c>
      <c r="I1747" s="24" t="s">
        <v>16</v>
      </c>
      <c r="J1747" s="24" t="s">
        <v>22</v>
      </c>
      <c r="K1747" s="24" t="str">
        <f>IF(certifications[[#This Row],[ISSUE DATE]]="", "", TEXT(certifications[[#This Row],[ISSUE DATE]], "MMM"))</f>
        <v>Sep</v>
      </c>
      <c r="L1747" s="35" t="str">
        <f>IF(certifications[[#This Row],[ISSUE DATE]]="", "", TEXT(certifications[[#This Row],[ISSUE DATE]], "YYYY"))</f>
        <v>2020</v>
      </c>
    </row>
    <row r="1748" spans="1:12" s="29" customFormat="1" ht="23.95" customHeight="1" x14ac:dyDescent="0.3">
      <c r="A1748" s="31"/>
      <c r="B1748" s="24">
        <v>1735</v>
      </c>
      <c r="C1748" s="24" t="s">
        <v>1778</v>
      </c>
      <c r="D1748" s="24" t="s">
        <v>155</v>
      </c>
      <c r="E1748" s="24" t="s">
        <v>9</v>
      </c>
      <c r="F1748" s="24">
        <v>10476</v>
      </c>
      <c r="G1748" s="25">
        <v>43035</v>
      </c>
      <c r="H1748" s="25">
        <v>43765</v>
      </c>
      <c r="I1748" s="24" t="s">
        <v>16</v>
      </c>
      <c r="J1748" s="24" t="s">
        <v>11</v>
      </c>
      <c r="K1748" s="24" t="str">
        <f>IF(certifications[[#This Row],[ISSUE DATE]]="", "", TEXT(certifications[[#This Row],[ISSUE DATE]], "MMM"))</f>
        <v>Oct</v>
      </c>
      <c r="L1748" s="35" t="str">
        <f>IF(certifications[[#This Row],[ISSUE DATE]]="", "", TEXT(certifications[[#This Row],[ISSUE DATE]], "YYYY"))</f>
        <v>2017</v>
      </c>
    </row>
    <row r="1749" spans="1:12" s="29" customFormat="1" ht="23.95" customHeight="1" x14ac:dyDescent="0.3">
      <c r="A1749" s="31"/>
      <c r="B1749" s="24">
        <v>1736</v>
      </c>
      <c r="C1749" s="24" t="s">
        <v>1779</v>
      </c>
      <c r="D1749" s="24" t="s">
        <v>51</v>
      </c>
      <c r="E1749" s="24" t="s">
        <v>9</v>
      </c>
      <c r="F1749" s="24">
        <v>19597</v>
      </c>
      <c r="G1749" s="25">
        <v>45279</v>
      </c>
      <c r="H1749" s="25">
        <v>46010</v>
      </c>
      <c r="I1749" s="24" t="s">
        <v>10</v>
      </c>
      <c r="J1749" s="24" t="s">
        <v>38</v>
      </c>
      <c r="K1749" s="24" t="str">
        <f>IF(certifications[[#This Row],[ISSUE DATE]]="", "", TEXT(certifications[[#This Row],[ISSUE DATE]], "MMM"))</f>
        <v>Dec</v>
      </c>
      <c r="L1749" s="35" t="str">
        <f>IF(certifications[[#This Row],[ISSUE DATE]]="", "", TEXT(certifications[[#This Row],[ISSUE DATE]], "YYYY"))</f>
        <v>2023</v>
      </c>
    </row>
    <row r="1750" spans="1:12" s="29" customFormat="1" ht="23.95" customHeight="1" x14ac:dyDescent="0.3">
      <c r="A1750" s="31"/>
      <c r="B1750" s="24">
        <v>1737</v>
      </c>
      <c r="C1750" s="24" t="s">
        <v>1780</v>
      </c>
      <c r="D1750" s="24" t="s">
        <v>1057</v>
      </c>
      <c r="E1750" s="24" t="s">
        <v>9</v>
      </c>
      <c r="F1750" s="24">
        <v>2412</v>
      </c>
      <c r="G1750" s="25">
        <v>42151</v>
      </c>
      <c r="H1750" s="25">
        <v>46300</v>
      </c>
      <c r="I1750" s="24" t="s">
        <v>10</v>
      </c>
      <c r="J1750" s="24" t="s">
        <v>19</v>
      </c>
      <c r="K1750" s="24" t="str">
        <f>IF(certifications[[#This Row],[ISSUE DATE]]="", "", TEXT(certifications[[#This Row],[ISSUE DATE]], "MMM"))</f>
        <v>May</v>
      </c>
      <c r="L1750" s="35" t="str">
        <f>IF(certifications[[#This Row],[ISSUE DATE]]="", "", TEXT(certifications[[#This Row],[ISSUE DATE]], "YYYY"))</f>
        <v>2015</v>
      </c>
    </row>
    <row r="1751" spans="1:12" s="29" customFormat="1" ht="23.95" customHeight="1" x14ac:dyDescent="0.3">
      <c r="A1751" s="31"/>
      <c r="B1751" s="24">
        <v>1738</v>
      </c>
      <c r="C1751" s="24" t="s">
        <v>1781</v>
      </c>
      <c r="D1751" s="24" t="s">
        <v>32</v>
      </c>
      <c r="E1751" s="24" t="s">
        <v>9</v>
      </c>
      <c r="F1751" s="24">
        <v>21062</v>
      </c>
      <c r="G1751" s="25">
        <v>45595</v>
      </c>
      <c r="H1751" s="25">
        <v>46325</v>
      </c>
      <c r="I1751" s="24" t="s">
        <v>10</v>
      </c>
      <c r="J1751" s="24" t="s">
        <v>33</v>
      </c>
      <c r="K1751" s="24" t="str">
        <f>IF(certifications[[#This Row],[ISSUE DATE]]="", "", TEXT(certifications[[#This Row],[ISSUE DATE]], "MMM"))</f>
        <v>Oct</v>
      </c>
      <c r="L1751" s="35" t="str">
        <f>IF(certifications[[#This Row],[ISSUE DATE]]="", "", TEXT(certifications[[#This Row],[ISSUE DATE]], "YYYY"))</f>
        <v>2024</v>
      </c>
    </row>
    <row r="1752" spans="1:12" s="29" customFormat="1" ht="23.95" customHeight="1" x14ac:dyDescent="0.3">
      <c r="A1752" s="31"/>
      <c r="B1752" s="24">
        <v>1739</v>
      </c>
      <c r="C1752" s="24" t="s">
        <v>1782</v>
      </c>
      <c r="D1752" s="24" t="s">
        <v>150</v>
      </c>
      <c r="E1752" s="24" t="s">
        <v>9</v>
      </c>
      <c r="F1752" s="24">
        <v>21883</v>
      </c>
      <c r="G1752" s="25">
        <v>45774</v>
      </c>
      <c r="H1752" s="25">
        <v>46504</v>
      </c>
      <c r="I1752" s="24" t="s">
        <v>10</v>
      </c>
      <c r="J1752" s="24" t="s">
        <v>14</v>
      </c>
      <c r="K1752" s="24" t="str">
        <f>IF(certifications[[#This Row],[ISSUE DATE]]="", "", TEXT(certifications[[#This Row],[ISSUE DATE]], "MMM"))</f>
        <v>Apr</v>
      </c>
      <c r="L1752" s="35" t="str">
        <f>IF(certifications[[#This Row],[ISSUE DATE]]="", "", TEXT(certifications[[#This Row],[ISSUE DATE]], "YYYY"))</f>
        <v>2025</v>
      </c>
    </row>
    <row r="1753" spans="1:12" s="29" customFormat="1" ht="23.95" customHeight="1" x14ac:dyDescent="0.3">
      <c r="A1753" s="31"/>
      <c r="B1753" s="24">
        <v>1740</v>
      </c>
      <c r="C1753" s="24" t="s">
        <v>1783</v>
      </c>
      <c r="D1753" s="24" t="s">
        <v>32</v>
      </c>
      <c r="E1753" s="24" t="s">
        <v>9</v>
      </c>
      <c r="F1753" s="24">
        <v>20507</v>
      </c>
      <c r="G1753" s="25">
        <v>45469</v>
      </c>
      <c r="H1753" s="25">
        <v>46199</v>
      </c>
      <c r="I1753" s="24" t="s">
        <v>10</v>
      </c>
      <c r="J1753" s="24" t="s">
        <v>33</v>
      </c>
      <c r="K1753" s="24" t="str">
        <f>IF(certifications[[#This Row],[ISSUE DATE]]="", "", TEXT(certifications[[#This Row],[ISSUE DATE]], "MMM"))</f>
        <v>Jun</v>
      </c>
      <c r="L1753" s="35" t="str">
        <f>IF(certifications[[#This Row],[ISSUE DATE]]="", "", TEXT(certifications[[#This Row],[ISSUE DATE]], "YYYY"))</f>
        <v>2024</v>
      </c>
    </row>
    <row r="1754" spans="1:12" s="29" customFormat="1" ht="23.95" customHeight="1" x14ac:dyDescent="0.3">
      <c r="A1754" s="31"/>
      <c r="B1754" s="24">
        <v>1741</v>
      </c>
      <c r="C1754" s="24" t="s">
        <v>1784</v>
      </c>
      <c r="D1754" s="24" t="s">
        <v>235</v>
      </c>
      <c r="E1754" s="24" t="s">
        <v>9</v>
      </c>
      <c r="F1754" s="24">
        <v>17123</v>
      </c>
      <c r="G1754" s="25">
        <v>44582</v>
      </c>
      <c r="H1754" s="25">
        <v>46043</v>
      </c>
      <c r="I1754" s="24" t="s">
        <v>10</v>
      </c>
      <c r="J1754" s="24" t="s">
        <v>22</v>
      </c>
      <c r="K1754" s="24" t="str">
        <f>IF(certifications[[#This Row],[ISSUE DATE]]="", "", TEXT(certifications[[#This Row],[ISSUE DATE]], "MMM"))</f>
        <v>Jan</v>
      </c>
      <c r="L1754" s="35" t="str">
        <f>IF(certifications[[#This Row],[ISSUE DATE]]="", "", TEXT(certifications[[#This Row],[ISSUE DATE]], "YYYY"))</f>
        <v>2022</v>
      </c>
    </row>
    <row r="1755" spans="1:12" s="29" customFormat="1" ht="23.95" customHeight="1" x14ac:dyDescent="0.3">
      <c r="A1755" s="31"/>
      <c r="B1755" s="24">
        <v>1742</v>
      </c>
      <c r="C1755" s="24" t="s">
        <v>1785</v>
      </c>
      <c r="D1755" s="24" t="s">
        <v>29</v>
      </c>
      <c r="E1755" s="24" t="s">
        <v>9</v>
      </c>
      <c r="F1755" s="24">
        <v>10766</v>
      </c>
      <c r="G1755" s="25">
        <v>44096</v>
      </c>
      <c r="H1755" s="25">
        <v>46287</v>
      </c>
      <c r="I1755" s="24" t="s">
        <v>10</v>
      </c>
      <c r="J1755" s="24" t="s">
        <v>30</v>
      </c>
      <c r="K1755" s="24" t="str">
        <f>IF(certifications[[#This Row],[ISSUE DATE]]="", "", TEXT(certifications[[#This Row],[ISSUE DATE]], "MMM"))</f>
        <v>Sep</v>
      </c>
      <c r="L1755" s="35" t="str">
        <f>IF(certifications[[#This Row],[ISSUE DATE]]="", "", TEXT(certifications[[#This Row],[ISSUE DATE]], "YYYY"))</f>
        <v>2020</v>
      </c>
    </row>
    <row r="1756" spans="1:12" s="29" customFormat="1" ht="23.95" customHeight="1" x14ac:dyDescent="0.3">
      <c r="A1756" s="31"/>
      <c r="B1756" s="24">
        <v>1743</v>
      </c>
      <c r="C1756" s="24" t="s">
        <v>1786</v>
      </c>
      <c r="D1756" s="24" t="s">
        <v>46</v>
      </c>
      <c r="E1756" s="24" t="s">
        <v>26</v>
      </c>
      <c r="F1756" s="24">
        <v>18323</v>
      </c>
      <c r="G1756" s="25">
        <v>44973</v>
      </c>
      <c r="H1756" s="25">
        <v>45704</v>
      </c>
      <c r="I1756" s="24" t="s">
        <v>82</v>
      </c>
      <c r="J1756" s="24" t="s">
        <v>38</v>
      </c>
      <c r="K1756" s="24" t="str">
        <f>IF(certifications[[#This Row],[ISSUE DATE]]="", "", TEXT(certifications[[#This Row],[ISSUE DATE]], "MMM"))</f>
        <v>Feb</v>
      </c>
      <c r="L1756" s="35" t="str">
        <f>IF(certifications[[#This Row],[ISSUE DATE]]="", "", TEXT(certifications[[#This Row],[ISSUE DATE]], "YYYY"))</f>
        <v>2023</v>
      </c>
    </row>
    <row r="1757" spans="1:12" s="29" customFormat="1" ht="23.95" customHeight="1" x14ac:dyDescent="0.3">
      <c r="A1757" s="31"/>
      <c r="B1757" s="24">
        <v>1744</v>
      </c>
      <c r="C1757" s="24" t="s">
        <v>1787</v>
      </c>
      <c r="D1757" s="24" t="s">
        <v>32</v>
      </c>
      <c r="E1757" s="24" t="s">
        <v>9</v>
      </c>
      <c r="F1757" s="24">
        <v>14232</v>
      </c>
      <c r="G1757" s="25">
        <v>43770</v>
      </c>
      <c r="H1757" s="25">
        <v>44501</v>
      </c>
      <c r="I1757" s="24" t="s">
        <v>16</v>
      </c>
      <c r="J1757" s="24" t="s">
        <v>33</v>
      </c>
      <c r="K1757" s="24" t="str">
        <f>IF(certifications[[#This Row],[ISSUE DATE]]="", "", TEXT(certifications[[#This Row],[ISSUE DATE]], "MMM"))</f>
        <v>Nov</v>
      </c>
      <c r="L1757" s="35" t="str">
        <f>IF(certifications[[#This Row],[ISSUE DATE]]="", "", TEXT(certifications[[#This Row],[ISSUE DATE]], "YYYY"))</f>
        <v>2019</v>
      </c>
    </row>
    <row r="1758" spans="1:12" s="29" customFormat="1" ht="23.95" customHeight="1" x14ac:dyDescent="0.3">
      <c r="A1758" s="31"/>
      <c r="B1758" s="24">
        <v>1745</v>
      </c>
      <c r="C1758" s="24" t="s">
        <v>1788</v>
      </c>
      <c r="D1758" s="24" t="s">
        <v>18</v>
      </c>
      <c r="E1758" s="24" t="s">
        <v>9</v>
      </c>
      <c r="F1758" s="24">
        <v>10082</v>
      </c>
      <c r="G1758" s="25">
        <v>42975</v>
      </c>
      <c r="H1758" s="25">
        <v>45897</v>
      </c>
      <c r="I1758" s="24" t="s">
        <v>10</v>
      </c>
      <c r="J1758" s="24" t="s">
        <v>19</v>
      </c>
      <c r="K1758" s="24" t="str">
        <f>IF(certifications[[#This Row],[ISSUE DATE]]="", "", TEXT(certifications[[#This Row],[ISSUE DATE]], "MMM"))</f>
        <v>Aug</v>
      </c>
      <c r="L1758" s="35" t="str">
        <f>IF(certifications[[#This Row],[ISSUE DATE]]="", "", TEXT(certifications[[#This Row],[ISSUE DATE]], "YYYY"))</f>
        <v>2017</v>
      </c>
    </row>
    <row r="1759" spans="1:12" s="29" customFormat="1" ht="23.95" customHeight="1" x14ac:dyDescent="0.3">
      <c r="A1759" s="31"/>
      <c r="B1759" s="24">
        <v>1746</v>
      </c>
      <c r="C1759" s="3" t="s">
        <v>1788</v>
      </c>
      <c r="D1759" s="3" t="s">
        <v>18</v>
      </c>
      <c r="E1759" s="3" t="s">
        <v>27</v>
      </c>
      <c r="F1759" s="3">
        <v>10082</v>
      </c>
      <c r="G1759" s="4">
        <v>45126</v>
      </c>
      <c r="H1759" s="4">
        <v>45857</v>
      </c>
      <c r="I1759" s="3" t="s">
        <v>10</v>
      </c>
      <c r="J1759" s="3" t="s">
        <v>19</v>
      </c>
      <c r="K1759" s="3" t="str">
        <f>IF(certifications[[#This Row],[ISSUE DATE]]="", "", TEXT(certifications[[#This Row],[ISSUE DATE]], "MMM"))</f>
        <v>Jul</v>
      </c>
      <c r="L1759" s="36" t="str">
        <f>IF(certifications[[#This Row],[ISSUE DATE]]="", "", TEXT(certifications[[#This Row],[ISSUE DATE]], "YYYY"))</f>
        <v>2023</v>
      </c>
    </row>
    <row r="1760" spans="1:12" s="29" customFormat="1" ht="23.95" customHeight="1" x14ac:dyDescent="0.3">
      <c r="A1760" s="31"/>
      <c r="B1760" s="24">
        <v>1747</v>
      </c>
      <c r="C1760" s="24" t="s">
        <v>1789</v>
      </c>
      <c r="D1760" s="24" t="s">
        <v>29</v>
      </c>
      <c r="E1760" s="24" t="s">
        <v>9</v>
      </c>
      <c r="F1760" s="24">
        <v>8964</v>
      </c>
      <c r="G1760" s="25">
        <v>41849</v>
      </c>
      <c r="H1760" s="25">
        <v>43310</v>
      </c>
      <c r="I1760" s="24" t="s">
        <v>16</v>
      </c>
      <c r="J1760" s="24" t="s">
        <v>30</v>
      </c>
      <c r="K1760" s="24" t="str">
        <f>IF(certifications[[#This Row],[ISSUE DATE]]="", "", TEXT(certifications[[#This Row],[ISSUE DATE]], "MMM"))</f>
        <v>Jul</v>
      </c>
      <c r="L1760" s="35" t="str">
        <f>IF(certifications[[#This Row],[ISSUE DATE]]="", "", TEXT(certifications[[#This Row],[ISSUE DATE]], "YYYY"))</f>
        <v>2014</v>
      </c>
    </row>
    <row r="1761" spans="1:12" s="29" customFormat="1" ht="23.95" customHeight="1" x14ac:dyDescent="0.3">
      <c r="A1761" s="31"/>
      <c r="B1761" s="24">
        <v>1748</v>
      </c>
      <c r="C1761" s="24" t="s">
        <v>1790</v>
      </c>
      <c r="D1761" s="24" t="s">
        <v>32</v>
      </c>
      <c r="E1761" s="24" t="s">
        <v>9</v>
      </c>
      <c r="F1761" s="24">
        <v>9342</v>
      </c>
      <c r="G1761" s="25">
        <v>42257</v>
      </c>
      <c r="H1761" s="25">
        <v>42988</v>
      </c>
      <c r="I1761" s="24" t="s">
        <v>16</v>
      </c>
      <c r="J1761" s="24" t="s">
        <v>33</v>
      </c>
      <c r="K1761" s="24" t="str">
        <f>IF(certifications[[#This Row],[ISSUE DATE]]="", "", TEXT(certifications[[#This Row],[ISSUE DATE]], "MMM"))</f>
        <v>Sep</v>
      </c>
      <c r="L1761" s="35" t="str">
        <f>IF(certifications[[#This Row],[ISSUE DATE]]="", "", TEXT(certifications[[#This Row],[ISSUE DATE]], "YYYY"))</f>
        <v>2015</v>
      </c>
    </row>
    <row r="1762" spans="1:12" s="29" customFormat="1" ht="23.95" customHeight="1" x14ac:dyDescent="0.3">
      <c r="A1762" s="31"/>
      <c r="B1762" s="24">
        <v>1749</v>
      </c>
      <c r="C1762" s="24" t="s">
        <v>1791</v>
      </c>
      <c r="D1762" s="24" t="s">
        <v>32</v>
      </c>
      <c r="E1762" s="24" t="s">
        <v>9</v>
      </c>
      <c r="F1762" s="24">
        <v>17001</v>
      </c>
      <c r="G1762" s="25">
        <v>45707</v>
      </c>
      <c r="H1762" s="25">
        <v>46437</v>
      </c>
      <c r="I1762" s="24" t="s">
        <v>10</v>
      </c>
      <c r="J1762" s="24" t="s">
        <v>33</v>
      </c>
      <c r="K1762" s="24" t="str">
        <f>IF(certifications[[#This Row],[ISSUE DATE]]="", "", TEXT(certifications[[#This Row],[ISSUE DATE]], "MMM"))</f>
        <v>Feb</v>
      </c>
      <c r="L1762" s="35" t="str">
        <f>IF(certifications[[#This Row],[ISSUE DATE]]="", "", TEXT(certifications[[#This Row],[ISSUE DATE]], "YYYY"))</f>
        <v>2025</v>
      </c>
    </row>
    <row r="1763" spans="1:12" s="29" customFormat="1" ht="23.95" customHeight="1" x14ac:dyDescent="0.3">
      <c r="A1763" s="31"/>
      <c r="B1763" s="24">
        <v>1750</v>
      </c>
      <c r="C1763" s="24" t="s">
        <v>1791</v>
      </c>
      <c r="D1763" s="24" t="s">
        <v>32</v>
      </c>
      <c r="E1763" s="24" t="s">
        <v>26</v>
      </c>
      <c r="F1763" s="24">
        <v>17001</v>
      </c>
      <c r="G1763" s="25">
        <v>45652</v>
      </c>
      <c r="H1763" s="25">
        <v>46382</v>
      </c>
      <c r="I1763" s="24" t="s">
        <v>10</v>
      </c>
      <c r="J1763" s="24" t="s">
        <v>33</v>
      </c>
      <c r="K1763" s="24" t="str">
        <f>IF(certifications[[#This Row],[ISSUE DATE]]="", "", TEXT(certifications[[#This Row],[ISSUE DATE]], "MMM"))</f>
        <v>Dec</v>
      </c>
      <c r="L1763" s="35" t="str">
        <f>IF(certifications[[#This Row],[ISSUE DATE]]="", "", TEXT(certifications[[#This Row],[ISSUE DATE]], "YYYY"))</f>
        <v>2024</v>
      </c>
    </row>
    <row r="1764" spans="1:12" s="29" customFormat="1" ht="23.95" customHeight="1" x14ac:dyDescent="0.3">
      <c r="A1764" s="31"/>
      <c r="B1764" s="24">
        <v>1751</v>
      </c>
      <c r="C1764" s="24" t="s">
        <v>1792</v>
      </c>
      <c r="D1764" s="24" t="s">
        <v>48</v>
      </c>
      <c r="E1764" s="24" t="s">
        <v>9</v>
      </c>
      <c r="F1764" s="24">
        <v>9719</v>
      </c>
      <c r="G1764" s="25">
        <v>42571</v>
      </c>
      <c r="H1764" s="25">
        <v>43301</v>
      </c>
      <c r="I1764" s="24" t="s">
        <v>16</v>
      </c>
      <c r="J1764" s="24" t="s">
        <v>38</v>
      </c>
      <c r="K1764" s="24" t="str">
        <f>IF(certifications[[#This Row],[ISSUE DATE]]="", "", TEXT(certifications[[#This Row],[ISSUE DATE]], "MMM"))</f>
        <v>Jul</v>
      </c>
      <c r="L1764" s="35" t="str">
        <f>IF(certifications[[#This Row],[ISSUE DATE]]="", "", TEXT(certifications[[#This Row],[ISSUE DATE]], "YYYY"))</f>
        <v>2016</v>
      </c>
    </row>
    <row r="1765" spans="1:12" s="29" customFormat="1" ht="23.95" customHeight="1" x14ac:dyDescent="0.3">
      <c r="A1765" s="31"/>
      <c r="B1765" s="24">
        <v>1752</v>
      </c>
      <c r="C1765" s="24" t="s">
        <v>1793</v>
      </c>
      <c r="D1765" s="24" t="s">
        <v>32</v>
      </c>
      <c r="E1765" s="24" t="s">
        <v>9</v>
      </c>
      <c r="F1765" s="24">
        <v>15519</v>
      </c>
      <c r="G1765" s="25">
        <v>44096</v>
      </c>
      <c r="H1765" s="25">
        <v>44826</v>
      </c>
      <c r="I1765" s="24" t="s">
        <v>16</v>
      </c>
      <c r="J1765" s="24" t="s">
        <v>33</v>
      </c>
      <c r="K1765" s="24" t="str">
        <f>IF(certifications[[#This Row],[ISSUE DATE]]="", "", TEXT(certifications[[#This Row],[ISSUE DATE]], "MMM"))</f>
        <v>Sep</v>
      </c>
      <c r="L1765" s="35" t="str">
        <f>IF(certifications[[#This Row],[ISSUE DATE]]="", "", TEXT(certifications[[#This Row],[ISSUE DATE]], "YYYY"))</f>
        <v>2020</v>
      </c>
    </row>
    <row r="1766" spans="1:12" s="29" customFormat="1" ht="23.95" customHeight="1" x14ac:dyDescent="0.3">
      <c r="A1766" s="31"/>
      <c r="B1766" s="24">
        <v>1753</v>
      </c>
      <c r="C1766" s="24" t="s">
        <v>1794</v>
      </c>
      <c r="D1766" s="24" t="s">
        <v>13</v>
      </c>
      <c r="E1766" s="24" t="s">
        <v>9</v>
      </c>
      <c r="F1766" s="24">
        <v>10303</v>
      </c>
      <c r="G1766" s="25">
        <v>42915</v>
      </c>
      <c r="H1766" s="25">
        <v>43645</v>
      </c>
      <c r="I1766" s="24" t="s">
        <v>16</v>
      </c>
      <c r="J1766" s="24" t="s">
        <v>14</v>
      </c>
      <c r="K1766" s="24" t="str">
        <f>IF(certifications[[#This Row],[ISSUE DATE]]="", "", TEXT(certifications[[#This Row],[ISSUE DATE]], "MMM"))</f>
        <v>Jun</v>
      </c>
      <c r="L1766" s="35" t="str">
        <f>IF(certifications[[#This Row],[ISSUE DATE]]="", "", TEXT(certifications[[#This Row],[ISSUE DATE]], "YYYY"))</f>
        <v>2017</v>
      </c>
    </row>
    <row r="1767" spans="1:12" s="29" customFormat="1" ht="23.95" customHeight="1" x14ac:dyDescent="0.3">
      <c r="A1767" s="31"/>
      <c r="B1767" s="24">
        <v>1754</v>
      </c>
      <c r="C1767" s="24" t="s">
        <v>1795</v>
      </c>
      <c r="D1767" s="24" t="s">
        <v>32</v>
      </c>
      <c r="E1767" s="24" t="s">
        <v>9</v>
      </c>
      <c r="F1767" s="24">
        <v>19870</v>
      </c>
      <c r="G1767" s="25">
        <v>45336</v>
      </c>
      <c r="H1767" s="25">
        <v>46067</v>
      </c>
      <c r="I1767" s="24" t="s">
        <v>10</v>
      </c>
      <c r="J1767" s="24" t="s">
        <v>33</v>
      </c>
      <c r="K1767" s="24" t="str">
        <f>IF(certifications[[#This Row],[ISSUE DATE]]="", "", TEXT(certifications[[#This Row],[ISSUE DATE]], "MMM"))</f>
        <v>Feb</v>
      </c>
      <c r="L1767" s="35" t="str">
        <f>IF(certifications[[#This Row],[ISSUE DATE]]="", "", TEXT(certifications[[#This Row],[ISSUE DATE]], "YYYY"))</f>
        <v>2024</v>
      </c>
    </row>
    <row r="1768" spans="1:12" s="29" customFormat="1" ht="23.95" customHeight="1" x14ac:dyDescent="0.3">
      <c r="A1768" s="31"/>
      <c r="B1768" s="24">
        <v>1755</v>
      </c>
      <c r="C1768" s="24" t="s">
        <v>1796</v>
      </c>
      <c r="D1768" s="24" t="s">
        <v>32</v>
      </c>
      <c r="E1768" s="24" t="s">
        <v>9</v>
      </c>
      <c r="F1768" s="24">
        <v>10015</v>
      </c>
      <c r="G1768" s="25">
        <v>42753</v>
      </c>
      <c r="H1768" s="25">
        <v>43483</v>
      </c>
      <c r="I1768" s="24" t="s">
        <v>16</v>
      </c>
      <c r="J1768" s="24" t="s">
        <v>33</v>
      </c>
      <c r="K1768" s="24" t="str">
        <f>IF(certifications[[#This Row],[ISSUE DATE]]="", "", TEXT(certifications[[#This Row],[ISSUE DATE]], "MMM"))</f>
        <v>Jan</v>
      </c>
      <c r="L1768" s="35" t="str">
        <f>IF(certifications[[#This Row],[ISSUE DATE]]="", "", TEXT(certifications[[#This Row],[ISSUE DATE]], "YYYY"))</f>
        <v>2017</v>
      </c>
    </row>
    <row r="1769" spans="1:12" s="29" customFormat="1" ht="23.95" customHeight="1" x14ac:dyDescent="0.3">
      <c r="A1769" s="31"/>
      <c r="B1769" s="24">
        <v>1756</v>
      </c>
      <c r="C1769" s="24" t="s">
        <v>1797</v>
      </c>
      <c r="D1769" s="24" t="s">
        <v>32</v>
      </c>
      <c r="E1769" s="24" t="s">
        <v>9</v>
      </c>
      <c r="F1769" s="24">
        <v>21738</v>
      </c>
      <c r="G1769" s="25">
        <v>45733</v>
      </c>
      <c r="H1769" s="25">
        <v>46463</v>
      </c>
      <c r="I1769" s="24" t="s">
        <v>10</v>
      </c>
      <c r="J1769" s="24" t="s">
        <v>33</v>
      </c>
      <c r="K1769" s="24" t="str">
        <f>IF(certifications[[#This Row],[ISSUE DATE]]="", "", TEXT(certifications[[#This Row],[ISSUE DATE]], "MMM"))</f>
        <v>Mar</v>
      </c>
      <c r="L1769" s="35" t="str">
        <f>IF(certifications[[#This Row],[ISSUE DATE]]="", "", TEXT(certifications[[#This Row],[ISSUE DATE]], "YYYY"))</f>
        <v>2025</v>
      </c>
    </row>
    <row r="1770" spans="1:12" s="29" customFormat="1" ht="23.95" customHeight="1" x14ac:dyDescent="0.3">
      <c r="A1770" s="31"/>
      <c r="B1770" s="24">
        <v>1757</v>
      </c>
      <c r="C1770" s="24" t="s">
        <v>1797</v>
      </c>
      <c r="D1770" s="24" t="s">
        <v>32</v>
      </c>
      <c r="E1770" s="24" t="s">
        <v>26</v>
      </c>
      <c r="F1770" s="24">
        <v>21721</v>
      </c>
      <c r="G1770" s="25">
        <v>45728</v>
      </c>
      <c r="H1770" s="25">
        <v>46458</v>
      </c>
      <c r="I1770" s="24" t="s">
        <v>10</v>
      </c>
      <c r="J1770" s="24" t="s">
        <v>33</v>
      </c>
      <c r="K1770" s="24" t="str">
        <f>IF(certifications[[#This Row],[ISSUE DATE]]="", "", TEXT(certifications[[#This Row],[ISSUE DATE]], "MMM"))</f>
        <v>Mar</v>
      </c>
      <c r="L1770" s="35" t="str">
        <f>IF(certifications[[#This Row],[ISSUE DATE]]="", "", TEXT(certifications[[#This Row],[ISSUE DATE]], "YYYY"))</f>
        <v>2025</v>
      </c>
    </row>
    <row r="1771" spans="1:12" s="29" customFormat="1" ht="23.95" customHeight="1" x14ac:dyDescent="0.3">
      <c r="A1771" s="31"/>
      <c r="B1771" s="24">
        <v>1758</v>
      </c>
      <c r="C1771" s="24" t="s">
        <v>1798</v>
      </c>
      <c r="D1771" s="24" t="s">
        <v>32</v>
      </c>
      <c r="E1771" s="24" t="s">
        <v>9</v>
      </c>
      <c r="F1771" s="24">
        <v>8568</v>
      </c>
      <c r="G1771" s="25">
        <v>41485</v>
      </c>
      <c r="H1771" s="25">
        <v>46598</v>
      </c>
      <c r="I1771" s="24" t="s">
        <v>10</v>
      </c>
      <c r="J1771" s="24" t="s">
        <v>33</v>
      </c>
      <c r="K1771" s="24" t="str">
        <f>IF(certifications[[#This Row],[ISSUE DATE]]="", "", TEXT(certifications[[#This Row],[ISSUE DATE]], "MMM"))</f>
        <v>Jul</v>
      </c>
      <c r="L1771" s="35" t="str">
        <f>IF(certifications[[#This Row],[ISSUE DATE]]="", "", TEXT(certifications[[#This Row],[ISSUE DATE]], "YYYY"))</f>
        <v>2013</v>
      </c>
    </row>
    <row r="1772" spans="1:12" s="29" customFormat="1" ht="23.95" customHeight="1" x14ac:dyDescent="0.3">
      <c r="A1772" s="31"/>
      <c r="B1772" s="24">
        <v>1759</v>
      </c>
      <c r="C1772" s="24" t="s">
        <v>1799</v>
      </c>
      <c r="D1772" s="24" t="s">
        <v>1800</v>
      </c>
      <c r="E1772" s="24" t="s">
        <v>26</v>
      </c>
      <c r="F1772" s="24">
        <v>16287</v>
      </c>
      <c r="G1772" s="25">
        <v>44345</v>
      </c>
      <c r="H1772" s="25">
        <v>45075</v>
      </c>
      <c r="I1772" s="24" t="s">
        <v>16</v>
      </c>
      <c r="J1772" s="24" t="s">
        <v>30</v>
      </c>
      <c r="K1772" s="24" t="str">
        <f>IF(certifications[[#This Row],[ISSUE DATE]]="", "", TEXT(certifications[[#This Row],[ISSUE DATE]], "MMM"))</f>
        <v>May</v>
      </c>
      <c r="L1772" s="35" t="str">
        <f>IF(certifications[[#This Row],[ISSUE DATE]]="", "", TEXT(certifications[[#This Row],[ISSUE DATE]], "YYYY"))</f>
        <v>2021</v>
      </c>
    </row>
    <row r="1773" spans="1:12" s="29" customFormat="1" ht="23.95" customHeight="1" x14ac:dyDescent="0.3">
      <c r="A1773" s="31"/>
      <c r="B1773" s="24">
        <v>1760</v>
      </c>
      <c r="C1773" s="24" t="s">
        <v>1801</v>
      </c>
      <c r="D1773" s="24" t="s">
        <v>18</v>
      </c>
      <c r="E1773" s="24" t="s">
        <v>9</v>
      </c>
      <c r="F1773" s="24">
        <v>13013</v>
      </c>
      <c r="G1773" s="25">
        <v>43536</v>
      </c>
      <c r="H1773" s="25">
        <v>44997</v>
      </c>
      <c r="I1773" s="24" t="s">
        <v>16</v>
      </c>
      <c r="J1773" s="24" t="s">
        <v>19</v>
      </c>
      <c r="K1773" s="24" t="str">
        <f>IF(certifications[[#This Row],[ISSUE DATE]]="", "", TEXT(certifications[[#This Row],[ISSUE DATE]], "MMM"))</f>
        <v>Mar</v>
      </c>
      <c r="L1773" s="35" t="str">
        <f>IF(certifications[[#This Row],[ISSUE DATE]]="", "", TEXT(certifications[[#This Row],[ISSUE DATE]], "YYYY"))</f>
        <v>2019</v>
      </c>
    </row>
    <row r="1774" spans="1:12" s="29" customFormat="1" ht="23.95" customHeight="1" x14ac:dyDescent="0.3">
      <c r="A1774" s="31"/>
      <c r="B1774" s="24">
        <v>1761</v>
      </c>
      <c r="C1774" s="24" t="s">
        <v>1802</v>
      </c>
      <c r="D1774" s="24" t="s">
        <v>141</v>
      </c>
      <c r="E1774" s="24" t="s">
        <v>9</v>
      </c>
      <c r="F1774" s="24">
        <v>17415</v>
      </c>
      <c r="G1774" s="25">
        <v>44685</v>
      </c>
      <c r="H1774" s="25">
        <v>45416</v>
      </c>
      <c r="I1774" s="24" t="s">
        <v>16</v>
      </c>
      <c r="J1774" s="24" t="s">
        <v>38</v>
      </c>
      <c r="K1774" s="24" t="str">
        <f>IF(certifications[[#This Row],[ISSUE DATE]]="", "", TEXT(certifications[[#This Row],[ISSUE DATE]], "MMM"))</f>
        <v>May</v>
      </c>
      <c r="L1774" s="35" t="str">
        <f>IF(certifications[[#This Row],[ISSUE DATE]]="", "", TEXT(certifications[[#This Row],[ISSUE DATE]], "YYYY"))</f>
        <v>2022</v>
      </c>
    </row>
    <row r="1775" spans="1:12" s="29" customFormat="1" ht="23.95" customHeight="1" x14ac:dyDescent="0.3">
      <c r="A1775" s="31"/>
      <c r="B1775" s="24">
        <v>1762</v>
      </c>
      <c r="C1775" s="24" t="s">
        <v>1803</v>
      </c>
      <c r="D1775" s="24" t="s">
        <v>722</v>
      </c>
      <c r="E1775" s="24" t="s">
        <v>26</v>
      </c>
      <c r="F1775" s="24">
        <v>14095</v>
      </c>
      <c r="G1775" s="25">
        <v>43677</v>
      </c>
      <c r="H1775" s="25">
        <v>44408</v>
      </c>
      <c r="I1775" s="24" t="s">
        <v>16</v>
      </c>
      <c r="J1775" s="24" t="s">
        <v>30</v>
      </c>
      <c r="K1775" s="24" t="str">
        <f>IF(certifications[[#This Row],[ISSUE DATE]]="", "", TEXT(certifications[[#This Row],[ISSUE DATE]], "MMM"))</f>
        <v>Jul</v>
      </c>
      <c r="L1775" s="35" t="str">
        <f>IF(certifications[[#This Row],[ISSUE DATE]]="", "", TEXT(certifications[[#This Row],[ISSUE DATE]], "YYYY"))</f>
        <v>2019</v>
      </c>
    </row>
    <row r="1776" spans="1:12" s="29" customFormat="1" ht="23.95" customHeight="1" x14ac:dyDescent="0.3">
      <c r="A1776" s="31"/>
      <c r="B1776" s="24">
        <v>1763</v>
      </c>
      <c r="C1776" s="24" t="s">
        <v>1804</v>
      </c>
      <c r="D1776" s="24" t="s">
        <v>13</v>
      </c>
      <c r="E1776" s="24" t="s">
        <v>9</v>
      </c>
      <c r="F1776" s="24">
        <v>8948</v>
      </c>
      <c r="G1776" s="25">
        <v>41829</v>
      </c>
      <c r="H1776" s="25">
        <v>42560</v>
      </c>
      <c r="I1776" s="24" t="s">
        <v>16</v>
      </c>
      <c r="J1776" s="24" t="s">
        <v>14</v>
      </c>
      <c r="K1776" s="24" t="str">
        <f>IF(certifications[[#This Row],[ISSUE DATE]]="", "", TEXT(certifications[[#This Row],[ISSUE DATE]], "MMM"))</f>
        <v>Jul</v>
      </c>
      <c r="L1776" s="35" t="str">
        <f>IF(certifications[[#This Row],[ISSUE DATE]]="", "", TEXT(certifications[[#This Row],[ISSUE DATE]], "YYYY"))</f>
        <v>2014</v>
      </c>
    </row>
    <row r="1777" spans="1:12" s="29" customFormat="1" ht="23.95" customHeight="1" x14ac:dyDescent="0.3">
      <c r="A1777" s="31"/>
      <c r="B1777" s="24">
        <v>1764</v>
      </c>
      <c r="C1777" s="24" t="s">
        <v>1805</v>
      </c>
      <c r="D1777" s="24" t="s">
        <v>46</v>
      </c>
      <c r="E1777" s="24" t="s">
        <v>9</v>
      </c>
      <c r="F1777" s="24">
        <v>21697</v>
      </c>
      <c r="G1777" s="25">
        <v>45727</v>
      </c>
      <c r="H1777" s="25">
        <v>46457</v>
      </c>
      <c r="I1777" s="24" t="s">
        <v>10</v>
      </c>
      <c r="J1777" s="24" t="s">
        <v>38</v>
      </c>
      <c r="K1777" s="24" t="str">
        <f>IF(certifications[[#This Row],[ISSUE DATE]]="", "", TEXT(certifications[[#This Row],[ISSUE DATE]], "MMM"))</f>
        <v>Mar</v>
      </c>
      <c r="L1777" s="35" t="str">
        <f>IF(certifications[[#This Row],[ISSUE DATE]]="", "", TEXT(certifications[[#This Row],[ISSUE DATE]], "YYYY"))</f>
        <v>2025</v>
      </c>
    </row>
    <row r="1778" spans="1:12" s="29" customFormat="1" ht="23.95" customHeight="1" x14ac:dyDescent="0.3">
      <c r="A1778" s="31"/>
      <c r="B1778" s="24">
        <v>1765</v>
      </c>
      <c r="C1778" s="24" t="s">
        <v>1806</v>
      </c>
      <c r="D1778" s="24" t="s">
        <v>32</v>
      </c>
      <c r="E1778" s="24" t="s">
        <v>9</v>
      </c>
      <c r="F1778" s="24">
        <v>10222</v>
      </c>
      <c r="G1778" s="25">
        <v>42903</v>
      </c>
      <c r="H1778" s="25">
        <v>43633</v>
      </c>
      <c r="I1778" s="24" t="s">
        <v>16</v>
      </c>
      <c r="J1778" s="24" t="s">
        <v>33</v>
      </c>
      <c r="K1778" s="24" t="str">
        <f>IF(certifications[[#This Row],[ISSUE DATE]]="", "", TEXT(certifications[[#This Row],[ISSUE DATE]], "MMM"))</f>
        <v>Jun</v>
      </c>
      <c r="L1778" s="35" t="str">
        <f>IF(certifications[[#This Row],[ISSUE DATE]]="", "", TEXT(certifications[[#This Row],[ISSUE DATE]], "YYYY"))</f>
        <v>2017</v>
      </c>
    </row>
    <row r="1779" spans="1:12" s="29" customFormat="1" ht="23.95" customHeight="1" x14ac:dyDescent="0.3">
      <c r="A1779" s="31"/>
      <c r="B1779" s="24">
        <v>1766</v>
      </c>
      <c r="C1779" s="24" t="s">
        <v>1807</v>
      </c>
      <c r="D1779" s="24" t="s">
        <v>65</v>
      </c>
      <c r="E1779" s="24" t="s">
        <v>26</v>
      </c>
      <c r="F1779" s="24">
        <v>11412</v>
      </c>
      <c r="G1779" s="25">
        <v>43236</v>
      </c>
      <c r="H1779" s="25">
        <v>46158</v>
      </c>
      <c r="I1779" s="24" t="s">
        <v>10</v>
      </c>
      <c r="J1779" s="24" t="s">
        <v>19</v>
      </c>
      <c r="K1779" s="24" t="str">
        <f>IF(certifications[[#This Row],[ISSUE DATE]]="", "", TEXT(certifications[[#This Row],[ISSUE DATE]], "MMM"))</f>
        <v>May</v>
      </c>
      <c r="L1779" s="35" t="str">
        <f>IF(certifications[[#This Row],[ISSUE DATE]]="", "", TEXT(certifications[[#This Row],[ISSUE DATE]], "YYYY"))</f>
        <v>2018</v>
      </c>
    </row>
    <row r="1780" spans="1:12" s="29" customFormat="1" ht="23.95" customHeight="1" x14ac:dyDescent="0.3">
      <c r="A1780" s="31"/>
      <c r="B1780" s="24">
        <v>1767</v>
      </c>
      <c r="C1780" s="24" t="s">
        <v>1808</v>
      </c>
      <c r="D1780" s="24" t="s">
        <v>13</v>
      </c>
      <c r="E1780" s="24" t="s">
        <v>9</v>
      </c>
      <c r="F1780" s="24">
        <v>8874</v>
      </c>
      <c r="G1780" s="25">
        <v>41774</v>
      </c>
      <c r="H1780" s="25">
        <v>44696</v>
      </c>
      <c r="I1780" s="24" t="s">
        <v>16</v>
      </c>
      <c r="J1780" s="24" t="s">
        <v>14</v>
      </c>
      <c r="K1780" s="24" t="str">
        <f>IF(certifications[[#This Row],[ISSUE DATE]]="", "", TEXT(certifications[[#This Row],[ISSUE DATE]], "MMM"))</f>
        <v>May</v>
      </c>
      <c r="L1780" s="35" t="str">
        <f>IF(certifications[[#This Row],[ISSUE DATE]]="", "", TEXT(certifications[[#This Row],[ISSUE DATE]], "YYYY"))</f>
        <v>2014</v>
      </c>
    </row>
    <row r="1781" spans="1:12" s="29" customFormat="1" ht="23.95" customHeight="1" x14ac:dyDescent="0.3">
      <c r="A1781" s="31"/>
      <c r="B1781" s="24">
        <v>1768</v>
      </c>
      <c r="C1781" s="24" t="s">
        <v>1809</v>
      </c>
      <c r="D1781" s="24" t="s">
        <v>55</v>
      </c>
      <c r="E1781" s="24" t="s">
        <v>9</v>
      </c>
      <c r="F1781" s="24">
        <v>10176</v>
      </c>
      <c r="G1781" s="25">
        <v>42896</v>
      </c>
      <c r="H1781" s="25">
        <v>43626</v>
      </c>
      <c r="I1781" s="24" t="s">
        <v>16</v>
      </c>
      <c r="J1781" s="24" t="s">
        <v>11</v>
      </c>
      <c r="K1781" s="24" t="str">
        <f>IF(certifications[[#This Row],[ISSUE DATE]]="", "", TEXT(certifications[[#This Row],[ISSUE DATE]], "MMM"))</f>
        <v>Jun</v>
      </c>
      <c r="L1781" s="35" t="str">
        <f>IF(certifications[[#This Row],[ISSUE DATE]]="", "", TEXT(certifications[[#This Row],[ISSUE DATE]], "YYYY"))</f>
        <v>2017</v>
      </c>
    </row>
    <row r="1782" spans="1:12" s="29" customFormat="1" ht="23.95" customHeight="1" x14ac:dyDescent="0.3">
      <c r="A1782" s="31"/>
      <c r="B1782" s="24">
        <v>1769</v>
      </c>
      <c r="C1782" s="24" t="s">
        <v>1810</v>
      </c>
      <c r="D1782" s="24" t="s">
        <v>32</v>
      </c>
      <c r="E1782" s="24" t="s">
        <v>9</v>
      </c>
      <c r="F1782" s="24">
        <v>8456</v>
      </c>
      <c r="G1782" s="25">
        <v>41412</v>
      </c>
      <c r="H1782" s="25">
        <v>42142</v>
      </c>
      <c r="I1782" s="24" t="s">
        <v>16</v>
      </c>
      <c r="J1782" s="24" t="s">
        <v>33</v>
      </c>
      <c r="K1782" s="24" t="str">
        <f>IF(certifications[[#This Row],[ISSUE DATE]]="", "", TEXT(certifications[[#This Row],[ISSUE DATE]], "MMM"))</f>
        <v>May</v>
      </c>
      <c r="L1782" s="35" t="str">
        <f>IF(certifications[[#This Row],[ISSUE DATE]]="", "", TEXT(certifications[[#This Row],[ISSUE DATE]], "YYYY"))</f>
        <v>2013</v>
      </c>
    </row>
    <row r="1783" spans="1:12" s="29" customFormat="1" ht="23.95" customHeight="1" x14ac:dyDescent="0.3">
      <c r="A1783" s="31"/>
      <c r="B1783" s="24">
        <v>1770</v>
      </c>
      <c r="C1783" s="24" t="s">
        <v>1811</v>
      </c>
      <c r="D1783" s="24" t="s">
        <v>32</v>
      </c>
      <c r="E1783" s="24" t="s">
        <v>26</v>
      </c>
      <c r="F1783" s="24">
        <v>16851</v>
      </c>
      <c r="G1783" s="25">
        <v>44462</v>
      </c>
      <c r="H1783" s="25">
        <v>45192</v>
      </c>
      <c r="I1783" s="24" t="s">
        <v>16</v>
      </c>
      <c r="J1783" s="24" t="s">
        <v>33</v>
      </c>
      <c r="K1783" s="24" t="str">
        <f>IF(certifications[[#This Row],[ISSUE DATE]]="", "", TEXT(certifications[[#This Row],[ISSUE DATE]], "MMM"))</f>
        <v>Sep</v>
      </c>
      <c r="L1783" s="35" t="str">
        <f>IF(certifications[[#This Row],[ISSUE DATE]]="", "", TEXT(certifications[[#This Row],[ISSUE DATE]], "YYYY"))</f>
        <v>2021</v>
      </c>
    </row>
    <row r="1784" spans="1:12" s="29" customFormat="1" ht="23.95" customHeight="1" x14ac:dyDescent="0.3">
      <c r="A1784" s="31"/>
      <c r="B1784" s="24">
        <v>1771</v>
      </c>
      <c r="C1784" s="24" t="s">
        <v>1812</v>
      </c>
      <c r="D1784" s="24" t="s">
        <v>164</v>
      </c>
      <c r="E1784" s="24" t="s">
        <v>9</v>
      </c>
      <c r="F1784" s="24">
        <v>15337</v>
      </c>
      <c r="G1784" s="25">
        <v>44041</v>
      </c>
      <c r="H1784" s="25">
        <v>44771</v>
      </c>
      <c r="I1784" s="24" t="s">
        <v>16</v>
      </c>
      <c r="J1784" s="24" t="s">
        <v>22</v>
      </c>
      <c r="K1784" s="24" t="str">
        <f>IF(certifications[[#This Row],[ISSUE DATE]]="", "", TEXT(certifications[[#This Row],[ISSUE DATE]], "MMM"))</f>
        <v>Jul</v>
      </c>
      <c r="L1784" s="35" t="str">
        <f>IF(certifications[[#This Row],[ISSUE DATE]]="", "", TEXT(certifications[[#This Row],[ISSUE DATE]], "YYYY"))</f>
        <v>2020</v>
      </c>
    </row>
    <row r="1785" spans="1:12" s="29" customFormat="1" ht="23.95" customHeight="1" x14ac:dyDescent="0.3">
      <c r="A1785" s="31"/>
      <c r="B1785" s="24">
        <v>1772</v>
      </c>
      <c r="C1785" s="24" t="s">
        <v>1813</v>
      </c>
      <c r="D1785" s="24" t="s">
        <v>32</v>
      </c>
      <c r="E1785" s="24" t="s">
        <v>9</v>
      </c>
      <c r="F1785" s="24">
        <v>19764</v>
      </c>
      <c r="G1785" s="25">
        <v>45315</v>
      </c>
      <c r="H1785" s="25">
        <v>46046</v>
      </c>
      <c r="I1785" s="24" t="s">
        <v>10</v>
      </c>
      <c r="J1785" s="24" t="s">
        <v>33</v>
      </c>
      <c r="K1785" s="24" t="str">
        <f>IF(certifications[[#This Row],[ISSUE DATE]]="", "", TEXT(certifications[[#This Row],[ISSUE DATE]], "MMM"))</f>
        <v>Jan</v>
      </c>
      <c r="L1785" s="35" t="str">
        <f>IF(certifications[[#This Row],[ISSUE DATE]]="", "", TEXT(certifications[[#This Row],[ISSUE DATE]], "YYYY"))</f>
        <v>2024</v>
      </c>
    </row>
    <row r="1786" spans="1:12" s="29" customFormat="1" ht="23.95" customHeight="1" x14ac:dyDescent="0.3">
      <c r="A1786" s="31"/>
      <c r="B1786" s="24">
        <v>1773</v>
      </c>
      <c r="C1786" s="24" t="s">
        <v>1813</v>
      </c>
      <c r="D1786" s="24" t="s">
        <v>32</v>
      </c>
      <c r="E1786" s="24" t="s">
        <v>26</v>
      </c>
      <c r="F1786" s="24">
        <v>19764</v>
      </c>
      <c r="G1786" s="25">
        <v>45328</v>
      </c>
      <c r="H1786" s="25">
        <v>46059</v>
      </c>
      <c r="I1786" s="24" t="s">
        <v>10</v>
      </c>
      <c r="J1786" s="24" t="s">
        <v>33</v>
      </c>
      <c r="K1786" s="24" t="str">
        <f>IF(certifications[[#This Row],[ISSUE DATE]]="", "", TEXT(certifications[[#This Row],[ISSUE DATE]], "MMM"))</f>
        <v>Feb</v>
      </c>
      <c r="L1786" s="35" t="str">
        <f>IF(certifications[[#This Row],[ISSUE DATE]]="", "", TEXT(certifications[[#This Row],[ISSUE DATE]], "YYYY"))</f>
        <v>2024</v>
      </c>
    </row>
    <row r="1787" spans="1:12" s="29" customFormat="1" ht="23.95" customHeight="1" x14ac:dyDescent="0.3">
      <c r="A1787" s="31"/>
      <c r="B1787" s="24">
        <v>1774</v>
      </c>
      <c r="C1787" s="24" t="s">
        <v>1814</v>
      </c>
      <c r="D1787" s="24" t="s">
        <v>13</v>
      </c>
      <c r="E1787" s="24" t="s">
        <v>9</v>
      </c>
      <c r="F1787" s="24">
        <v>19234</v>
      </c>
      <c r="G1787" s="25">
        <v>45202</v>
      </c>
      <c r="H1787" s="25">
        <v>45933</v>
      </c>
      <c r="I1787" s="24" t="s">
        <v>10</v>
      </c>
      <c r="J1787" s="24" t="s">
        <v>14</v>
      </c>
      <c r="K1787" s="24" t="str">
        <f>IF(certifications[[#This Row],[ISSUE DATE]]="", "", TEXT(certifications[[#This Row],[ISSUE DATE]], "MMM"))</f>
        <v>Oct</v>
      </c>
      <c r="L1787" s="35" t="str">
        <f>IF(certifications[[#This Row],[ISSUE DATE]]="", "", TEXT(certifications[[#This Row],[ISSUE DATE]], "YYYY"))</f>
        <v>2023</v>
      </c>
    </row>
    <row r="1788" spans="1:12" s="29" customFormat="1" ht="23.95" customHeight="1" x14ac:dyDescent="0.3">
      <c r="A1788" s="31"/>
      <c r="B1788" s="24">
        <v>1775</v>
      </c>
      <c r="C1788" s="24" t="s">
        <v>1815</v>
      </c>
      <c r="D1788" s="24" t="s">
        <v>176</v>
      </c>
      <c r="E1788" s="24" t="s">
        <v>9</v>
      </c>
      <c r="F1788" s="24">
        <v>18048</v>
      </c>
      <c r="G1788" s="25">
        <v>44882</v>
      </c>
      <c r="H1788" s="25">
        <v>45613</v>
      </c>
      <c r="I1788" s="24" t="s">
        <v>82</v>
      </c>
      <c r="J1788" s="24" t="s">
        <v>30</v>
      </c>
      <c r="K1788" s="24" t="str">
        <f>IF(certifications[[#This Row],[ISSUE DATE]]="", "", TEXT(certifications[[#This Row],[ISSUE DATE]], "MMM"))</f>
        <v>Nov</v>
      </c>
      <c r="L1788" s="35" t="str">
        <f>IF(certifications[[#This Row],[ISSUE DATE]]="", "", TEXT(certifications[[#This Row],[ISSUE DATE]], "YYYY"))</f>
        <v>2022</v>
      </c>
    </row>
    <row r="1789" spans="1:12" s="29" customFormat="1" ht="23.95" customHeight="1" x14ac:dyDescent="0.3">
      <c r="A1789" s="31"/>
      <c r="B1789" s="24">
        <v>1776</v>
      </c>
      <c r="C1789" s="24" t="s">
        <v>1815</v>
      </c>
      <c r="D1789" s="24" t="s">
        <v>176</v>
      </c>
      <c r="E1789" s="24" t="s">
        <v>26</v>
      </c>
      <c r="F1789" s="24">
        <v>18048</v>
      </c>
      <c r="G1789" s="25">
        <v>45197</v>
      </c>
      <c r="H1789" s="25">
        <v>45928</v>
      </c>
      <c r="I1789" s="24" t="s">
        <v>10</v>
      </c>
      <c r="J1789" s="24" t="s">
        <v>30</v>
      </c>
      <c r="K1789" s="24" t="str">
        <f>IF(certifications[[#This Row],[ISSUE DATE]]="", "", TEXT(certifications[[#This Row],[ISSUE DATE]], "MMM"))</f>
        <v>Sep</v>
      </c>
      <c r="L1789" s="35" t="str">
        <f>IF(certifications[[#This Row],[ISSUE DATE]]="", "", TEXT(certifications[[#This Row],[ISSUE DATE]], "YYYY"))</f>
        <v>2023</v>
      </c>
    </row>
    <row r="1790" spans="1:12" s="29" customFormat="1" ht="23.95" customHeight="1" x14ac:dyDescent="0.3">
      <c r="A1790" s="31"/>
      <c r="B1790" s="24">
        <v>1777</v>
      </c>
      <c r="C1790" s="24" t="s">
        <v>1816</v>
      </c>
      <c r="D1790" s="24" t="s">
        <v>18</v>
      </c>
      <c r="E1790" s="24" t="s">
        <v>9</v>
      </c>
      <c r="F1790" s="24">
        <v>17322</v>
      </c>
      <c r="G1790" s="25">
        <v>44659</v>
      </c>
      <c r="H1790" s="25">
        <v>45390</v>
      </c>
      <c r="I1790" s="24" t="s">
        <v>16</v>
      </c>
      <c r="J1790" s="24" t="s">
        <v>19</v>
      </c>
      <c r="K1790" s="24" t="str">
        <f>IF(certifications[[#This Row],[ISSUE DATE]]="", "", TEXT(certifications[[#This Row],[ISSUE DATE]], "MMM"))</f>
        <v>Apr</v>
      </c>
      <c r="L1790" s="35" t="str">
        <f>IF(certifications[[#This Row],[ISSUE DATE]]="", "", TEXT(certifications[[#This Row],[ISSUE DATE]], "YYYY"))</f>
        <v>2022</v>
      </c>
    </row>
    <row r="1791" spans="1:12" s="29" customFormat="1" ht="23.95" customHeight="1" x14ac:dyDescent="0.3">
      <c r="A1791" s="31"/>
      <c r="B1791" s="24">
        <v>1778</v>
      </c>
      <c r="C1791" s="24" t="s">
        <v>1817</v>
      </c>
      <c r="D1791" s="24" t="s">
        <v>1685</v>
      </c>
      <c r="E1791" s="24" t="s">
        <v>9</v>
      </c>
      <c r="F1791" s="24">
        <v>15012</v>
      </c>
      <c r="G1791" s="25">
        <v>43840</v>
      </c>
      <c r="H1791" s="25">
        <v>44571</v>
      </c>
      <c r="I1791" s="24" t="s">
        <v>16</v>
      </c>
      <c r="J1791" s="24" t="s">
        <v>14</v>
      </c>
      <c r="K1791" s="24" t="str">
        <f>IF(certifications[[#This Row],[ISSUE DATE]]="", "", TEXT(certifications[[#This Row],[ISSUE DATE]], "MMM"))</f>
        <v>Jan</v>
      </c>
      <c r="L1791" s="35" t="str">
        <f>IF(certifications[[#This Row],[ISSUE DATE]]="", "", TEXT(certifications[[#This Row],[ISSUE DATE]], "YYYY"))</f>
        <v>2020</v>
      </c>
    </row>
    <row r="1792" spans="1:12" s="29" customFormat="1" ht="23.95" customHeight="1" x14ac:dyDescent="0.3">
      <c r="A1792" s="31"/>
      <c r="B1792" s="24">
        <v>1779</v>
      </c>
      <c r="C1792" s="24" t="s">
        <v>1818</v>
      </c>
      <c r="D1792" s="24" t="s">
        <v>32</v>
      </c>
      <c r="E1792" s="24" t="s">
        <v>9</v>
      </c>
      <c r="F1792" s="24">
        <v>14803</v>
      </c>
      <c r="G1792" s="25">
        <v>43787</v>
      </c>
      <c r="H1792" s="25">
        <v>44518</v>
      </c>
      <c r="I1792" s="24" t="s">
        <v>16</v>
      </c>
      <c r="J1792" s="24" t="s">
        <v>33</v>
      </c>
      <c r="K1792" s="24" t="str">
        <f>IF(certifications[[#This Row],[ISSUE DATE]]="", "", TEXT(certifications[[#This Row],[ISSUE DATE]], "MMM"))</f>
        <v>Nov</v>
      </c>
      <c r="L1792" s="35" t="str">
        <f>IF(certifications[[#This Row],[ISSUE DATE]]="", "", TEXT(certifications[[#This Row],[ISSUE DATE]], "YYYY"))</f>
        <v>2019</v>
      </c>
    </row>
    <row r="1793" spans="1:12" s="29" customFormat="1" ht="23.95" customHeight="1" x14ac:dyDescent="0.3">
      <c r="A1793" s="31"/>
      <c r="B1793" s="24">
        <v>1780</v>
      </c>
      <c r="C1793" s="24" t="s">
        <v>1819</v>
      </c>
      <c r="D1793" s="24" t="s">
        <v>32</v>
      </c>
      <c r="E1793" s="24" t="s">
        <v>9</v>
      </c>
      <c r="F1793" s="24">
        <v>3768</v>
      </c>
      <c r="G1793" s="25">
        <v>42887</v>
      </c>
      <c r="H1793" s="25">
        <v>43617</v>
      </c>
      <c r="I1793" s="24" t="s">
        <v>16</v>
      </c>
      <c r="J1793" s="24" t="s">
        <v>33</v>
      </c>
      <c r="K1793" s="24" t="str">
        <f>IF(certifications[[#This Row],[ISSUE DATE]]="", "", TEXT(certifications[[#This Row],[ISSUE DATE]], "MMM"))</f>
        <v>Jun</v>
      </c>
      <c r="L1793" s="35" t="str">
        <f>IF(certifications[[#This Row],[ISSUE DATE]]="", "", TEXT(certifications[[#This Row],[ISSUE DATE]], "YYYY"))</f>
        <v>2017</v>
      </c>
    </row>
    <row r="1794" spans="1:12" s="29" customFormat="1" ht="23.95" customHeight="1" x14ac:dyDescent="0.3">
      <c r="A1794" s="31"/>
      <c r="B1794" s="24">
        <v>1781</v>
      </c>
      <c r="C1794" s="24" t="s">
        <v>1820</v>
      </c>
      <c r="D1794" s="24" t="s">
        <v>141</v>
      </c>
      <c r="E1794" s="24" t="s">
        <v>9</v>
      </c>
      <c r="F1794" s="24">
        <v>10655</v>
      </c>
      <c r="G1794" s="25">
        <v>43118</v>
      </c>
      <c r="H1794" s="25">
        <v>44579</v>
      </c>
      <c r="I1794" s="24" t="s">
        <v>16</v>
      </c>
      <c r="J1794" s="24" t="s">
        <v>38</v>
      </c>
      <c r="K1794" s="24" t="str">
        <f>IF(certifications[[#This Row],[ISSUE DATE]]="", "", TEXT(certifications[[#This Row],[ISSUE DATE]], "MMM"))</f>
        <v>Jan</v>
      </c>
      <c r="L1794" s="35" t="str">
        <f>IF(certifications[[#This Row],[ISSUE DATE]]="", "", TEXT(certifications[[#This Row],[ISSUE DATE]], "YYYY"))</f>
        <v>2018</v>
      </c>
    </row>
    <row r="1795" spans="1:12" s="29" customFormat="1" ht="23.95" customHeight="1" x14ac:dyDescent="0.3">
      <c r="A1795" s="31"/>
      <c r="B1795" s="24">
        <v>1782</v>
      </c>
      <c r="C1795" s="24" t="s">
        <v>1821</v>
      </c>
      <c r="D1795" s="24" t="s">
        <v>1822</v>
      </c>
      <c r="E1795" s="24" t="s">
        <v>9</v>
      </c>
      <c r="F1795" s="24">
        <v>8876</v>
      </c>
      <c r="G1795" s="25">
        <v>41774</v>
      </c>
      <c r="H1795" s="25">
        <v>42505</v>
      </c>
      <c r="I1795" s="24" t="s">
        <v>16</v>
      </c>
      <c r="J1795" s="24" t="s">
        <v>30</v>
      </c>
      <c r="K1795" s="24" t="str">
        <f>IF(certifications[[#This Row],[ISSUE DATE]]="", "", TEXT(certifications[[#This Row],[ISSUE DATE]], "MMM"))</f>
        <v>May</v>
      </c>
      <c r="L1795" s="35" t="str">
        <f>IF(certifications[[#This Row],[ISSUE DATE]]="", "", TEXT(certifications[[#This Row],[ISSUE DATE]], "YYYY"))</f>
        <v>2014</v>
      </c>
    </row>
    <row r="1796" spans="1:12" s="29" customFormat="1" ht="23.95" customHeight="1" x14ac:dyDescent="0.3">
      <c r="A1796" s="31"/>
      <c r="B1796" s="24">
        <v>1783</v>
      </c>
      <c r="C1796" s="24" t="s">
        <v>1823</v>
      </c>
      <c r="D1796" s="24" t="s">
        <v>46</v>
      </c>
      <c r="E1796" s="24" t="s">
        <v>9</v>
      </c>
      <c r="F1796" s="24">
        <v>21269</v>
      </c>
      <c r="G1796" s="25">
        <v>45642</v>
      </c>
      <c r="H1796" s="25">
        <v>46372</v>
      </c>
      <c r="I1796" s="24" t="s">
        <v>10</v>
      </c>
      <c r="J1796" s="24" t="s">
        <v>38</v>
      </c>
      <c r="K1796" s="24" t="str">
        <f>IF(certifications[[#This Row],[ISSUE DATE]]="", "", TEXT(certifications[[#This Row],[ISSUE DATE]], "MMM"))</f>
        <v>Dec</v>
      </c>
      <c r="L1796" s="35" t="str">
        <f>IF(certifications[[#This Row],[ISSUE DATE]]="", "", TEXT(certifications[[#This Row],[ISSUE DATE]], "YYYY"))</f>
        <v>2024</v>
      </c>
    </row>
    <row r="1797" spans="1:12" s="29" customFormat="1" ht="23.95" customHeight="1" x14ac:dyDescent="0.3">
      <c r="A1797" s="31"/>
      <c r="B1797" s="24">
        <v>1784</v>
      </c>
      <c r="C1797" s="24" t="s">
        <v>1824</v>
      </c>
      <c r="D1797" s="24" t="s">
        <v>169</v>
      </c>
      <c r="E1797" s="24" t="s">
        <v>9</v>
      </c>
      <c r="F1797" s="24">
        <v>17299</v>
      </c>
      <c r="G1797" s="25">
        <v>44656</v>
      </c>
      <c r="H1797" s="25">
        <v>45387</v>
      </c>
      <c r="I1797" s="24" t="s">
        <v>16</v>
      </c>
      <c r="J1797" s="24" t="s">
        <v>14</v>
      </c>
      <c r="K1797" s="24" t="str">
        <f>IF(certifications[[#This Row],[ISSUE DATE]]="", "", TEXT(certifications[[#This Row],[ISSUE DATE]], "MMM"))</f>
        <v>Apr</v>
      </c>
      <c r="L1797" s="35" t="str">
        <f>IF(certifications[[#This Row],[ISSUE DATE]]="", "", TEXT(certifications[[#This Row],[ISSUE DATE]], "YYYY"))</f>
        <v>2022</v>
      </c>
    </row>
    <row r="1798" spans="1:12" s="29" customFormat="1" ht="23.95" customHeight="1" x14ac:dyDescent="0.3">
      <c r="A1798" s="31"/>
      <c r="B1798" s="24">
        <v>1785</v>
      </c>
      <c r="C1798" s="24" t="s">
        <v>1825</v>
      </c>
      <c r="D1798" s="24" t="s">
        <v>32</v>
      </c>
      <c r="E1798" s="24" t="s">
        <v>9</v>
      </c>
      <c r="F1798" s="24">
        <v>18205</v>
      </c>
      <c r="G1798" s="25">
        <v>44934</v>
      </c>
      <c r="H1798" s="25">
        <v>46395</v>
      </c>
      <c r="I1798" s="24" t="s">
        <v>10</v>
      </c>
      <c r="J1798" s="24" t="s">
        <v>33</v>
      </c>
      <c r="K1798" s="24" t="str">
        <f>IF(certifications[[#This Row],[ISSUE DATE]]="", "", TEXT(certifications[[#This Row],[ISSUE DATE]], "MMM"))</f>
        <v>Jan</v>
      </c>
      <c r="L1798" s="35" t="str">
        <f>IF(certifications[[#This Row],[ISSUE DATE]]="", "", TEXT(certifications[[#This Row],[ISSUE DATE]], "YYYY"))</f>
        <v>2023</v>
      </c>
    </row>
    <row r="1799" spans="1:12" s="29" customFormat="1" ht="23.95" customHeight="1" x14ac:dyDescent="0.3">
      <c r="A1799" s="31"/>
      <c r="B1799" s="24">
        <v>1786</v>
      </c>
      <c r="C1799" s="24" t="s">
        <v>1826</v>
      </c>
      <c r="D1799" s="24" t="s">
        <v>1827</v>
      </c>
      <c r="E1799" s="24" t="s">
        <v>9</v>
      </c>
      <c r="F1799" s="24">
        <v>9979</v>
      </c>
      <c r="G1799" s="25">
        <v>42746</v>
      </c>
      <c r="H1799" s="25">
        <v>43476</v>
      </c>
      <c r="I1799" s="24" t="s">
        <v>16</v>
      </c>
      <c r="J1799" s="24" t="s">
        <v>30</v>
      </c>
      <c r="K1799" s="24" t="str">
        <f>IF(certifications[[#This Row],[ISSUE DATE]]="", "", TEXT(certifications[[#This Row],[ISSUE DATE]], "MMM"))</f>
        <v>Jan</v>
      </c>
      <c r="L1799" s="35" t="str">
        <f>IF(certifications[[#This Row],[ISSUE DATE]]="", "", TEXT(certifications[[#This Row],[ISSUE DATE]], "YYYY"))</f>
        <v>2017</v>
      </c>
    </row>
    <row r="1800" spans="1:12" s="29" customFormat="1" ht="23.95" customHeight="1" x14ac:dyDescent="0.3">
      <c r="A1800" s="31"/>
      <c r="B1800" s="24">
        <v>1787</v>
      </c>
      <c r="C1800" s="24" t="s">
        <v>1828</v>
      </c>
      <c r="D1800" s="24" t="s">
        <v>32</v>
      </c>
      <c r="E1800" s="24" t="s">
        <v>9</v>
      </c>
      <c r="F1800" s="24">
        <v>15690</v>
      </c>
      <c r="G1800" s="25">
        <v>44343</v>
      </c>
      <c r="H1800" s="25">
        <v>46363</v>
      </c>
      <c r="I1800" s="24" t="s">
        <v>10</v>
      </c>
      <c r="J1800" s="24" t="s">
        <v>33</v>
      </c>
      <c r="K1800" s="24" t="str">
        <f>IF(certifications[[#This Row],[ISSUE DATE]]="", "", TEXT(certifications[[#This Row],[ISSUE DATE]], "MMM"))</f>
        <v>May</v>
      </c>
      <c r="L1800" s="35" t="str">
        <f>IF(certifications[[#This Row],[ISSUE DATE]]="", "", TEXT(certifications[[#This Row],[ISSUE DATE]], "YYYY"))</f>
        <v>2021</v>
      </c>
    </row>
    <row r="1801" spans="1:12" s="29" customFormat="1" ht="23.95" customHeight="1" x14ac:dyDescent="0.3">
      <c r="A1801" s="31"/>
      <c r="B1801" s="24">
        <v>1788</v>
      </c>
      <c r="C1801" s="24" t="s">
        <v>1829</v>
      </c>
      <c r="D1801" s="24" t="s">
        <v>131</v>
      </c>
      <c r="E1801" s="24" t="s">
        <v>9</v>
      </c>
      <c r="F1801" s="24">
        <v>13335</v>
      </c>
      <c r="G1801" s="25">
        <v>43599</v>
      </c>
      <c r="H1801" s="25">
        <v>46521</v>
      </c>
      <c r="I1801" s="24" t="s">
        <v>10</v>
      </c>
      <c r="J1801" s="24" t="s">
        <v>38</v>
      </c>
      <c r="K1801" s="24" t="str">
        <f>IF(certifications[[#This Row],[ISSUE DATE]]="", "", TEXT(certifications[[#This Row],[ISSUE DATE]], "MMM"))</f>
        <v>May</v>
      </c>
      <c r="L1801" s="35" t="str">
        <f>IF(certifications[[#This Row],[ISSUE DATE]]="", "", TEXT(certifications[[#This Row],[ISSUE DATE]], "YYYY"))</f>
        <v>2019</v>
      </c>
    </row>
    <row r="1802" spans="1:12" s="29" customFormat="1" ht="23.95" customHeight="1" x14ac:dyDescent="0.3">
      <c r="A1802" s="31"/>
      <c r="B1802" s="24">
        <v>1789</v>
      </c>
      <c r="C1802" s="24" t="s">
        <v>1830</v>
      </c>
      <c r="D1802" s="24" t="s">
        <v>32</v>
      </c>
      <c r="E1802" s="24" t="s">
        <v>9</v>
      </c>
      <c r="F1802" s="24">
        <v>8688</v>
      </c>
      <c r="G1802" s="25">
        <v>41603</v>
      </c>
      <c r="H1802" s="25">
        <v>42333</v>
      </c>
      <c r="I1802" s="24" t="s">
        <v>16</v>
      </c>
      <c r="J1802" s="24" t="s">
        <v>33</v>
      </c>
      <c r="K1802" s="24" t="str">
        <f>IF(certifications[[#This Row],[ISSUE DATE]]="", "", TEXT(certifications[[#This Row],[ISSUE DATE]], "MMM"))</f>
        <v>Nov</v>
      </c>
      <c r="L1802" s="35" t="str">
        <f>IF(certifications[[#This Row],[ISSUE DATE]]="", "", TEXT(certifications[[#This Row],[ISSUE DATE]], "YYYY"))</f>
        <v>2013</v>
      </c>
    </row>
    <row r="1803" spans="1:12" s="29" customFormat="1" ht="23.95" customHeight="1" x14ac:dyDescent="0.3">
      <c r="A1803" s="31"/>
      <c r="B1803" s="24">
        <v>1790</v>
      </c>
      <c r="C1803" s="24" t="s">
        <v>1831</v>
      </c>
      <c r="D1803" s="24" t="s">
        <v>32</v>
      </c>
      <c r="E1803" s="24" t="s">
        <v>9</v>
      </c>
      <c r="F1803" s="24">
        <v>8973</v>
      </c>
      <c r="G1803" s="25">
        <v>41849</v>
      </c>
      <c r="H1803" s="25">
        <v>44041</v>
      </c>
      <c r="I1803" s="24" t="s">
        <v>16</v>
      </c>
      <c r="J1803" s="24" t="s">
        <v>33</v>
      </c>
      <c r="K1803" s="24" t="str">
        <f>IF(certifications[[#This Row],[ISSUE DATE]]="", "", TEXT(certifications[[#This Row],[ISSUE DATE]], "MMM"))</f>
        <v>Jul</v>
      </c>
      <c r="L1803" s="35" t="str">
        <f>IF(certifications[[#This Row],[ISSUE DATE]]="", "", TEXT(certifications[[#This Row],[ISSUE DATE]], "YYYY"))</f>
        <v>2014</v>
      </c>
    </row>
    <row r="1804" spans="1:12" s="29" customFormat="1" ht="23.95" customHeight="1" x14ac:dyDescent="0.3">
      <c r="A1804" s="31"/>
      <c r="B1804" s="24">
        <v>1791</v>
      </c>
      <c r="C1804" s="24" t="s">
        <v>1832</v>
      </c>
      <c r="D1804" s="24" t="s">
        <v>238</v>
      </c>
      <c r="E1804" s="24" t="s">
        <v>9</v>
      </c>
      <c r="F1804" s="24">
        <v>8634</v>
      </c>
      <c r="G1804" s="25">
        <v>41530</v>
      </c>
      <c r="H1804" s="25">
        <v>42991</v>
      </c>
      <c r="I1804" s="24" t="s">
        <v>16</v>
      </c>
      <c r="J1804" s="24" t="s">
        <v>38</v>
      </c>
      <c r="K1804" s="24" t="str">
        <f>IF(certifications[[#This Row],[ISSUE DATE]]="", "", TEXT(certifications[[#This Row],[ISSUE DATE]], "MMM"))</f>
        <v>Sep</v>
      </c>
      <c r="L1804" s="35" t="str">
        <f>IF(certifications[[#This Row],[ISSUE DATE]]="", "", TEXT(certifications[[#This Row],[ISSUE DATE]], "YYYY"))</f>
        <v>2013</v>
      </c>
    </row>
    <row r="1805" spans="1:12" s="29" customFormat="1" ht="23.95" customHeight="1" x14ac:dyDescent="0.3">
      <c r="A1805" s="31"/>
      <c r="B1805" s="24">
        <v>1792</v>
      </c>
      <c r="C1805" s="24" t="s">
        <v>1833</v>
      </c>
      <c r="D1805" s="24" t="s">
        <v>290</v>
      </c>
      <c r="E1805" s="24" t="s">
        <v>9</v>
      </c>
      <c r="F1805" s="24">
        <v>13344</v>
      </c>
      <c r="G1805" s="25">
        <v>43599</v>
      </c>
      <c r="H1805" s="25">
        <v>45791</v>
      </c>
      <c r="I1805" s="24" t="s">
        <v>82</v>
      </c>
      <c r="J1805" s="24" t="s">
        <v>25</v>
      </c>
      <c r="K1805" s="24" t="str">
        <f>IF(certifications[[#This Row],[ISSUE DATE]]="", "", TEXT(certifications[[#This Row],[ISSUE DATE]], "MMM"))</f>
        <v>May</v>
      </c>
      <c r="L1805" s="35" t="str">
        <f>IF(certifications[[#This Row],[ISSUE DATE]]="", "", TEXT(certifications[[#This Row],[ISSUE DATE]], "YYYY"))</f>
        <v>2019</v>
      </c>
    </row>
    <row r="1806" spans="1:12" s="29" customFormat="1" ht="23.95" customHeight="1" x14ac:dyDescent="0.3">
      <c r="A1806" s="31"/>
      <c r="B1806" s="24">
        <v>1793</v>
      </c>
      <c r="C1806" s="24" t="s">
        <v>1834</v>
      </c>
      <c r="D1806" s="24" t="s">
        <v>256</v>
      </c>
      <c r="E1806" s="24" t="s">
        <v>9</v>
      </c>
      <c r="F1806" s="24">
        <v>10113</v>
      </c>
      <c r="G1806" s="25">
        <v>42846</v>
      </c>
      <c r="H1806" s="25">
        <v>43576</v>
      </c>
      <c r="I1806" s="24" t="s">
        <v>16</v>
      </c>
      <c r="J1806" s="24" t="s">
        <v>14</v>
      </c>
      <c r="K1806" s="24" t="str">
        <f>IF(certifications[[#This Row],[ISSUE DATE]]="", "", TEXT(certifications[[#This Row],[ISSUE DATE]], "MMM"))</f>
        <v>Apr</v>
      </c>
      <c r="L1806" s="35" t="str">
        <f>IF(certifications[[#This Row],[ISSUE DATE]]="", "", TEXT(certifications[[#This Row],[ISSUE DATE]], "YYYY"))</f>
        <v>2017</v>
      </c>
    </row>
    <row r="1807" spans="1:12" s="29" customFormat="1" ht="23.95" customHeight="1" x14ac:dyDescent="0.3">
      <c r="A1807" s="31"/>
      <c r="B1807" s="24">
        <v>1794</v>
      </c>
      <c r="C1807" s="24" t="s">
        <v>1834</v>
      </c>
      <c r="D1807" s="24" t="s">
        <v>32</v>
      </c>
      <c r="E1807" s="24" t="s">
        <v>9</v>
      </c>
      <c r="F1807" s="24">
        <v>11351</v>
      </c>
      <c r="G1807" s="25">
        <v>43227</v>
      </c>
      <c r="H1807" s="25">
        <v>46149</v>
      </c>
      <c r="I1807" s="24" t="s">
        <v>10</v>
      </c>
      <c r="J1807" s="24" t="s">
        <v>33</v>
      </c>
      <c r="K1807" s="24" t="str">
        <f>IF(certifications[[#This Row],[ISSUE DATE]]="", "", TEXT(certifications[[#This Row],[ISSUE DATE]], "MMM"))</f>
        <v>May</v>
      </c>
      <c r="L1807" s="35" t="str">
        <f>IF(certifications[[#This Row],[ISSUE DATE]]="", "", TEXT(certifications[[#This Row],[ISSUE DATE]], "YYYY"))</f>
        <v>2018</v>
      </c>
    </row>
    <row r="1808" spans="1:12" s="29" customFormat="1" ht="23.95" customHeight="1" x14ac:dyDescent="0.3">
      <c r="A1808" s="31"/>
      <c r="B1808" s="24">
        <v>1795</v>
      </c>
      <c r="C1808" s="24" t="s">
        <v>1834</v>
      </c>
      <c r="D1808" s="24" t="s">
        <v>32</v>
      </c>
      <c r="E1808" s="24" t="s">
        <v>26</v>
      </c>
      <c r="F1808" s="24">
        <v>11351</v>
      </c>
      <c r="G1808" s="25">
        <v>43578</v>
      </c>
      <c r="H1808" s="25">
        <v>46149</v>
      </c>
      <c r="I1808" s="24" t="s">
        <v>10</v>
      </c>
      <c r="J1808" s="24" t="s">
        <v>33</v>
      </c>
      <c r="K1808" s="24" t="str">
        <f>IF(certifications[[#This Row],[ISSUE DATE]]="", "", TEXT(certifications[[#This Row],[ISSUE DATE]], "MMM"))</f>
        <v>Apr</v>
      </c>
      <c r="L1808" s="35" t="str">
        <f>IF(certifications[[#This Row],[ISSUE DATE]]="", "", TEXT(certifications[[#This Row],[ISSUE DATE]], "YYYY"))</f>
        <v>2019</v>
      </c>
    </row>
    <row r="1809" spans="1:12" s="29" customFormat="1" ht="23.95" customHeight="1" x14ac:dyDescent="0.3">
      <c r="A1809" s="31"/>
      <c r="B1809" s="24">
        <v>1796</v>
      </c>
      <c r="C1809" s="24" t="s">
        <v>1835</v>
      </c>
      <c r="D1809" s="24" t="s">
        <v>148</v>
      </c>
      <c r="E1809" s="24" t="s">
        <v>9</v>
      </c>
      <c r="F1809" s="24">
        <v>20350</v>
      </c>
      <c r="G1809" s="25">
        <v>45441</v>
      </c>
      <c r="H1809" s="25">
        <v>46171</v>
      </c>
      <c r="I1809" s="24" t="s">
        <v>10</v>
      </c>
      <c r="J1809" s="24" t="s">
        <v>14</v>
      </c>
      <c r="K1809" s="24" t="str">
        <f>IF(certifications[[#This Row],[ISSUE DATE]]="", "", TEXT(certifications[[#This Row],[ISSUE DATE]], "MMM"))</f>
        <v>May</v>
      </c>
      <c r="L1809" s="35" t="str">
        <f>IF(certifications[[#This Row],[ISSUE DATE]]="", "", TEXT(certifications[[#This Row],[ISSUE DATE]], "YYYY"))</f>
        <v>2024</v>
      </c>
    </row>
    <row r="1810" spans="1:12" s="29" customFormat="1" ht="23.95" customHeight="1" x14ac:dyDescent="0.3">
      <c r="A1810" s="31"/>
      <c r="B1810" s="24">
        <v>1797</v>
      </c>
      <c r="C1810" s="24" t="s">
        <v>1836</v>
      </c>
      <c r="D1810" s="24" t="s">
        <v>806</v>
      </c>
      <c r="E1810" s="24" t="s">
        <v>9</v>
      </c>
      <c r="F1810" s="24">
        <v>8449</v>
      </c>
      <c r="G1810" s="25">
        <v>41412</v>
      </c>
      <c r="H1810" s="25">
        <v>44334</v>
      </c>
      <c r="I1810" s="24" t="s">
        <v>16</v>
      </c>
      <c r="J1810" s="24" t="s">
        <v>22</v>
      </c>
      <c r="K1810" s="24" t="str">
        <f>IF(certifications[[#This Row],[ISSUE DATE]]="", "", TEXT(certifications[[#This Row],[ISSUE DATE]], "MMM"))</f>
        <v>May</v>
      </c>
      <c r="L1810" s="35" t="str">
        <f>IF(certifications[[#This Row],[ISSUE DATE]]="", "", TEXT(certifications[[#This Row],[ISSUE DATE]], "YYYY"))</f>
        <v>2013</v>
      </c>
    </row>
    <row r="1811" spans="1:12" s="29" customFormat="1" ht="23.95" customHeight="1" x14ac:dyDescent="0.3">
      <c r="A1811" s="31"/>
      <c r="B1811" s="24">
        <v>1798</v>
      </c>
      <c r="C1811" s="24" t="s">
        <v>1837</v>
      </c>
      <c r="D1811" s="24" t="s">
        <v>813</v>
      </c>
      <c r="E1811" s="24" t="s">
        <v>9</v>
      </c>
      <c r="F1811" s="24">
        <v>14690</v>
      </c>
      <c r="G1811" s="25">
        <v>43718</v>
      </c>
      <c r="H1811" s="25">
        <v>45910</v>
      </c>
      <c r="I1811" s="24" t="s">
        <v>10</v>
      </c>
      <c r="J1811" s="24" t="s">
        <v>22</v>
      </c>
      <c r="K1811" s="24" t="str">
        <f>IF(certifications[[#This Row],[ISSUE DATE]]="", "", TEXT(certifications[[#This Row],[ISSUE DATE]], "MMM"))</f>
        <v>Sep</v>
      </c>
      <c r="L1811" s="35" t="str">
        <f>IF(certifications[[#This Row],[ISSUE DATE]]="", "", TEXT(certifications[[#This Row],[ISSUE DATE]], "YYYY"))</f>
        <v>2019</v>
      </c>
    </row>
    <row r="1812" spans="1:12" s="29" customFormat="1" ht="23.95" customHeight="1" x14ac:dyDescent="0.3">
      <c r="A1812" s="31"/>
      <c r="B1812" s="24">
        <v>1799</v>
      </c>
      <c r="C1812" s="24" t="s">
        <v>1838</v>
      </c>
      <c r="D1812" s="24" t="s">
        <v>131</v>
      </c>
      <c r="E1812" s="24" t="s">
        <v>9</v>
      </c>
      <c r="F1812" s="24">
        <v>15515</v>
      </c>
      <c r="G1812" s="25">
        <v>44096</v>
      </c>
      <c r="H1812" s="25">
        <v>44826</v>
      </c>
      <c r="I1812" s="24" t="s">
        <v>16</v>
      </c>
      <c r="J1812" s="24" t="s">
        <v>38</v>
      </c>
      <c r="K1812" s="24" t="str">
        <f>IF(certifications[[#This Row],[ISSUE DATE]]="", "", TEXT(certifications[[#This Row],[ISSUE DATE]], "MMM"))</f>
        <v>Sep</v>
      </c>
      <c r="L1812" s="35" t="str">
        <f>IF(certifications[[#This Row],[ISSUE DATE]]="", "", TEXT(certifications[[#This Row],[ISSUE DATE]], "YYYY"))</f>
        <v>2020</v>
      </c>
    </row>
    <row r="1813" spans="1:12" s="29" customFormat="1" ht="23.95" customHeight="1" x14ac:dyDescent="0.3">
      <c r="A1813" s="31"/>
      <c r="B1813" s="24">
        <v>1800</v>
      </c>
      <c r="C1813" s="24" t="s">
        <v>1839</v>
      </c>
      <c r="D1813" s="24" t="s">
        <v>40</v>
      </c>
      <c r="E1813" s="24" t="s">
        <v>26</v>
      </c>
      <c r="F1813" s="24">
        <v>15804</v>
      </c>
      <c r="G1813" s="25">
        <v>44197</v>
      </c>
      <c r="H1813" s="25">
        <v>44927</v>
      </c>
      <c r="I1813" s="24" t="s">
        <v>16</v>
      </c>
      <c r="J1813" s="24" t="s">
        <v>25</v>
      </c>
      <c r="K1813" s="24" t="str">
        <f>IF(certifications[[#This Row],[ISSUE DATE]]="", "", TEXT(certifications[[#This Row],[ISSUE DATE]], "MMM"))</f>
        <v>Jan</v>
      </c>
      <c r="L1813" s="35" t="str">
        <f>IF(certifications[[#This Row],[ISSUE DATE]]="", "", TEXT(certifications[[#This Row],[ISSUE DATE]], "YYYY"))</f>
        <v>2021</v>
      </c>
    </row>
    <row r="1814" spans="1:12" s="29" customFormat="1" ht="23.95" customHeight="1" x14ac:dyDescent="0.3">
      <c r="A1814" s="31"/>
      <c r="B1814" s="24">
        <v>1801</v>
      </c>
      <c r="C1814" s="24" t="s">
        <v>1840</v>
      </c>
      <c r="D1814" s="24" t="s">
        <v>88</v>
      </c>
      <c r="E1814" s="24" t="s">
        <v>9</v>
      </c>
      <c r="F1814" s="24">
        <v>18853</v>
      </c>
      <c r="G1814" s="25">
        <v>45114</v>
      </c>
      <c r="H1814" s="25">
        <v>45845</v>
      </c>
      <c r="I1814" s="24" t="s">
        <v>10</v>
      </c>
      <c r="J1814" s="24" t="s">
        <v>19</v>
      </c>
      <c r="K1814" s="24" t="str">
        <f>IF(certifications[[#This Row],[ISSUE DATE]]="", "", TEXT(certifications[[#This Row],[ISSUE DATE]], "MMM"))</f>
        <v>Jul</v>
      </c>
      <c r="L1814" s="35" t="str">
        <f>IF(certifications[[#This Row],[ISSUE DATE]]="", "", TEXT(certifications[[#This Row],[ISSUE DATE]], "YYYY"))</f>
        <v>2023</v>
      </c>
    </row>
    <row r="1815" spans="1:12" s="29" customFormat="1" ht="23.95" customHeight="1" x14ac:dyDescent="0.3">
      <c r="A1815" s="31"/>
      <c r="B1815" s="24">
        <v>1802</v>
      </c>
      <c r="C1815" s="24" t="s">
        <v>1841</v>
      </c>
      <c r="D1815" s="24" t="s">
        <v>32</v>
      </c>
      <c r="E1815" s="24" t="s">
        <v>9</v>
      </c>
      <c r="F1815" s="24">
        <v>11838</v>
      </c>
      <c r="G1815" s="25">
        <v>43670</v>
      </c>
      <c r="H1815" s="25">
        <v>44745</v>
      </c>
      <c r="I1815" s="24" t="s">
        <v>16</v>
      </c>
      <c r="J1815" s="24" t="s">
        <v>33</v>
      </c>
      <c r="K1815" s="24" t="str">
        <f>IF(certifications[[#This Row],[ISSUE DATE]]="", "", TEXT(certifications[[#This Row],[ISSUE DATE]], "MMM"))</f>
        <v>Jul</v>
      </c>
      <c r="L1815" s="35" t="str">
        <f>IF(certifications[[#This Row],[ISSUE DATE]]="", "", TEXT(certifications[[#This Row],[ISSUE DATE]], "YYYY"))</f>
        <v>2019</v>
      </c>
    </row>
    <row r="1816" spans="1:12" s="29" customFormat="1" ht="23.95" customHeight="1" x14ac:dyDescent="0.3">
      <c r="A1816" s="31"/>
      <c r="B1816" s="24">
        <v>1803</v>
      </c>
      <c r="C1816" s="24" t="s">
        <v>1842</v>
      </c>
      <c r="D1816" s="24" t="s">
        <v>32</v>
      </c>
      <c r="E1816" s="24" t="s">
        <v>9</v>
      </c>
      <c r="F1816" s="24">
        <v>14799</v>
      </c>
      <c r="G1816" s="25">
        <v>43787</v>
      </c>
      <c r="H1816" s="25">
        <v>45979</v>
      </c>
      <c r="I1816" s="24" t="s">
        <v>10</v>
      </c>
      <c r="J1816" s="24" t="s">
        <v>33</v>
      </c>
      <c r="K1816" s="24" t="str">
        <f>IF(certifications[[#This Row],[ISSUE DATE]]="", "", TEXT(certifications[[#This Row],[ISSUE DATE]], "MMM"))</f>
        <v>Nov</v>
      </c>
      <c r="L1816" s="35" t="str">
        <f>IF(certifications[[#This Row],[ISSUE DATE]]="", "", TEXT(certifications[[#This Row],[ISSUE DATE]], "YYYY"))</f>
        <v>2019</v>
      </c>
    </row>
    <row r="1817" spans="1:12" s="29" customFormat="1" ht="23.95" customHeight="1" x14ac:dyDescent="0.3">
      <c r="A1817" s="31"/>
      <c r="B1817" s="24">
        <v>1804</v>
      </c>
      <c r="C1817" s="24" t="s">
        <v>1843</v>
      </c>
      <c r="D1817" s="24" t="s">
        <v>1844</v>
      </c>
      <c r="E1817" s="24" t="s">
        <v>26</v>
      </c>
      <c r="F1817" s="24">
        <v>21973</v>
      </c>
      <c r="G1817" s="25">
        <v>45797</v>
      </c>
      <c r="H1817" s="25">
        <v>46527</v>
      </c>
      <c r="I1817" s="24" t="s">
        <v>10</v>
      </c>
      <c r="J1817" s="24" t="s">
        <v>30</v>
      </c>
      <c r="K1817" s="24" t="str">
        <f>IF(certifications[[#This Row],[ISSUE DATE]]="", "", TEXT(certifications[[#This Row],[ISSUE DATE]], "MMM"))</f>
        <v>May</v>
      </c>
      <c r="L1817" s="35" t="str">
        <f>IF(certifications[[#This Row],[ISSUE DATE]]="", "", TEXT(certifications[[#This Row],[ISSUE DATE]], "YYYY"))</f>
        <v>2025</v>
      </c>
    </row>
    <row r="1818" spans="1:12" s="29" customFormat="1" ht="23.95" customHeight="1" x14ac:dyDescent="0.3">
      <c r="A1818" s="31"/>
      <c r="B1818" s="24">
        <v>1805</v>
      </c>
      <c r="C1818" s="24" t="s">
        <v>1845</v>
      </c>
      <c r="D1818" s="24" t="s">
        <v>616</v>
      </c>
      <c r="E1818" s="24" t="s">
        <v>9</v>
      </c>
      <c r="F1818" s="24">
        <v>10020</v>
      </c>
      <c r="G1818" s="25">
        <v>42766</v>
      </c>
      <c r="H1818" s="25">
        <v>44957</v>
      </c>
      <c r="I1818" s="24" t="s">
        <v>16</v>
      </c>
      <c r="J1818" s="24" t="s">
        <v>22</v>
      </c>
      <c r="K1818" s="24" t="str">
        <f>IF(certifications[[#This Row],[ISSUE DATE]]="", "", TEXT(certifications[[#This Row],[ISSUE DATE]], "MMM"))</f>
        <v>Jan</v>
      </c>
      <c r="L1818" s="35" t="str">
        <f>IF(certifications[[#This Row],[ISSUE DATE]]="", "", TEXT(certifications[[#This Row],[ISSUE DATE]], "YYYY"))</f>
        <v>2017</v>
      </c>
    </row>
    <row r="1819" spans="1:12" s="29" customFormat="1" ht="23.95" customHeight="1" x14ac:dyDescent="0.3">
      <c r="A1819" s="31"/>
      <c r="B1819" s="24">
        <v>1806</v>
      </c>
      <c r="C1819" s="24" t="s">
        <v>1846</v>
      </c>
      <c r="D1819" s="24" t="s">
        <v>32</v>
      </c>
      <c r="E1819" s="24" t="s">
        <v>9</v>
      </c>
      <c r="F1819" s="24">
        <v>10375</v>
      </c>
      <c r="G1819" s="25">
        <v>42986</v>
      </c>
      <c r="H1819" s="25">
        <v>45177</v>
      </c>
      <c r="I1819" s="24" t="s">
        <v>16</v>
      </c>
      <c r="J1819" s="24" t="s">
        <v>33</v>
      </c>
      <c r="K1819" s="24" t="str">
        <f>IF(certifications[[#This Row],[ISSUE DATE]]="", "", TEXT(certifications[[#This Row],[ISSUE DATE]], "MMM"))</f>
        <v>Sep</v>
      </c>
      <c r="L1819" s="35" t="str">
        <f>IF(certifications[[#This Row],[ISSUE DATE]]="", "", TEXT(certifications[[#This Row],[ISSUE DATE]], "YYYY"))</f>
        <v>2017</v>
      </c>
    </row>
    <row r="1820" spans="1:12" s="29" customFormat="1" ht="23.95" customHeight="1" x14ac:dyDescent="0.3">
      <c r="A1820" s="31"/>
      <c r="B1820" s="24">
        <v>1807</v>
      </c>
      <c r="C1820" s="24" t="s">
        <v>1847</v>
      </c>
      <c r="D1820" s="24" t="s">
        <v>1071</v>
      </c>
      <c r="E1820" s="24" t="s">
        <v>26</v>
      </c>
      <c r="F1820" s="24">
        <v>15683</v>
      </c>
      <c r="G1820" s="25">
        <v>44169</v>
      </c>
      <c r="H1820" s="25">
        <v>46360</v>
      </c>
      <c r="I1820" s="24" t="s">
        <v>10</v>
      </c>
      <c r="J1820" s="24" t="s">
        <v>30</v>
      </c>
      <c r="K1820" s="24" t="str">
        <f>IF(certifications[[#This Row],[ISSUE DATE]]="", "", TEXT(certifications[[#This Row],[ISSUE DATE]], "MMM"))</f>
        <v>Dec</v>
      </c>
      <c r="L1820" s="35" t="str">
        <f>IF(certifications[[#This Row],[ISSUE DATE]]="", "", TEXT(certifications[[#This Row],[ISSUE DATE]], "YYYY"))</f>
        <v>2020</v>
      </c>
    </row>
    <row r="1821" spans="1:12" s="29" customFormat="1" ht="23.95" customHeight="1" x14ac:dyDescent="0.3">
      <c r="A1821" s="31"/>
      <c r="B1821" s="24">
        <v>1808</v>
      </c>
      <c r="C1821" s="24" t="s">
        <v>1848</v>
      </c>
      <c r="D1821" s="24" t="s">
        <v>1272</v>
      </c>
      <c r="E1821" s="24" t="s">
        <v>9</v>
      </c>
      <c r="F1821" s="24">
        <v>11709</v>
      </c>
      <c r="G1821" s="25">
        <v>43272</v>
      </c>
      <c r="H1821" s="25">
        <v>44003</v>
      </c>
      <c r="I1821" s="24" t="s">
        <v>16</v>
      </c>
      <c r="J1821" s="24" t="s">
        <v>38</v>
      </c>
      <c r="K1821" s="24" t="str">
        <f>IF(certifications[[#This Row],[ISSUE DATE]]="", "", TEXT(certifications[[#This Row],[ISSUE DATE]], "MMM"))</f>
        <v>Jun</v>
      </c>
      <c r="L1821" s="35" t="str">
        <f>IF(certifications[[#This Row],[ISSUE DATE]]="", "", TEXT(certifications[[#This Row],[ISSUE DATE]], "YYYY"))</f>
        <v>2018</v>
      </c>
    </row>
    <row r="1822" spans="1:12" s="29" customFormat="1" ht="23.95" customHeight="1" x14ac:dyDescent="0.3">
      <c r="A1822" s="31"/>
      <c r="B1822" s="24">
        <v>1809</v>
      </c>
      <c r="C1822" s="3" t="s">
        <v>1849</v>
      </c>
      <c r="D1822" s="3" t="s">
        <v>337</v>
      </c>
      <c r="E1822" s="3" t="s">
        <v>27</v>
      </c>
      <c r="F1822" s="3">
        <v>8060</v>
      </c>
      <c r="G1822" s="4">
        <v>45580</v>
      </c>
      <c r="H1822" s="4">
        <v>46310</v>
      </c>
      <c r="I1822" s="3" t="s">
        <v>10</v>
      </c>
      <c r="J1822" s="3" t="s">
        <v>30</v>
      </c>
      <c r="K1822" s="3" t="str">
        <f>IF(certifications[[#This Row],[ISSUE DATE]]="", "", TEXT(certifications[[#This Row],[ISSUE DATE]], "MMM"))</f>
        <v>Oct</v>
      </c>
      <c r="L1822" s="36" t="str">
        <f>IF(certifications[[#This Row],[ISSUE DATE]]="", "", TEXT(certifications[[#This Row],[ISSUE DATE]], "YYYY"))</f>
        <v>2024</v>
      </c>
    </row>
    <row r="1823" spans="1:12" s="29" customFormat="1" ht="23.95" customHeight="1" x14ac:dyDescent="0.3">
      <c r="A1823" s="31"/>
      <c r="B1823" s="24">
        <v>1810</v>
      </c>
      <c r="C1823" s="24" t="s">
        <v>1850</v>
      </c>
      <c r="D1823" s="24" t="s">
        <v>1071</v>
      </c>
      <c r="E1823" s="24" t="s">
        <v>9</v>
      </c>
      <c r="F1823" s="24">
        <v>10589</v>
      </c>
      <c r="G1823" s="25">
        <v>43081</v>
      </c>
      <c r="H1823" s="25">
        <v>45272</v>
      </c>
      <c r="I1823" s="24" t="s">
        <v>16</v>
      </c>
      <c r="J1823" s="24" t="s">
        <v>30</v>
      </c>
      <c r="K1823" s="24" t="str">
        <f>IF(certifications[[#This Row],[ISSUE DATE]]="", "", TEXT(certifications[[#This Row],[ISSUE DATE]], "MMM"))</f>
        <v>Dec</v>
      </c>
      <c r="L1823" s="35" t="str">
        <f>IF(certifications[[#This Row],[ISSUE DATE]]="", "", TEXT(certifications[[#This Row],[ISSUE DATE]], "YYYY"))</f>
        <v>2017</v>
      </c>
    </row>
    <row r="1824" spans="1:12" s="29" customFormat="1" ht="23.95" customHeight="1" x14ac:dyDescent="0.3">
      <c r="A1824" s="31"/>
      <c r="B1824" s="24">
        <v>1811</v>
      </c>
      <c r="C1824" s="24" t="s">
        <v>1851</v>
      </c>
      <c r="D1824" s="24" t="s">
        <v>111</v>
      </c>
      <c r="E1824" s="24" t="s">
        <v>9</v>
      </c>
      <c r="F1824" s="24">
        <v>10263</v>
      </c>
      <c r="G1824" s="25">
        <v>42908</v>
      </c>
      <c r="H1824" s="25">
        <v>43638</v>
      </c>
      <c r="I1824" s="24" t="s">
        <v>16</v>
      </c>
      <c r="J1824" s="24" t="s">
        <v>38</v>
      </c>
      <c r="K1824" s="24" t="str">
        <f>IF(certifications[[#This Row],[ISSUE DATE]]="", "", TEXT(certifications[[#This Row],[ISSUE DATE]], "MMM"))</f>
        <v>Jun</v>
      </c>
      <c r="L1824" s="35" t="str">
        <f>IF(certifications[[#This Row],[ISSUE DATE]]="", "", TEXT(certifications[[#This Row],[ISSUE DATE]], "YYYY"))</f>
        <v>2017</v>
      </c>
    </row>
    <row r="1825" spans="1:12" s="29" customFormat="1" ht="23.95" customHeight="1" x14ac:dyDescent="0.3">
      <c r="A1825" s="31"/>
      <c r="B1825" s="24">
        <v>1812</v>
      </c>
      <c r="C1825" s="24" t="s">
        <v>1852</v>
      </c>
      <c r="D1825" s="24" t="s">
        <v>46</v>
      </c>
      <c r="E1825" s="24" t="s">
        <v>9</v>
      </c>
      <c r="F1825" s="24">
        <v>8160</v>
      </c>
      <c r="G1825" s="25">
        <v>41111</v>
      </c>
      <c r="H1825" s="25">
        <v>41841</v>
      </c>
      <c r="I1825" s="24" t="s">
        <v>16</v>
      </c>
      <c r="J1825" s="24" t="s">
        <v>38</v>
      </c>
      <c r="K1825" s="24" t="str">
        <f>IF(certifications[[#This Row],[ISSUE DATE]]="", "", TEXT(certifications[[#This Row],[ISSUE DATE]], "MMM"))</f>
        <v>Jul</v>
      </c>
      <c r="L1825" s="35" t="str">
        <f>IF(certifications[[#This Row],[ISSUE DATE]]="", "", TEXT(certifications[[#This Row],[ISSUE DATE]], "YYYY"))</f>
        <v>2012</v>
      </c>
    </row>
    <row r="1826" spans="1:12" s="29" customFormat="1" ht="23.95" customHeight="1" x14ac:dyDescent="0.3">
      <c r="A1826" s="31"/>
      <c r="B1826" s="24">
        <v>1813</v>
      </c>
      <c r="C1826" s="24" t="s">
        <v>1853</v>
      </c>
      <c r="D1826" s="24" t="s">
        <v>32</v>
      </c>
      <c r="E1826" s="24" t="s">
        <v>9</v>
      </c>
      <c r="F1826" s="24">
        <v>17198</v>
      </c>
      <c r="G1826" s="25">
        <v>44609</v>
      </c>
      <c r="H1826" s="25">
        <v>46070</v>
      </c>
      <c r="I1826" s="24" t="s">
        <v>10</v>
      </c>
      <c r="J1826" s="24" t="s">
        <v>33</v>
      </c>
      <c r="K1826" s="24" t="str">
        <f>IF(certifications[[#This Row],[ISSUE DATE]]="", "", TEXT(certifications[[#This Row],[ISSUE DATE]], "MMM"))</f>
        <v>Feb</v>
      </c>
      <c r="L1826" s="35" t="str">
        <f>IF(certifications[[#This Row],[ISSUE DATE]]="", "", TEXT(certifications[[#This Row],[ISSUE DATE]], "YYYY"))</f>
        <v>2022</v>
      </c>
    </row>
    <row r="1827" spans="1:12" s="29" customFormat="1" ht="23.95" customHeight="1" x14ac:dyDescent="0.3">
      <c r="A1827" s="31"/>
      <c r="B1827" s="24">
        <v>1814</v>
      </c>
      <c r="C1827" s="24" t="s">
        <v>1854</v>
      </c>
      <c r="D1827" s="24" t="s">
        <v>848</v>
      </c>
      <c r="E1827" s="24" t="s">
        <v>9</v>
      </c>
      <c r="F1827" s="24">
        <v>19867</v>
      </c>
      <c r="G1827" s="25">
        <v>45336</v>
      </c>
      <c r="H1827" s="25">
        <v>46067</v>
      </c>
      <c r="I1827" s="24" t="s">
        <v>10</v>
      </c>
      <c r="J1827" s="24" t="s">
        <v>38</v>
      </c>
      <c r="K1827" s="24" t="str">
        <f>IF(certifications[[#This Row],[ISSUE DATE]]="", "", TEXT(certifications[[#This Row],[ISSUE DATE]], "MMM"))</f>
        <v>Feb</v>
      </c>
      <c r="L1827" s="35" t="str">
        <f>IF(certifications[[#This Row],[ISSUE DATE]]="", "", TEXT(certifications[[#This Row],[ISSUE DATE]], "YYYY"))</f>
        <v>2024</v>
      </c>
    </row>
    <row r="1828" spans="1:12" s="29" customFormat="1" ht="23.95" customHeight="1" x14ac:dyDescent="0.3">
      <c r="A1828" s="31"/>
      <c r="B1828" s="24">
        <v>1815</v>
      </c>
      <c r="C1828" s="24" t="s">
        <v>1855</v>
      </c>
      <c r="D1828" s="24" t="s">
        <v>150</v>
      </c>
      <c r="E1828" s="24" t="s">
        <v>9</v>
      </c>
      <c r="F1828" s="24">
        <v>9189</v>
      </c>
      <c r="G1828" s="25">
        <v>42144</v>
      </c>
      <c r="H1828" s="25">
        <v>44336</v>
      </c>
      <c r="I1828" s="24" t="s">
        <v>16</v>
      </c>
      <c r="J1828" s="24" t="s">
        <v>14</v>
      </c>
      <c r="K1828" s="24" t="str">
        <f>IF(certifications[[#This Row],[ISSUE DATE]]="", "", TEXT(certifications[[#This Row],[ISSUE DATE]], "MMM"))</f>
        <v>May</v>
      </c>
      <c r="L1828" s="35" t="str">
        <f>IF(certifications[[#This Row],[ISSUE DATE]]="", "", TEXT(certifications[[#This Row],[ISSUE DATE]], "YYYY"))</f>
        <v>2015</v>
      </c>
    </row>
    <row r="1829" spans="1:12" s="29" customFormat="1" ht="23.95" customHeight="1" x14ac:dyDescent="0.3">
      <c r="A1829" s="31"/>
      <c r="B1829" s="24">
        <v>1816</v>
      </c>
      <c r="C1829" s="24" t="s">
        <v>1856</v>
      </c>
      <c r="D1829" s="24" t="s">
        <v>32</v>
      </c>
      <c r="E1829" s="24" t="s">
        <v>9</v>
      </c>
      <c r="F1829" s="24">
        <v>17064</v>
      </c>
      <c r="G1829" s="25">
        <v>44550</v>
      </c>
      <c r="H1829" s="25">
        <v>45280</v>
      </c>
      <c r="I1829" s="24" t="s">
        <v>16</v>
      </c>
      <c r="J1829" s="24" t="s">
        <v>33</v>
      </c>
      <c r="K1829" s="24" t="str">
        <f>IF(certifications[[#This Row],[ISSUE DATE]]="", "", TEXT(certifications[[#This Row],[ISSUE DATE]], "MMM"))</f>
        <v>Dec</v>
      </c>
      <c r="L1829" s="35" t="str">
        <f>IF(certifications[[#This Row],[ISSUE DATE]]="", "", TEXT(certifications[[#This Row],[ISSUE DATE]], "YYYY"))</f>
        <v>2021</v>
      </c>
    </row>
    <row r="1830" spans="1:12" s="29" customFormat="1" ht="23.95" customHeight="1" x14ac:dyDescent="0.3">
      <c r="A1830" s="31"/>
      <c r="B1830" s="24">
        <v>1817</v>
      </c>
      <c r="C1830" s="24" t="s">
        <v>1857</v>
      </c>
      <c r="D1830" s="24" t="s">
        <v>32</v>
      </c>
      <c r="E1830" s="24" t="s">
        <v>9</v>
      </c>
      <c r="F1830" s="24">
        <v>14420</v>
      </c>
      <c r="G1830" s="25">
        <v>43697</v>
      </c>
      <c r="H1830" s="25">
        <v>44428</v>
      </c>
      <c r="I1830" s="24" t="s">
        <v>16</v>
      </c>
      <c r="J1830" s="24" t="s">
        <v>33</v>
      </c>
      <c r="K1830" s="24" t="str">
        <f>IF(certifications[[#This Row],[ISSUE DATE]]="", "", TEXT(certifications[[#This Row],[ISSUE DATE]], "MMM"))</f>
        <v>Aug</v>
      </c>
      <c r="L1830" s="35" t="str">
        <f>IF(certifications[[#This Row],[ISSUE DATE]]="", "", TEXT(certifications[[#This Row],[ISSUE DATE]], "YYYY"))</f>
        <v>2019</v>
      </c>
    </row>
    <row r="1831" spans="1:12" s="29" customFormat="1" ht="23.95" customHeight="1" x14ac:dyDescent="0.3">
      <c r="A1831" s="31"/>
      <c r="B1831" s="24">
        <v>1818</v>
      </c>
      <c r="C1831" s="24" t="s">
        <v>1858</v>
      </c>
      <c r="D1831" s="24" t="s">
        <v>179</v>
      </c>
      <c r="E1831" s="24" t="s">
        <v>26</v>
      </c>
      <c r="F1831" s="24">
        <v>19384</v>
      </c>
      <c r="G1831" s="25">
        <v>45244</v>
      </c>
      <c r="H1831" s="25">
        <v>45975</v>
      </c>
      <c r="I1831" s="24" t="s">
        <v>10</v>
      </c>
      <c r="J1831" s="24" t="s">
        <v>14</v>
      </c>
      <c r="K1831" s="24" t="str">
        <f>IF(certifications[[#This Row],[ISSUE DATE]]="", "", TEXT(certifications[[#This Row],[ISSUE DATE]], "MMM"))</f>
        <v>Nov</v>
      </c>
      <c r="L1831" s="35" t="str">
        <f>IF(certifications[[#This Row],[ISSUE DATE]]="", "", TEXT(certifications[[#This Row],[ISSUE DATE]], "YYYY"))</f>
        <v>2023</v>
      </c>
    </row>
    <row r="1832" spans="1:12" s="29" customFormat="1" ht="23.95" customHeight="1" x14ac:dyDescent="0.3">
      <c r="A1832" s="31"/>
      <c r="B1832" s="24">
        <v>1819</v>
      </c>
      <c r="C1832" s="24" t="s">
        <v>1859</v>
      </c>
      <c r="D1832" s="24" t="s">
        <v>32</v>
      </c>
      <c r="E1832" s="24" t="s">
        <v>9</v>
      </c>
      <c r="F1832" s="24">
        <v>8551</v>
      </c>
      <c r="G1832" s="25">
        <v>41485</v>
      </c>
      <c r="H1832" s="25">
        <v>42215</v>
      </c>
      <c r="I1832" s="24" t="s">
        <v>16</v>
      </c>
      <c r="J1832" s="24" t="s">
        <v>33</v>
      </c>
      <c r="K1832" s="24" t="str">
        <f>IF(certifications[[#This Row],[ISSUE DATE]]="", "", TEXT(certifications[[#This Row],[ISSUE DATE]], "MMM"))</f>
        <v>Jul</v>
      </c>
      <c r="L1832" s="35" t="str">
        <f>IF(certifications[[#This Row],[ISSUE DATE]]="", "", TEXT(certifications[[#This Row],[ISSUE DATE]], "YYYY"))</f>
        <v>2013</v>
      </c>
    </row>
    <row r="1833" spans="1:12" s="29" customFormat="1" ht="23.95" customHeight="1" x14ac:dyDescent="0.3">
      <c r="A1833" s="31"/>
      <c r="B1833" s="24">
        <v>1820</v>
      </c>
      <c r="C1833" s="24" t="s">
        <v>1860</v>
      </c>
      <c r="D1833" s="24" t="s">
        <v>29</v>
      </c>
      <c r="E1833" s="24" t="s">
        <v>26</v>
      </c>
      <c r="F1833" s="24">
        <v>12675</v>
      </c>
      <c r="G1833" s="25">
        <v>43473</v>
      </c>
      <c r="H1833" s="25">
        <v>46395</v>
      </c>
      <c r="I1833" s="24" t="s">
        <v>10</v>
      </c>
      <c r="J1833" s="24" t="s">
        <v>30</v>
      </c>
      <c r="K1833" s="24" t="str">
        <f>IF(certifications[[#This Row],[ISSUE DATE]]="", "", TEXT(certifications[[#This Row],[ISSUE DATE]], "MMM"))</f>
        <v>Jan</v>
      </c>
      <c r="L1833" s="35" t="str">
        <f>IF(certifications[[#This Row],[ISSUE DATE]]="", "", TEXT(certifications[[#This Row],[ISSUE DATE]], "YYYY"))</f>
        <v>2019</v>
      </c>
    </row>
    <row r="1834" spans="1:12" s="29" customFormat="1" ht="23.95" customHeight="1" x14ac:dyDescent="0.3">
      <c r="A1834" s="31"/>
      <c r="B1834" s="24">
        <v>1821</v>
      </c>
      <c r="C1834" s="24" t="s">
        <v>1861</v>
      </c>
      <c r="D1834" s="24" t="s">
        <v>32</v>
      </c>
      <c r="E1834" s="24" t="s">
        <v>9</v>
      </c>
      <c r="F1834" s="24">
        <v>14016</v>
      </c>
      <c r="G1834" s="25">
        <v>43670</v>
      </c>
      <c r="H1834" s="25">
        <v>44401</v>
      </c>
      <c r="I1834" s="24" t="s">
        <v>16</v>
      </c>
      <c r="J1834" s="24" t="s">
        <v>33</v>
      </c>
      <c r="K1834" s="24" t="str">
        <f>IF(certifications[[#This Row],[ISSUE DATE]]="", "", TEXT(certifications[[#This Row],[ISSUE DATE]], "MMM"))</f>
        <v>Jul</v>
      </c>
      <c r="L1834" s="35" t="str">
        <f>IF(certifications[[#This Row],[ISSUE DATE]]="", "", TEXT(certifications[[#This Row],[ISSUE DATE]], "YYYY"))</f>
        <v>2019</v>
      </c>
    </row>
    <row r="1835" spans="1:12" s="29" customFormat="1" ht="23.95" customHeight="1" x14ac:dyDescent="0.3">
      <c r="A1835" s="31"/>
      <c r="B1835" s="24">
        <v>1822</v>
      </c>
      <c r="C1835" s="24" t="s">
        <v>1862</v>
      </c>
      <c r="D1835" s="24" t="s">
        <v>29</v>
      </c>
      <c r="E1835" s="24" t="s">
        <v>9</v>
      </c>
      <c r="F1835" s="24">
        <v>7493</v>
      </c>
      <c r="G1835" s="25">
        <v>40249</v>
      </c>
      <c r="H1835" s="25">
        <v>40980</v>
      </c>
      <c r="I1835" s="24" t="s">
        <v>16</v>
      </c>
      <c r="J1835" s="24" t="s">
        <v>30</v>
      </c>
      <c r="K1835" s="24" t="str">
        <f>IF(certifications[[#This Row],[ISSUE DATE]]="", "", TEXT(certifications[[#This Row],[ISSUE DATE]], "MMM"))</f>
        <v>Mar</v>
      </c>
      <c r="L1835" s="35" t="str">
        <f>IF(certifications[[#This Row],[ISSUE DATE]]="", "", TEXT(certifications[[#This Row],[ISSUE DATE]], "YYYY"))</f>
        <v>2010</v>
      </c>
    </row>
    <row r="1836" spans="1:12" s="29" customFormat="1" ht="23.95" customHeight="1" x14ac:dyDescent="0.3">
      <c r="A1836" s="31"/>
      <c r="B1836" s="24">
        <v>1823</v>
      </c>
      <c r="C1836" s="24" t="s">
        <v>1863</v>
      </c>
      <c r="D1836" s="24" t="s">
        <v>32</v>
      </c>
      <c r="E1836" s="24" t="s">
        <v>9</v>
      </c>
      <c r="F1836" s="24">
        <v>16229</v>
      </c>
      <c r="G1836" s="25">
        <v>44372</v>
      </c>
      <c r="H1836" s="25">
        <v>46563</v>
      </c>
      <c r="I1836" s="24" t="s">
        <v>10</v>
      </c>
      <c r="J1836" s="24" t="s">
        <v>33</v>
      </c>
      <c r="K1836" s="24" t="str">
        <f>IF(certifications[[#This Row],[ISSUE DATE]]="", "", TEXT(certifications[[#This Row],[ISSUE DATE]], "MMM"))</f>
        <v>Jun</v>
      </c>
      <c r="L1836" s="35" t="str">
        <f>IF(certifications[[#This Row],[ISSUE DATE]]="", "", TEXT(certifications[[#This Row],[ISSUE DATE]], "YYYY"))</f>
        <v>2021</v>
      </c>
    </row>
    <row r="1837" spans="1:12" s="29" customFormat="1" ht="23.95" customHeight="1" x14ac:dyDescent="0.3">
      <c r="A1837" s="31"/>
      <c r="B1837" s="24">
        <v>1824</v>
      </c>
      <c r="C1837" s="24" t="s">
        <v>1863</v>
      </c>
      <c r="D1837" s="24" t="s">
        <v>32</v>
      </c>
      <c r="E1837" s="24" t="s">
        <v>26</v>
      </c>
      <c r="F1837" s="24">
        <v>16229</v>
      </c>
      <c r="G1837" s="25">
        <v>44326</v>
      </c>
      <c r="H1837" s="25">
        <v>46517</v>
      </c>
      <c r="I1837" s="24" t="s">
        <v>10</v>
      </c>
      <c r="J1837" s="24" t="s">
        <v>33</v>
      </c>
      <c r="K1837" s="24" t="str">
        <f>IF(certifications[[#This Row],[ISSUE DATE]]="", "", TEXT(certifications[[#This Row],[ISSUE DATE]], "MMM"))</f>
        <v>May</v>
      </c>
      <c r="L1837" s="35" t="str">
        <f>IF(certifications[[#This Row],[ISSUE DATE]]="", "", TEXT(certifications[[#This Row],[ISSUE DATE]], "YYYY"))</f>
        <v>2021</v>
      </c>
    </row>
    <row r="1838" spans="1:12" s="29" customFormat="1" ht="23.95" customHeight="1" x14ac:dyDescent="0.3">
      <c r="A1838" s="31"/>
      <c r="B1838" s="24">
        <v>1825</v>
      </c>
      <c r="C1838" s="24" t="s">
        <v>1864</v>
      </c>
      <c r="D1838" s="24" t="s">
        <v>13</v>
      </c>
      <c r="E1838" s="24" t="s">
        <v>9</v>
      </c>
      <c r="F1838" s="24">
        <v>9437</v>
      </c>
      <c r="G1838" s="25">
        <v>42341</v>
      </c>
      <c r="H1838" s="25">
        <v>43802</v>
      </c>
      <c r="I1838" s="24" t="s">
        <v>16</v>
      </c>
      <c r="J1838" s="24" t="s">
        <v>14</v>
      </c>
      <c r="K1838" s="24" t="str">
        <f>IF(certifications[[#This Row],[ISSUE DATE]]="", "", TEXT(certifications[[#This Row],[ISSUE DATE]], "MMM"))</f>
        <v>Dec</v>
      </c>
      <c r="L1838" s="35" t="str">
        <f>IF(certifications[[#This Row],[ISSUE DATE]]="", "", TEXT(certifications[[#This Row],[ISSUE DATE]], "YYYY"))</f>
        <v>2015</v>
      </c>
    </row>
    <row r="1839" spans="1:12" s="29" customFormat="1" ht="23.95" customHeight="1" x14ac:dyDescent="0.3">
      <c r="A1839" s="31"/>
      <c r="B1839" s="24">
        <v>1826</v>
      </c>
      <c r="C1839" s="24" t="s">
        <v>1865</v>
      </c>
      <c r="D1839" s="24" t="s">
        <v>190</v>
      </c>
      <c r="E1839" s="24" t="s">
        <v>9</v>
      </c>
      <c r="F1839" s="24">
        <v>16430</v>
      </c>
      <c r="G1839" s="25">
        <v>44363</v>
      </c>
      <c r="H1839" s="25">
        <v>45824</v>
      </c>
      <c r="I1839" s="24" t="s">
        <v>82</v>
      </c>
      <c r="J1839" s="24" t="s">
        <v>14</v>
      </c>
      <c r="K1839" s="24" t="str">
        <f>IF(certifications[[#This Row],[ISSUE DATE]]="", "", TEXT(certifications[[#This Row],[ISSUE DATE]], "MMM"))</f>
        <v>Jun</v>
      </c>
      <c r="L1839" s="35" t="str">
        <f>IF(certifications[[#This Row],[ISSUE DATE]]="", "", TEXT(certifications[[#This Row],[ISSUE DATE]], "YYYY"))</f>
        <v>2021</v>
      </c>
    </row>
    <row r="1840" spans="1:12" s="29" customFormat="1" ht="23.95" customHeight="1" x14ac:dyDescent="0.3">
      <c r="A1840" s="31"/>
      <c r="B1840" s="24">
        <v>1827</v>
      </c>
      <c r="C1840" s="24" t="s">
        <v>1866</v>
      </c>
      <c r="D1840" s="24" t="s">
        <v>32</v>
      </c>
      <c r="E1840" s="24" t="s">
        <v>9</v>
      </c>
      <c r="F1840" s="24">
        <v>10933</v>
      </c>
      <c r="G1840" s="25">
        <v>43697</v>
      </c>
      <c r="H1840" s="25">
        <v>44428</v>
      </c>
      <c r="I1840" s="24" t="s">
        <v>16</v>
      </c>
      <c r="J1840" s="24" t="s">
        <v>33</v>
      </c>
      <c r="K1840" s="24" t="str">
        <f>IF(certifications[[#This Row],[ISSUE DATE]]="", "", TEXT(certifications[[#This Row],[ISSUE DATE]], "MMM"))</f>
        <v>Aug</v>
      </c>
      <c r="L1840" s="35" t="str">
        <f>IF(certifications[[#This Row],[ISSUE DATE]]="", "", TEXT(certifications[[#This Row],[ISSUE DATE]], "YYYY"))</f>
        <v>2019</v>
      </c>
    </row>
    <row r="1841" spans="1:12" s="29" customFormat="1" ht="23.95" customHeight="1" x14ac:dyDescent="0.3">
      <c r="A1841" s="31"/>
      <c r="B1841" s="24">
        <v>1828</v>
      </c>
      <c r="C1841" s="24" t="s">
        <v>1867</v>
      </c>
      <c r="D1841" s="24" t="s">
        <v>238</v>
      </c>
      <c r="E1841" s="24" t="s">
        <v>9</v>
      </c>
      <c r="F1841" s="24">
        <v>9174</v>
      </c>
      <c r="G1841" s="25">
        <v>42132</v>
      </c>
      <c r="H1841" s="25">
        <v>46515</v>
      </c>
      <c r="I1841" s="24" t="s">
        <v>10</v>
      </c>
      <c r="J1841" s="24" t="s">
        <v>38</v>
      </c>
      <c r="K1841" s="24" t="str">
        <f>IF(certifications[[#This Row],[ISSUE DATE]]="", "", TEXT(certifications[[#This Row],[ISSUE DATE]], "MMM"))</f>
        <v>May</v>
      </c>
      <c r="L1841" s="35" t="str">
        <f>IF(certifications[[#This Row],[ISSUE DATE]]="", "", TEXT(certifications[[#This Row],[ISSUE DATE]], "YYYY"))</f>
        <v>2015</v>
      </c>
    </row>
    <row r="1842" spans="1:12" s="29" customFormat="1" ht="23.95" customHeight="1" x14ac:dyDescent="0.3">
      <c r="A1842" s="31"/>
      <c r="B1842" s="24">
        <v>1829</v>
      </c>
      <c r="C1842" s="24" t="s">
        <v>1867</v>
      </c>
      <c r="D1842" s="24" t="s">
        <v>238</v>
      </c>
      <c r="E1842" s="24" t="s">
        <v>26</v>
      </c>
      <c r="F1842" s="24">
        <v>9174</v>
      </c>
      <c r="G1842" s="25">
        <v>44032</v>
      </c>
      <c r="H1842" s="25">
        <v>46515</v>
      </c>
      <c r="I1842" s="24" t="s">
        <v>10</v>
      </c>
      <c r="J1842" s="24" t="s">
        <v>38</v>
      </c>
      <c r="K1842" s="24" t="str">
        <f>IF(certifications[[#This Row],[ISSUE DATE]]="", "", TEXT(certifications[[#This Row],[ISSUE DATE]], "MMM"))</f>
        <v>Jul</v>
      </c>
      <c r="L1842" s="35" t="str">
        <f>IF(certifications[[#This Row],[ISSUE DATE]]="", "", TEXT(certifications[[#This Row],[ISSUE DATE]], "YYYY"))</f>
        <v>2020</v>
      </c>
    </row>
    <row r="1843" spans="1:12" s="29" customFormat="1" ht="23.95" customHeight="1" x14ac:dyDescent="0.3">
      <c r="A1843" s="31"/>
      <c r="B1843" s="24">
        <v>1830</v>
      </c>
      <c r="C1843" s="3" t="s">
        <v>1867</v>
      </c>
      <c r="D1843" s="3" t="s">
        <v>238</v>
      </c>
      <c r="E1843" s="3" t="s">
        <v>27</v>
      </c>
      <c r="F1843" s="3">
        <v>9174</v>
      </c>
      <c r="G1843" s="4">
        <v>44366</v>
      </c>
      <c r="H1843" s="4">
        <v>46515</v>
      </c>
      <c r="I1843" s="3" t="s">
        <v>10</v>
      </c>
      <c r="J1843" s="3" t="s">
        <v>38</v>
      </c>
      <c r="K1843" s="3" t="str">
        <f>IF(certifications[[#This Row],[ISSUE DATE]]="", "", TEXT(certifications[[#This Row],[ISSUE DATE]], "MMM"))</f>
        <v>Jun</v>
      </c>
      <c r="L1843" s="36" t="str">
        <f>IF(certifications[[#This Row],[ISSUE DATE]]="", "", TEXT(certifications[[#This Row],[ISSUE DATE]], "YYYY"))</f>
        <v>2021</v>
      </c>
    </row>
    <row r="1844" spans="1:12" s="29" customFormat="1" ht="23.95" customHeight="1" x14ac:dyDescent="0.3">
      <c r="A1844" s="31"/>
      <c r="B1844" s="24">
        <v>1831</v>
      </c>
      <c r="C1844" s="24" t="s">
        <v>1868</v>
      </c>
      <c r="D1844" s="24" t="s">
        <v>32</v>
      </c>
      <c r="E1844" s="24" t="s">
        <v>9</v>
      </c>
      <c r="F1844" s="24">
        <v>22095</v>
      </c>
      <c r="G1844" s="25">
        <v>45812</v>
      </c>
      <c r="H1844" s="25">
        <v>46542</v>
      </c>
      <c r="I1844" s="24" t="s">
        <v>10</v>
      </c>
      <c r="J1844" s="24" t="s">
        <v>33</v>
      </c>
      <c r="K1844" s="24" t="str">
        <f>IF(certifications[[#This Row],[ISSUE DATE]]="", "", TEXT(certifications[[#This Row],[ISSUE DATE]], "MMM"))</f>
        <v>Jun</v>
      </c>
      <c r="L1844" s="35" t="str">
        <f>IF(certifications[[#This Row],[ISSUE DATE]]="", "", TEXT(certifications[[#This Row],[ISSUE DATE]], "YYYY"))</f>
        <v>2025</v>
      </c>
    </row>
    <row r="1845" spans="1:12" s="29" customFormat="1" ht="23.95" customHeight="1" x14ac:dyDescent="0.3">
      <c r="A1845" s="31"/>
      <c r="B1845" s="24">
        <v>1832</v>
      </c>
      <c r="C1845" s="24" t="s">
        <v>1869</v>
      </c>
      <c r="D1845" s="24" t="s">
        <v>1272</v>
      </c>
      <c r="E1845" s="24" t="s">
        <v>9</v>
      </c>
      <c r="F1845" s="24">
        <v>15776</v>
      </c>
      <c r="G1845" s="25">
        <v>44186</v>
      </c>
      <c r="H1845" s="25">
        <v>44916</v>
      </c>
      <c r="I1845" s="24" t="s">
        <v>16</v>
      </c>
      <c r="J1845" s="24" t="s">
        <v>38</v>
      </c>
      <c r="K1845" s="24" t="str">
        <f>IF(certifications[[#This Row],[ISSUE DATE]]="", "", TEXT(certifications[[#This Row],[ISSUE DATE]], "MMM"))</f>
        <v>Dec</v>
      </c>
      <c r="L1845" s="35" t="str">
        <f>IF(certifications[[#This Row],[ISSUE DATE]]="", "", TEXT(certifications[[#This Row],[ISSUE DATE]], "YYYY"))</f>
        <v>2020</v>
      </c>
    </row>
    <row r="1846" spans="1:12" s="29" customFormat="1" ht="23.95" customHeight="1" x14ac:dyDescent="0.3">
      <c r="A1846" s="31"/>
      <c r="B1846" s="24">
        <v>1833</v>
      </c>
      <c r="C1846" s="24" t="s">
        <v>1870</v>
      </c>
      <c r="D1846" s="24" t="s">
        <v>48</v>
      </c>
      <c r="E1846" s="24" t="s">
        <v>9</v>
      </c>
      <c r="F1846" s="24">
        <v>16599</v>
      </c>
      <c r="G1846" s="25">
        <v>44377</v>
      </c>
      <c r="H1846" s="25">
        <v>45107</v>
      </c>
      <c r="I1846" s="24" t="s">
        <v>16</v>
      </c>
      <c r="J1846" s="24" t="s">
        <v>38</v>
      </c>
      <c r="K1846" s="24" t="str">
        <f>IF(certifications[[#This Row],[ISSUE DATE]]="", "", TEXT(certifications[[#This Row],[ISSUE DATE]], "MMM"))</f>
        <v>Jun</v>
      </c>
      <c r="L1846" s="35" t="str">
        <f>IF(certifications[[#This Row],[ISSUE DATE]]="", "", TEXT(certifications[[#This Row],[ISSUE DATE]], "YYYY"))</f>
        <v>2021</v>
      </c>
    </row>
    <row r="1847" spans="1:12" s="29" customFormat="1" ht="23.95" customHeight="1" x14ac:dyDescent="0.3">
      <c r="A1847" s="31"/>
      <c r="B1847" s="24">
        <v>1834</v>
      </c>
      <c r="C1847" s="24" t="s">
        <v>1871</v>
      </c>
      <c r="D1847" s="24" t="s">
        <v>32</v>
      </c>
      <c r="E1847" s="24" t="s">
        <v>9</v>
      </c>
      <c r="F1847" s="24">
        <v>17153</v>
      </c>
      <c r="G1847" s="25">
        <v>44599</v>
      </c>
      <c r="H1847" s="25">
        <v>45329</v>
      </c>
      <c r="I1847" s="24" t="s">
        <v>16</v>
      </c>
      <c r="J1847" s="24" t="s">
        <v>33</v>
      </c>
      <c r="K1847" s="24" t="str">
        <f>IF(certifications[[#This Row],[ISSUE DATE]]="", "", TEXT(certifications[[#This Row],[ISSUE DATE]], "MMM"))</f>
        <v>Feb</v>
      </c>
      <c r="L1847" s="35" t="str">
        <f>IF(certifications[[#This Row],[ISSUE DATE]]="", "", TEXT(certifications[[#This Row],[ISSUE DATE]], "YYYY"))</f>
        <v>2022</v>
      </c>
    </row>
    <row r="1848" spans="1:12" s="29" customFormat="1" ht="23.95" customHeight="1" x14ac:dyDescent="0.3">
      <c r="A1848" s="31"/>
      <c r="B1848" s="24">
        <v>1835</v>
      </c>
      <c r="C1848" s="24" t="s">
        <v>1872</v>
      </c>
      <c r="D1848" s="24" t="s">
        <v>141</v>
      </c>
      <c r="E1848" s="24" t="s">
        <v>9</v>
      </c>
      <c r="F1848" s="24">
        <v>21286</v>
      </c>
      <c r="G1848" s="25">
        <v>45645</v>
      </c>
      <c r="H1848" s="25">
        <v>46375</v>
      </c>
      <c r="I1848" s="24" t="s">
        <v>10</v>
      </c>
      <c r="J1848" s="24" t="s">
        <v>38</v>
      </c>
      <c r="K1848" s="24" t="str">
        <f>IF(certifications[[#This Row],[ISSUE DATE]]="", "", TEXT(certifications[[#This Row],[ISSUE DATE]], "MMM"))</f>
        <v>Dec</v>
      </c>
      <c r="L1848" s="35" t="str">
        <f>IF(certifications[[#This Row],[ISSUE DATE]]="", "", TEXT(certifications[[#This Row],[ISSUE DATE]], "YYYY"))</f>
        <v>2024</v>
      </c>
    </row>
    <row r="1849" spans="1:12" s="29" customFormat="1" ht="23.95" customHeight="1" x14ac:dyDescent="0.3">
      <c r="A1849" s="31"/>
      <c r="B1849" s="24">
        <v>1836</v>
      </c>
      <c r="C1849" s="24" t="s">
        <v>1873</v>
      </c>
      <c r="D1849" s="24" t="s">
        <v>32</v>
      </c>
      <c r="E1849" s="24" t="s">
        <v>9</v>
      </c>
      <c r="F1849" s="24">
        <v>22104</v>
      </c>
      <c r="G1849" s="25">
        <v>45812</v>
      </c>
      <c r="H1849" s="25">
        <v>46542</v>
      </c>
      <c r="I1849" s="24" t="s">
        <v>10</v>
      </c>
      <c r="J1849" s="24" t="s">
        <v>33</v>
      </c>
      <c r="K1849" s="24" t="str">
        <f>IF(certifications[[#This Row],[ISSUE DATE]]="", "", TEXT(certifications[[#This Row],[ISSUE DATE]], "MMM"))</f>
        <v>Jun</v>
      </c>
      <c r="L1849" s="35" t="str">
        <f>IF(certifications[[#This Row],[ISSUE DATE]]="", "", TEXT(certifications[[#This Row],[ISSUE DATE]], "YYYY"))</f>
        <v>2025</v>
      </c>
    </row>
    <row r="1850" spans="1:12" s="29" customFormat="1" ht="23.95" customHeight="1" x14ac:dyDescent="0.3">
      <c r="A1850" s="31"/>
      <c r="B1850" s="24">
        <v>1837</v>
      </c>
      <c r="C1850" s="24" t="s">
        <v>1874</v>
      </c>
      <c r="D1850" s="24" t="s">
        <v>32</v>
      </c>
      <c r="E1850" s="24" t="s">
        <v>9</v>
      </c>
      <c r="F1850" s="24">
        <v>19241</v>
      </c>
      <c r="G1850" s="25">
        <v>45435</v>
      </c>
      <c r="H1850" s="25">
        <v>46165</v>
      </c>
      <c r="I1850" s="24" t="s">
        <v>10</v>
      </c>
      <c r="J1850" s="24" t="s">
        <v>33</v>
      </c>
      <c r="K1850" s="24" t="str">
        <f>IF(certifications[[#This Row],[ISSUE DATE]]="", "", TEXT(certifications[[#This Row],[ISSUE DATE]], "MMM"))</f>
        <v>May</v>
      </c>
      <c r="L1850" s="35" t="str">
        <f>IF(certifications[[#This Row],[ISSUE DATE]]="", "", TEXT(certifications[[#This Row],[ISSUE DATE]], "YYYY"))</f>
        <v>2024</v>
      </c>
    </row>
    <row r="1851" spans="1:12" s="29" customFormat="1" ht="23.95" customHeight="1" x14ac:dyDescent="0.3">
      <c r="A1851" s="31"/>
      <c r="B1851" s="24">
        <v>1838</v>
      </c>
      <c r="C1851" s="24" t="s">
        <v>1875</v>
      </c>
      <c r="D1851" s="24" t="s">
        <v>24</v>
      </c>
      <c r="E1851" s="24" t="s">
        <v>9</v>
      </c>
      <c r="F1851" s="24">
        <v>10653</v>
      </c>
      <c r="G1851" s="25">
        <v>43118</v>
      </c>
      <c r="H1851" s="25">
        <v>43848</v>
      </c>
      <c r="I1851" s="24" t="s">
        <v>16</v>
      </c>
      <c r="J1851" s="24" t="s">
        <v>25</v>
      </c>
      <c r="K1851" s="24" t="str">
        <f>IF(certifications[[#This Row],[ISSUE DATE]]="", "", TEXT(certifications[[#This Row],[ISSUE DATE]], "MMM"))</f>
        <v>Jan</v>
      </c>
      <c r="L1851" s="35" t="str">
        <f>IF(certifications[[#This Row],[ISSUE DATE]]="", "", TEXT(certifications[[#This Row],[ISSUE DATE]], "YYYY"))</f>
        <v>2018</v>
      </c>
    </row>
    <row r="1852" spans="1:12" s="29" customFormat="1" ht="23.95" customHeight="1" x14ac:dyDescent="0.3">
      <c r="A1852" s="31"/>
      <c r="B1852" s="24">
        <v>1839</v>
      </c>
      <c r="C1852" s="24" t="s">
        <v>1876</v>
      </c>
      <c r="D1852" s="24" t="s">
        <v>32</v>
      </c>
      <c r="E1852" s="24" t="s">
        <v>9</v>
      </c>
      <c r="F1852" s="24">
        <v>13625</v>
      </c>
      <c r="G1852" s="25">
        <v>43670</v>
      </c>
      <c r="H1852" s="25">
        <v>44401</v>
      </c>
      <c r="I1852" s="24" t="s">
        <v>16</v>
      </c>
      <c r="J1852" s="24" t="s">
        <v>33</v>
      </c>
      <c r="K1852" s="24" t="str">
        <f>IF(certifications[[#This Row],[ISSUE DATE]]="", "", TEXT(certifications[[#This Row],[ISSUE DATE]], "MMM"))</f>
        <v>Jul</v>
      </c>
      <c r="L1852" s="35" t="str">
        <f>IF(certifications[[#This Row],[ISSUE DATE]]="", "", TEXT(certifications[[#This Row],[ISSUE DATE]], "YYYY"))</f>
        <v>2019</v>
      </c>
    </row>
    <row r="1853" spans="1:12" s="29" customFormat="1" ht="23.95" customHeight="1" x14ac:dyDescent="0.3">
      <c r="A1853" s="31"/>
      <c r="B1853" s="24">
        <v>1840</v>
      </c>
      <c r="C1853" s="24" t="s">
        <v>1877</v>
      </c>
      <c r="D1853" s="24" t="s">
        <v>32</v>
      </c>
      <c r="E1853" s="24" t="s">
        <v>9</v>
      </c>
      <c r="F1853" s="24">
        <v>11353</v>
      </c>
      <c r="G1853" s="25">
        <v>43227</v>
      </c>
      <c r="H1853" s="25">
        <v>43958</v>
      </c>
      <c r="I1853" s="24" t="s">
        <v>16</v>
      </c>
      <c r="J1853" s="24" t="s">
        <v>33</v>
      </c>
      <c r="K1853" s="24" t="str">
        <f>IF(certifications[[#This Row],[ISSUE DATE]]="", "", TEXT(certifications[[#This Row],[ISSUE DATE]], "MMM"))</f>
        <v>May</v>
      </c>
      <c r="L1853" s="35" t="str">
        <f>IF(certifications[[#This Row],[ISSUE DATE]]="", "", TEXT(certifications[[#This Row],[ISSUE DATE]], "YYYY"))</f>
        <v>2018</v>
      </c>
    </row>
    <row r="1854" spans="1:12" s="29" customFormat="1" ht="23.95" customHeight="1" x14ac:dyDescent="0.3">
      <c r="A1854" s="31"/>
      <c r="B1854" s="24">
        <v>1841</v>
      </c>
      <c r="C1854" s="24" t="s">
        <v>1878</v>
      </c>
      <c r="D1854" s="24" t="s">
        <v>13</v>
      </c>
      <c r="E1854" s="24" t="s">
        <v>9</v>
      </c>
      <c r="F1854" s="24">
        <v>21357</v>
      </c>
      <c r="G1854" s="25">
        <v>45665</v>
      </c>
      <c r="H1854" s="25">
        <v>46395</v>
      </c>
      <c r="I1854" s="24" t="s">
        <v>10</v>
      </c>
      <c r="J1854" s="24" t="s">
        <v>14</v>
      </c>
      <c r="K1854" s="24" t="str">
        <f>IF(certifications[[#This Row],[ISSUE DATE]]="", "", TEXT(certifications[[#This Row],[ISSUE DATE]], "MMM"))</f>
        <v>Jan</v>
      </c>
      <c r="L1854" s="35" t="str">
        <f>IF(certifications[[#This Row],[ISSUE DATE]]="", "", TEXT(certifications[[#This Row],[ISSUE DATE]], "YYYY"))</f>
        <v>2025</v>
      </c>
    </row>
    <row r="1855" spans="1:12" s="29" customFormat="1" ht="23.95" customHeight="1" x14ac:dyDescent="0.3">
      <c r="A1855" s="31"/>
      <c r="B1855" s="24">
        <v>1842</v>
      </c>
      <c r="C1855" s="24" t="s">
        <v>1879</v>
      </c>
      <c r="D1855" s="24" t="s">
        <v>32</v>
      </c>
      <c r="E1855" s="24" t="s">
        <v>9</v>
      </c>
      <c r="F1855" s="24">
        <v>11688</v>
      </c>
      <c r="G1855" s="25">
        <v>43269</v>
      </c>
      <c r="H1855" s="25">
        <v>46191</v>
      </c>
      <c r="I1855" s="24" t="s">
        <v>10</v>
      </c>
      <c r="J1855" s="24" t="s">
        <v>33</v>
      </c>
      <c r="K1855" s="24" t="str">
        <f>IF(certifications[[#This Row],[ISSUE DATE]]="", "", TEXT(certifications[[#This Row],[ISSUE DATE]], "MMM"))</f>
        <v>Jun</v>
      </c>
      <c r="L1855" s="35" t="str">
        <f>IF(certifications[[#This Row],[ISSUE DATE]]="", "", TEXT(certifications[[#This Row],[ISSUE DATE]], "YYYY"))</f>
        <v>2018</v>
      </c>
    </row>
    <row r="1856" spans="1:12" s="29" customFormat="1" ht="23.95" customHeight="1" x14ac:dyDescent="0.3">
      <c r="A1856" s="31"/>
      <c r="B1856" s="24">
        <v>1843</v>
      </c>
      <c r="C1856" s="24" t="s">
        <v>1879</v>
      </c>
      <c r="D1856" s="24" t="s">
        <v>32</v>
      </c>
      <c r="E1856" s="24" t="s">
        <v>26</v>
      </c>
      <c r="F1856" s="24">
        <v>11688</v>
      </c>
      <c r="G1856" s="25">
        <v>44285</v>
      </c>
      <c r="H1856" s="25">
        <v>46191</v>
      </c>
      <c r="I1856" s="24" t="s">
        <v>10</v>
      </c>
      <c r="J1856" s="24" t="s">
        <v>33</v>
      </c>
      <c r="K1856" s="24" t="str">
        <f>IF(certifications[[#This Row],[ISSUE DATE]]="", "", TEXT(certifications[[#This Row],[ISSUE DATE]], "MMM"))</f>
        <v>Mar</v>
      </c>
      <c r="L1856" s="35" t="str">
        <f>IF(certifications[[#This Row],[ISSUE DATE]]="", "", TEXT(certifications[[#This Row],[ISSUE DATE]], "YYYY"))</f>
        <v>2021</v>
      </c>
    </row>
    <row r="1857" spans="1:12" s="29" customFormat="1" ht="23.95" customHeight="1" x14ac:dyDescent="0.3">
      <c r="A1857" s="31"/>
      <c r="B1857" s="24">
        <v>1844</v>
      </c>
      <c r="C1857" s="24" t="s">
        <v>1880</v>
      </c>
      <c r="D1857" s="24" t="s">
        <v>515</v>
      </c>
      <c r="E1857" s="24" t="s">
        <v>9</v>
      </c>
      <c r="F1857" s="24">
        <v>20838</v>
      </c>
      <c r="G1857" s="25">
        <v>45552</v>
      </c>
      <c r="H1857" s="25">
        <v>46282</v>
      </c>
      <c r="I1857" s="24" t="s">
        <v>10</v>
      </c>
      <c r="J1857" s="24" t="s">
        <v>14</v>
      </c>
      <c r="K1857" s="24" t="str">
        <f>IF(certifications[[#This Row],[ISSUE DATE]]="", "", TEXT(certifications[[#This Row],[ISSUE DATE]], "MMM"))</f>
        <v>Sep</v>
      </c>
      <c r="L1857" s="35" t="str">
        <f>IF(certifications[[#This Row],[ISSUE DATE]]="", "", TEXT(certifications[[#This Row],[ISSUE DATE]], "YYYY"))</f>
        <v>2024</v>
      </c>
    </row>
    <row r="1858" spans="1:12" s="29" customFormat="1" ht="23.95" customHeight="1" x14ac:dyDescent="0.3">
      <c r="A1858" s="31"/>
      <c r="B1858" s="24">
        <v>1845</v>
      </c>
      <c r="C1858" s="24" t="s">
        <v>1881</v>
      </c>
      <c r="D1858" s="24" t="s">
        <v>65</v>
      </c>
      <c r="E1858" s="24" t="s">
        <v>9</v>
      </c>
      <c r="F1858" s="24">
        <v>13700</v>
      </c>
      <c r="G1858" s="25">
        <v>43640</v>
      </c>
      <c r="H1858" s="25">
        <v>44371</v>
      </c>
      <c r="I1858" s="24" t="s">
        <v>16</v>
      </c>
      <c r="J1858" s="24" t="s">
        <v>19</v>
      </c>
      <c r="K1858" s="24" t="str">
        <f>IF(certifications[[#This Row],[ISSUE DATE]]="", "", TEXT(certifications[[#This Row],[ISSUE DATE]], "MMM"))</f>
        <v>Jun</v>
      </c>
      <c r="L1858" s="35" t="str">
        <f>IF(certifications[[#This Row],[ISSUE DATE]]="", "", TEXT(certifications[[#This Row],[ISSUE DATE]], "YYYY"))</f>
        <v>2019</v>
      </c>
    </row>
    <row r="1859" spans="1:12" s="29" customFormat="1" ht="23.95" customHeight="1" x14ac:dyDescent="0.3">
      <c r="A1859" s="31"/>
      <c r="B1859" s="24">
        <v>1846</v>
      </c>
      <c r="C1859" s="24" t="s">
        <v>1882</v>
      </c>
      <c r="D1859" s="24" t="s">
        <v>1250</v>
      </c>
      <c r="E1859" s="24" t="s">
        <v>9</v>
      </c>
      <c r="F1859" s="24">
        <v>10472</v>
      </c>
      <c r="G1859" s="25">
        <v>43035</v>
      </c>
      <c r="H1859" s="25">
        <v>44496</v>
      </c>
      <c r="I1859" s="24" t="s">
        <v>16</v>
      </c>
      <c r="J1859" s="24" t="s">
        <v>11</v>
      </c>
      <c r="K1859" s="24" t="str">
        <f>IF(certifications[[#This Row],[ISSUE DATE]]="", "", TEXT(certifications[[#This Row],[ISSUE DATE]], "MMM"))</f>
        <v>Oct</v>
      </c>
      <c r="L1859" s="35" t="str">
        <f>IF(certifications[[#This Row],[ISSUE DATE]]="", "", TEXT(certifications[[#This Row],[ISSUE DATE]], "YYYY"))</f>
        <v>2017</v>
      </c>
    </row>
    <row r="1860" spans="1:12" s="29" customFormat="1" ht="23.95" customHeight="1" x14ac:dyDescent="0.3">
      <c r="A1860" s="31"/>
      <c r="B1860" s="24">
        <v>1847</v>
      </c>
      <c r="C1860" s="24" t="s">
        <v>1882</v>
      </c>
      <c r="D1860" s="24" t="s">
        <v>1250</v>
      </c>
      <c r="E1860" s="24" t="s">
        <v>26</v>
      </c>
      <c r="F1860" s="24">
        <v>10472</v>
      </c>
      <c r="G1860" s="25">
        <v>43633</v>
      </c>
      <c r="H1860" s="25">
        <v>44496</v>
      </c>
      <c r="I1860" s="24" t="s">
        <v>16</v>
      </c>
      <c r="J1860" s="24" t="s">
        <v>11</v>
      </c>
      <c r="K1860" s="24" t="str">
        <f>IF(certifications[[#This Row],[ISSUE DATE]]="", "", TEXT(certifications[[#This Row],[ISSUE DATE]], "MMM"))</f>
        <v>Jun</v>
      </c>
      <c r="L1860" s="35" t="str">
        <f>IF(certifications[[#This Row],[ISSUE DATE]]="", "", TEXT(certifications[[#This Row],[ISSUE DATE]], "YYYY"))</f>
        <v>2019</v>
      </c>
    </row>
    <row r="1861" spans="1:12" s="29" customFormat="1" ht="23.95" customHeight="1" x14ac:dyDescent="0.3">
      <c r="A1861" s="31"/>
      <c r="B1861" s="24">
        <v>1848</v>
      </c>
      <c r="C1861" s="24" t="s">
        <v>1883</v>
      </c>
      <c r="D1861" s="24" t="s">
        <v>32</v>
      </c>
      <c r="E1861" s="24" t="s">
        <v>9</v>
      </c>
      <c r="F1861" s="24">
        <v>11891</v>
      </c>
      <c r="G1861" s="25">
        <v>43297</v>
      </c>
      <c r="H1861" s="25">
        <v>44028</v>
      </c>
      <c r="I1861" s="24" t="s">
        <v>16</v>
      </c>
      <c r="J1861" s="24" t="s">
        <v>33</v>
      </c>
      <c r="K1861" s="24" t="str">
        <f>IF(certifications[[#This Row],[ISSUE DATE]]="", "", TEXT(certifications[[#This Row],[ISSUE DATE]], "MMM"))</f>
        <v>Jul</v>
      </c>
      <c r="L1861" s="35" t="str">
        <f>IF(certifications[[#This Row],[ISSUE DATE]]="", "", TEXT(certifications[[#This Row],[ISSUE DATE]], "YYYY"))</f>
        <v>2018</v>
      </c>
    </row>
    <row r="1862" spans="1:12" s="29" customFormat="1" ht="23.95" customHeight="1" x14ac:dyDescent="0.3">
      <c r="A1862" s="31"/>
      <c r="B1862" s="24">
        <v>1849</v>
      </c>
      <c r="C1862" s="24" t="s">
        <v>1884</v>
      </c>
      <c r="D1862" s="24" t="s">
        <v>53</v>
      </c>
      <c r="E1862" s="24" t="s">
        <v>26</v>
      </c>
      <c r="F1862" s="24">
        <v>14930</v>
      </c>
      <c r="G1862" s="25">
        <v>43817</v>
      </c>
      <c r="H1862" s="25">
        <v>44548</v>
      </c>
      <c r="I1862" s="24" t="s">
        <v>16</v>
      </c>
      <c r="J1862" s="24" t="s">
        <v>25</v>
      </c>
      <c r="K1862" s="24" t="str">
        <f>IF(certifications[[#This Row],[ISSUE DATE]]="", "", TEXT(certifications[[#This Row],[ISSUE DATE]], "MMM"))</f>
        <v>Dec</v>
      </c>
      <c r="L1862" s="35" t="str">
        <f>IF(certifications[[#This Row],[ISSUE DATE]]="", "", TEXT(certifications[[#This Row],[ISSUE DATE]], "YYYY"))</f>
        <v>2019</v>
      </c>
    </row>
    <row r="1863" spans="1:12" s="29" customFormat="1" ht="23.95" customHeight="1" x14ac:dyDescent="0.3">
      <c r="A1863" s="31"/>
      <c r="B1863" s="24">
        <v>1850</v>
      </c>
      <c r="C1863" s="24" t="s">
        <v>1885</v>
      </c>
      <c r="D1863" s="24" t="s">
        <v>32</v>
      </c>
      <c r="E1863" s="24" t="s">
        <v>9</v>
      </c>
      <c r="F1863" s="24">
        <v>8567</v>
      </c>
      <c r="G1863" s="25">
        <v>41485</v>
      </c>
      <c r="H1863" s="25">
        <v>42215</v>
      </c>
      <c r="I1863" s="24" t="s">
        <v>16</v>
      </c>
      <c r="J1863" s="24" t="s">
        <v>33</v>
      </c>
      <c r="K1863" s="24" t="str">
        <f>IF(certifications[[#This Row],[ISSUE DATE]]="", "", TEXT(certifications[[#This Row],[ISSUE DATE]], "MMM"))</f>
        <v>Jul</v>
      </c>
      <c r="L1863" s="35" t="str">
        <f>IF(certifications[[#This Row],[ISSUE DATE]]="", "", TEXT(certifications[[#This Row],[ISSUE DATE]], "YYYY"))</f>
        <v>2013</v>
      </c>
    </row>
    <row r="1864" spans="1:12" s="29" customFormat="1" ht="23.95" customHeight="1" x14ac:dyDescent="0.3">
      <c r="A1864" s="31"/>
      <c r="B1864" s="24">
        <v>1851</v>
      </c>
      <c r="C1864" s="24" t="s">
        <v>1886</v>
      </c>
      <c r="D1864" s="24" t="s">
        <v>32</v>
      </c>
      <c r="E1864" s="24" t="s">
        <v>26</v>
      </c>
      <c r="F1864" s="24">
        <v>12656</v>
      </c>
      <c r="G1864" s="25">
        <v>43469</v>
      </c>
      <c r="H1864" s="25">
        <v>44200</v>
      </c>
      <c r="I1864" s="24" t="s">
        <v>16</v>
      </c>
      <c r="J1864" s="24" t="s">
        <v>33</v>
      </c>
      <c r="K1864" s="24" t="str">
        <f>IF(certifications[[#This Row],[ISSUE DATE]]="", "", TEXT(certifications[[#This Row],[ISSUE DATE]], "MMM"))</f>
        <v>Jan</v>
      </c>
      <c r="L1864" s="35" t="str">
        <f>IF(certifications[[#This Row],[ISSUE DATE]]="", "", TEXT(certifications[[#This Row],[ISSUE DATE]], "YYYY"))</f>
        <v>2019</v>
      </c>
    </row>
    <row r="1865" spans="1:12" s="29" customFormat="1" ht="23.95" customHeight="1" x14ac:dyDescent="0.3">
      <c r="A1865" s="31"/>
      <c r="B1865" s="24">
        <v>1852</v>
      </c>
      <c r="C1865" s="24" t="s">
        <v>1887</v>
      </c>
      <c r="D1865" s="24" t="s">
        <v>32</v>
      </c>
      <c r="E1865" s="24" t="s">
        <v>9</v>
      </c>
      <c r="F1865" s="24">
        <v>8942</v>
      </c>
      <c r="G1865" s="25">
        <v>41817</v>
      </c>
      <c r="H1865" s="25">
        <v>42548</v>
      </c>
      <c r="I1865" s="24" t="s">
        <v>16</v>
      </c>
      <c r="J1865" s="24" t="s">
        <v>33</v>
      </c>
      <c r="K1865" s="24" t="str">
        <f>IF(certifications[[#This Row],[ISSUE DATE]]="", "", TEXT(certifications[[#This Row],[ISSUE DATE]], "MMM"))</f>
        <v>Jun</v>
      </c>
      <c r="L1865" s="35" t="str">
        <f>IF(certifications[[#This Row],[ISSUE DATE]]="", "", TEXT(certifications[[#This Row],[ISSUE DATE]], "YYYY"))</f>
        <v>2014</v>
      </c>
    </row>
    <row r="1866" spans="1:12" s="29" customFormat="1" ht="23.95" customHeight="1" x14ac:dyDescent="0.3">
      <c r="A1866" s="31"/>
      <c r="B1866" s="24">
        <v>1853</v>
      </c>
      <c r="C1866" s="24" t="s">
        <v>1888</v>
      </c>
      <c r="D1866" s="24" t="s">
        <v>32</v>
      </c>
      <c r="E1866" s="24" t="s">
        <v>9</v>
      </c>
      <c r="F1866" s="24">
        <v>8402</v>
      </c>
      <c r="G1866" s="25">
        <v>41393</v>
      </c>
      <c r="H1866" s="25">
        <v>42123</v>
      </c>
      <c r="I1866" s="24" t="s">
        <v>16</v>
      </c>
      <c r="J1866" s="24" t="s">
        <v>33</v>
      </c>
      <c r="K1866" s="24" t="str">
        <f>IF(certifications[[#This Row],[ISSUE DATE]]="", "", TEXT(certifications[[#This Row],[ISSUE DATE]], "MMM"))</f>
        <v>Apr</v>
      </c>
      <c r="L1866" s="35" t="str">
        <f>IF(certifications[[#This Row],[ISSUE DATE]]="", "", TEXT(certifications[[#This Row],[ISSUE DATE]], "YYYY"))</f>
        <v>2013</v>
      </c>
    </row>
    <row r="1867" spans="1:12" s="29" customFormat="1" ht="23.95" customHeight="1" x14ac:dyDescent="0.3">
      <c r="A1867" s="31"/>
      <c r="B1867" s="24">
        <v>1854</v>
      </c>
      <c r="C1867" s="24" t="s">
        <v>1889</v>
      </c>
      <c r="D1867" s="24" t="s">
        <v>46</v>
      </c>
      <c r="E1867" s="24" t="s">
        <v>9</v>
      </c>
      <c r="F1867" s="24">
        <v>19674</v>
      </c>
      <c r="G1867" s="25">
        <v>45293</v>
      </c>
      <c r="H1867" s="25">
        <v>46024</v>
      </c>
      <c r="I1867" s="24" t="s">
        <v>10</v>
      </c>
      <c r="J1867" s="24" t="s">
        <v>38</v>
      </c>
      <c r="K1867" s="24" t="str">
        <f>IF(certifications[[#This Row],[ISSUE DATE]]="", "", TEXT(certifications[[#This Row],[ISSUE DATE]], "MMM"))</f>
        <v>Jan</v>
      </c>
      <c r="L1867" s="35" t="str">
        <f>IF(certifications[[#This Row],[ISSUE DATE]]="", "", TEXT(certifications[[#This Row],[ISSUE DATE]], "YYYY"))</f>
        <v>2024</v>
      </c>
    </row>
    <row r="1868" spans="1:12" s="29" customFormat="1" ht="23.95" customHeight="1" x14ac:dyDescent="0.3">
      <c r="A1868" s="31"/>
      <c r="B1868" s="24">
        <v>1855</v>
      </c>
      <c r="C1868" s="24" t="s">
        <v>1890</v>
      </c>
      <c r="D1868" s="24" t="s">
        <v>32</v>
      </c>
      <c r="E1868" s="24" t="s">
        <v>9</v>
      </c>
      <c r="F1868" s="24">
        <v>8198</v>
      </c>
      <c r="G1868" s="25">
        <v>41159</v>
      </c>
      <c r="H1868" s="25">
        <v>42620</v>
      </c>
      <c r="I1868" s="24" t="s">
        <v>16</v>
      </c>
      <c r="J1868" s="24" t="s">
        <v>33</v>
      </c>
      <c r="K1868" s="24" t="str">
        <f>IF(certifications[[#This Row],[ISSUE DATE]]="", "", TEXT(certifications[[#This Row],[ISSUE DATE]], "MMM"))</f>
        <v>Sep</v>
      </c>
      <c r="L1868" s="35" t="str">
        <f>IF(certifications[[#This Row],[ISSUE DATE]]="", "", TEXT(certifications[[#This Row],[ISSUE DATE]], "YYYY"))</f>
        <v>2012</v>
      </c>
    </row>
    <row r="1869" spans="1:12" s="29" customFormat="1" ht="23.95" customHeight="1" x14ac:dyDescent="0.3">
      <c r="A1869" s="31"/>
      <c r="B1869" s="24">
        <v>1856</v>
      </c>
      <c r="C1869" s="24" t="s">
        <v>1891</v>
      </c>
      <c r="D1869" s="24" t="s">
        <v>884</v>
      </c>
      <c r="E1869" s="24" t="s">
        <v>9</v>
      </c>
      <c r="F1869" s="24">
        <v>17059</v>
      </c>
      <c r="G1869" s="25">
        <v>44548</v>
      </c>
      <c r="H1869" s="25">
        <v>46009</v>
      </c>
      <c r="I1869" s="24" t="s">
        <v>10</v>
      </c>
      <c r="J1869" s="24" t="s">
        <v>22</v>
      </c>
      <c r="K1869" s="24" t="str">
        <f>IF(certifications[[#This Row],[ISSUE DATE]]="", "", TEXT(certifications[[#This Row],[ISSUE DATE]], "MMM"))</f>
        <v>Dec</v>
      </c>
      <c r="L1869" s="35" t="str">
        <f>IF(certifications[[#This Row],[ISSUE DATE]]="", "", TEXT(certifications[[#This Row],[ISSUE DATE]], "YYYY"))</f>
        <v>2021</v>
      </c>
    </row>
    <row r="1870" spans="1:12" s="29" customFormat="1" ht="23.95" customHeight="1" x14ac:dyDescent="0.3">
      <c r="A1870" s="31"/>
      <c r="B1870" s="24">
        <v>1857</v>
      </c>
      <c r="C1870" s="24" t="s">
        <v>1892</v>
      </c>
      <c r="D1870" s="24" t="s">
        <v>48</v>
      </c>
      <c r="E1870" s="24" t="s">
        <v>9</v>
      </c>
      <c r="F1870" s="24">
        <v>18269</v>
      </c>
      <c r="G1870" s="25">
        <v>44957</v>
      </c>
      <c r="H1870" s="25">
        <v>45688</v>
      </c>
      <c r="I1870" s="24" t="s">
        <v>82</v>
      </c>
      <c r="J1870" s="24" t="s">
        <v>38</v>
      </c>
      <c r="K1870" s="24" t="str">
        <f>IF(certifications[[#This Row],[ISSUE DATE]]="", "", TEXT(certifications[[#This Row],[ISSUE DATE]], "MMM"))</f>
        <v>Jan</v>
      </c>
      <c r="L1870" s="35" t="str">
        <f>IF(certifications[[#This Row],[ISSUE DATE]]="", "", TEXT(certifications[[#This Row],[ISSUE DATE]], "YYYY"))</f>
        <v>2023</v>
      </c>
    </row>
    <row r="1871" spans="1:12" s="29" customFormat="1" ht="23.95" customHeight="1" x14ac:dyDescent="0.3">
      <c r="A1871" s="31"/>
      <c r="B1871" s="24">
        <v>1858</v>
      </c>
      <c r="C1871" s="24" t="s">
        <v>1893</v>
      </c>
      <c r="D1871" s="24" t="s">
        <v>708</v>
      </c>
      <c r="E1871" s="24" t="s">
        <v>9</v>
      </c>
      <c r="F1871" s="24">
        <v>11993</v>
      </c>
      <c r="G1871" s="25">
        <v>43313</v>
      </c>
      <c r="H1871" s="25">
        <v>44774</v>
      </c>
      <c r="I1871" s="24" t="s">
        <v>16</v>
      </c>
      <c r="J1871" s="24" t="s">
        <v>38</v>
      </c>
      <c r="K1871" s="24" t="str">
        <f>IF(certifications[[#This Row],[ISSUE DATE]]="", "", TEXT(certifications[[#This Row],[ISSUE DATE]], "MMM"))</f>
        <v>Aug</v>
      </c>
      <c r="L1871" s="35" t="str">
        <f>IF(certifications[[#This Row],[ISSUE DATE]]="", "", TEXT(certifications[[#This Row],[ISSUE DATE]], "YYYY"))</f>
        <v>2018</v>
      </c>
    </row>
    <row r="1872" spans="1:12" s="29" customFormat="1" ht="23.95" customHeight="1" x14ac:dyDescent="0.3">
      <c r="A1872" s="31"/>
      <c r="B1872" s="24">
        <v>1859</v>
      </c>
      <c r="C1872" s="24" t="s">
        <v>1894</v>
      </c>
      <c r="D1872" s="24" t="s">
        <v>206</v>
      </c>
      <c r="E1872" s="24" t="s">
        <v>9</v>
      </c>
      <c r="F1872" s="24">
        <v>15078</v>
      </c>
      <c r="G1872" s="25">
        <v>43857</v>
      </c>
      <c r="H1872" s="25">
        <v>44588</v>
      </c>
      <c r="I1872" s="24" t="s">
        <v>16</v>
      </c>
      <c r="J1872" s="24" t="s">
        <v>30</v>
      </c>
      <c r="K1872" s="24" t="str">
        <f>IF(certifications[[#This Row],[ISSUE DATE]]="", "", TEXT(certifications[[#This Row],[ISSUE DATE]], "MMM"))</f>
        <v>Jan</v>
      </c>
      <c r="L1872" s="35" t="str">
        <f>IF(certifications[[#This Row],[ISSUE DATE]]="", "", TEXT(certifications[[#This Row],[ISSUE DATE]], "YYYY"))</f>
        <v>2020</v>
      </c>
    </row>
    <row r="1873" spans="1:12" s="29" customFormat="1" ht="23.95" customHeight="1" x14ac:dyDescent="0.3">
      <c r="A1873" s="31"/>
      <c r="B1873" s="24">
        <v>1860</v>
      </c>
      <c r="C1873" s="24" t="s">
        <v>1895</v>
      </c>
      <c r="D1873" s="24" t="s">
        <v>452</v>
      </c>
      <c r="E1873" s="24" t="s">
        <v>9</v>
      </c>
      <c r="F1873" s="24">
        <v>10029</v>
      </c>
      <c r="G1873" s="25">
        <v>42766</v>
      </c>
      <c r="H1873" s="25">
        <v>43496</v>
      </c>
      <c r="I1873" s="24" t="s">
        <v>16</v>
      </c>
      <c r="J1873" s="24" t="s">
        <v>25</v>
      </c>
      <c r="K1873" s="24" t="str">
        <f>IF(certifications[[#This Row],[ISSUE DATE]]="", "", TEXT(certifications[[#This Row],[ISSUE DATE]], "MMM"))</f>
        <v>Jan</v>
      </c>
      <c r="L1873" s="35" t="str">
        <f>IF(certifications[[#This Row],[ISSUE DATE]]="", "", TEXT(certifications[[#This Row],[ISSUE DATE]], "YYYY"))</f>
        <v>2017</v>
      </c>
    </row>
    <row r="1874" spans="1:12" s="29" customFormat="1" ht="23.95" customHeight="1" x14ac:dyDescent="0.3">
      <c r="A1874" s="31"/>
      <c r="B1874" s="24">
        <v>1861</v>
      </c>
      <c r="C1874" s="24" t="s">
        <v>1896</v>
      </c>
      <c r="D1874" s="24" t="s">
        <v>32</v>
      </c>
      <c r="E1874" s="24" t="s">
        <v>9</v>
      </c>
      <c r="F1874" s="24">
        <v>8974</v>
      </c>
      <c r="G1874" s="25">
        <v>41849</v>
      </c>
      <c r="H1874" s="25">
        <v>42580</v>
      </c>
      <c r="I1874" s="24" t="s">
        <v>16</v>
      </c>
      <c r="J1874" s="24" t="s">
        <v>33</v>
      </c>
      <c r="K1874" s="24" t="str">
        <f>IF(certifications[[#This Row],[ISSUE DATE]]="", "", TEXT(certifications[[#This Row],[ISSUE DATE]], "MMM"))</f>
        <v>Jul</v>
      </c>
      <c r="L1874" s="35" t="str">
        <f>IF(certifications[[#This Row],[ISSUE DATE]]="", "", TEXT(certifications[[#This Row],[ISSUE DATE]], "YYYY"))</f>
        <v>2014</v>
      </c>
    </row>
    <row r="1875" spans="1:12" s="29" customFormat="1" ht="23.95" customHeight="1" x14ac:dyDescent="0.3">
      <c r="A1875" s="31"/>
      <c r="B1875" s="24">
        <v>1862</v>
      </c>
      <c r="C1875" s="24" t="s">
        <v>1897</v>
      </c>
      <c r="D1875" s="24" t="s">
        <v>46</v>
      </c>
      <c r="E1875" s="24" t="s">
        <v>9</v>
      </c>
      <c r="F1875" s="24">
        <v>16135</v>
      </c>
      <c r="G1875" s="25">
        <v>44285</v>
      </c>
      <c r="H1875" s="25">
        <v>45015</v>
      </c>
      <c r="I1875" s="24" t="s">
        <v>16</v>
      </c>
      <c r="J1875" s="24" t="s">
        <v>38</v>
      </c>
      <c r="K1875" s="24" t="str">
        <f>IF(certifications[[#This Row],[ISSUE DATE]]="", "", TEXT(certifications[[#This Row],[ISSUE DATE]], "MMM"))</f>
        <v>Mar</v>
      </c>
      <c r="L1875" s="35" t="str">
        <f>IF(certifications[[#This Row],[ISSUE DATE]]="", "", TEXT(certifications[[#This Row],[ISSUE DATE]], "YYYY"))</f>
        <v>2021</v>
      </c>
    </row>
    <row r="1876" spans="1:12" s="29" customFormat="1" ht="23.95" customHeight="1" x14ac:dyDescent="0.3">
      <c r="A1876" s="31"/>
      <c r="B1876" s="24">
        <v>1863</v>
      </c>
      <c r="C1876" s="24" t="s">
        <v>1898</v>
      </c>
      <c r="D1876" s="24" t="s">
        <v>32</v>
      </c>
      <c r="E1876" s="24" t="s">
        <v>9</v>
      </c>
      <c r="F1876" s="24">
        <v>14421</v>
      </c>
      <c r="G1876" s="25">
        <v>43697</v>
      </c>
      <c r="H1876" s="25">
        <v>44428</v>
      </c>
      <c r="I1876" s="24" t="s">
        <v>16</v>
      </c>
      <c r="J1876" s="24" t="s">
        <v>33</v>
      </c>
      <c r="K1876" s="24" t="str">
        <f>IF(certifications[[#This Row],[ISSUE DATE]]="", "", TEXT(certifications[[#This Row],[ISSUE DATE]], "MMM"))</f>
        <v>Aug</v>
      </c>
      <c r="L1876" s="35" t="str">
        <f>IF(certifications[[#This Row],[ISSUE DATE]]="", "", TEXT(certifications[[#This Row],[ISSUE DATE]], "YYYY"))</f>
        <v>2019</v>
      </c>
    </row>
    <row r="1877" spans="1:12" s="29" customFormat="1" ht="23.95" customHeight="1" x14ac:dyDescent="0.3">
      <c r="A1877" s="31"/>
      <c r="B1877" s="24">
        <v>1864</v>
      </c>
      <c r="C1877" s="24" t="s">
        <v>1899</v>
      </c>
      <c r="D1877" s="24" t="s">
        <v>645</v>
      </c>
      <c r="E1877" s="24" t="s">
        <v>9</v>
      </c>
      <c r="F1877" s="24">
        <v>10268</v>
      </c>
      <c r="G1877" s="25">
        <v>42908</v>
      </c>
      <c r="H1877" s="25">
        <v>46560</v>
      </c>
      <c r="I1877" s="24" t="s">
        <v>10</v>
      </c>
      <c r="J1877" s="24" t="s">
        <v>38</v>
      </c>
      <c r="K1877" s="24" t="str">
        <f>IF(certifications[[#This Row],[ISSUE DATE]]="", "", TEXT(certifications[[#This Row],[ISSUE DATE]], "MMM"))</f>
        <v>Jun</v>
      </c>
      <c r="L1877" s="35" t="str">
        <f>IF(certifications[[#This Row],[ISSUE DATE]]="", "", TEXT(certifications[[#This Row],[ISSUE DATE]], "YYYY"))</f>
        <v>2017</v>
      </c>
    </row>
    <row r="1878" spans="1:12" s="29" customFormat="1" ht="23.95" customHeight="1" x14ac:dyDescent="0.3">
      <c r="A1878" s="31"/>
      <c r="B1878" s="24">
        <v>1865</v>
      </c>
      <c r="C1878" s="24" t="s">
        <v>1900</v>
      </c>
      <c r="D1878" s="24" t="s">
        <v>32</v>
      </c>
      <c r="E1878" s="24" t="s">
        <v>9</v>
      </c>
      <c r="F1878" s="24">
        <v>17670</v>
      </c>
      <c r="G1878" s="25">
        <v>44765</v>
      </c>
      <c r="H1878" s="25">
        <v>46226</v>
      </c>
      <c r="I1878" s="24" t="s">
        <v>10</v>
      </c>
      <c r="J1878" s="24" t="s">
        <v>33</v>
      </c>
      <c r="K1878" s="24" t="str">
        <f>IF(certifications[[#This Row],[ISSUE DATE]]="", "", TEXT(certifications[[#This Row],[ISSUE DATE]], "MMM"))</f>
        <v>Jul</v>
      </c>
      <c r="L1878" s="35" t="str">
        <f>IF(certifications[[#This Row],[ISSUE DATE]]="", "", TEXT(certifications[[#This Row],[ISSUE DATE]], "YYYY"))</f>
        <v>2022</v>
      </c>
    </row>
    <row r="1879" spans="1:12" s="29" customFormat="1" ht="23.95" customHeight="1" x14ac:dyDescent="0.3">
      <c r="A1879" s="31"/>
      <c r="B1879" s="24">
        <v>1866</v>
      </c>
      <c r="C1879" s="24" t="s">
        <v>1901</v>
      </c>
      <c r="D1879" s="24" t="s">
        <v>337</v>
      </c>
      <c r="E1879" s="24" t="s">
        <v>9</v>
      </c>
      <c r="F1879" s="24">
        <v>16533</v>
      </c>
      <c r="G1879" s="25">
        <v>44372</v>
      </c>
      <c r="H1879" s="25">
        <v>45102</v>
      </c>
      <c r="I1879" s="24" t="s">
        <v>16</v>
      </c>
      <c r="J1879" s="24" t="s">
        <v>30</v>
      </c>
      <c r="K1879" s="24" t="str">
        <f>IF(certifications[[#This Row],[ISSUE DATE]]="", "", TEXT(certifications[[#This Row],[ISSUE DATE]], "MMM"))</f>
        <v>Jun</v>
      </c>
      <c r="L1879" s="35" t="str">
        <f>IF(certifications[[#This Row],[ISSUE DATE]]="", "", TEXT(certifications[[#This Row],[ISSUE DATE]], "YYYY"))</f>
        <v>2021</v>
      </c>
    </row>
    <row r="1880" spans="1:12" s="29" customFormat="1" ht="23.95" customHeight="1" x14ac:dyDescent="0.3">
      <c r="A1880" s="31"/>
      <c r="B1880" s="24">
        <v>1867</v>
      </c>
      <c r="C1880" s="24" t="s">
        <v>1902</v>
      </c>
      <c r="D1880" s="24" t="s">
        <v>1903</v>
      </c>
      <c r="E1880" s="24" t="s">
        <v>9</v>
      </c>
      <c r="F1880" s="24">
        <v>18044</v>
      </c>
      <c r="G1880" s="25">
        <v>44882</v>
      </c>
      <c r="H1880" s="25">
        <v>45613</v>
      </c>
      <c r="I1880" s="24" t="s">
        <v>82</v>
      </c>
      <c r="J1880" s="24" t="s">
        <v>30</v>
      </c>
      <c r="K1880" s="24" t="str">
        <f>IF(certifications[[#This Row],[ISSUE DATE]]="", "", TEXT(certifications[[#This Row],[ISSUE DATE]], "MMM"))</f>
        <v>Nov</v>
      </c>
      <c r="L1880" s="35" t="str">
        <f>IF(certifications[[#This Row],[ISSUE DATE]]="", "", TEXT(certifications[[#This Row],[ISSUE DATE]], "YYYY"))</f>
        <v>2022</v>
      </c>
    </row>
    <row r="1881" spans="1:12" s="29" customFormat="1" ht="23.95" customHeight="1" x14ac:dyDescent="0.3">
      <c r="A1881" s="31"/>
      <c r="B1881" s="24">
        <v>1868</v>
      </c>
      <c r="C1881" s="24" t="s">
        <v>1904</v>
      </c>
      <c r="D1881" s="24" t="s">
        <v>37</v>
      </c>
      <c r="E1881" s="24" t="s">
        <v>9</v>
      </c>
      <c r="F1881" s="24">
        <v>14649</v>
      </c>
      <c r="G1881" s="25">
        <v>43714</v>
      </c>
      <c r="H1881" s="25">
        <v>44445</v>
      </c>
      <c r="I1881" s="24" t="s">
        <v>16</v>
      </c>
      <c r="J1881" s="24" t="s">
        <v>38</v>
      </c>
      <c r="K1881" s="24" t="str">
        <f>IF(certifications[[#This Row],[ISSUE DATE]]="", "", TEXT(certifications[[#This Row],[ISSUE DATE]], "MMM"))</f>
        <v>Sep</v>
      </c>
      <c r="L1881" s="35" t="str">
        <f>IF(certifications[[#This Row],[ISSUE DATE]]="", "", TEXT(certifications[[#This Row],[ISSUE DATE]], "YYYY"))</f>
        <v>2019</v>
      </c>
    </row>
    <row r="1882" spans="1:12" s="29" customFormat="1" ht="23.95" customHeight="1" x14ac:dyDescent="0.3">
      <c r="A1882" s="31"/>
      <c r="B1882" s="24">
        <v>1869</v>
      </c>
      <c r="C1882" s="24" t="s">
        <v>1905</v>
      </c>
      <c r="D1882" s="24" t="s">
        <v>150</v>
      </c>
      <c r="E1882" s="24" t="s">
        <v>9</v>
      </c>
      <c r="F1882" s="24">
        <v>8101</v>
      </c>
      <c r="G1882" s="25">
        <v>42915</v>
      </c>
      <c r="H1882" s="25">
        <v>44376</v>
      </c>
      <c r="I1882" s="24" t="s">
        <v>16</v>
      </c>
      <c r="J1882" s="24" t="s">
        <v>14</v>
      </c>
      <c r="K1882" s="24" t="str">
        <f>IF(certifications[[#This Row],[ISSUE DATE]]="", "", TEXT(certifications[[#This Row],[ISSUE DATE]], "MMM"))</f>
        <v>Jun</v>
      </c>
      <c r="L1882" s="35" t="str">
        <f>IF(certifications[[#This Row],[ISSUE DATE]]="", "", TEXT(certifications[[#This Row],[ISSUE DATE]], "YYYY"))</f>
        <v>2017</v>
      </c>
    </row>
    <row r="1883" spans="1:12" s="29" customFormat="1" ht="23.95" customHeight="1" x14ac:dyDescent="0.3">
      <c r="A1883" s="31"/>
      <c r="B1883" s="24">
        <v>1870</v>
      </c>
      <c r="C1883" s="24" t="s">
        <v>1906</v>
      </c>
      <c r="D1883" s="24" t="s">
        <v>32</v>
      </c>
      <c r="E1883" s="24" t="s">
        <v>9</v>
      </c>
      <c r="F1883" s="24">
        <v>9051</v>
      </c>
      <c r="G1883" s="25">
        <v>41936</v>
      </c>
      <c r="H1883" s="25">
        <v>46319</v>
      </c>
      <c r="I1883" s="24" t="s">
        <v>10</v>
      </c>
      <c r="J1883" s="24" t="s">
        <v>33</v>
      </c>
      <c r="K1883" s="24" t="str">
        <f>IF(certifications[[#This Row],[ISSUE DATE]]="", "", TEXT(certifications[[#This Row],[ISSUE DATE]], "MMM"))</f>
        <v>Oct</v>
      </c>
      <c r="L1883" s="35" t="str">
        <f>IF(certifications[[#This Row],[ISSUE DATE]]="", "", TEXT(certifications[[#This Row],[ISSUE DATE]], "YYYY"))</f>
        <v>2014</v>
      </c>
    </row>
    <row r="1884" spans="1:12" s="29" customFormat="1" ht="23.95" customHeight="1" x14ac:dyDescent="0.3">
      <c r="A1884" s="31"/>
      <c r="B1884" s="24">
        <v>1871</v>
      </c>
      <c r="C1884" s="24" t="s">
        <v>1907</v>
      </c>
      <c r="D1884" s="24" t="s">
        <v>102</v>
      </c>
      <c r="E1884" s="24" t="s">
        <v>9</v>
      </c>
      <c r="F1884" s="24">
        <v>18949</v>
      </c>
      <c r="G1884" s="25">
        <v>45138</v>
      </c>
      <c r="H1884" s="25">
        <v>45869</v>
      </c>
      <c r="I1884" s="24" t="s">
        <v>10</v>
      </c>
      <c r="J1884" s="24" t="s">
        <v>38</v>
      </c>
      <c r="K1884" s="24" t="str">
        <f>IF(certifications[[#This Row],[ISSUE DATE]]="", "", TEXT(certifications[[#This Row],[ISSUE DATE]], "MMM"))</f>
        <v>Jul</v>
      </c>
      <c r="L1884" s="35" t="str">
        <f>IF(certifications[[#This Row],[ISSUE DATE]]="", "", TEXT(certifications[[#This Row],[ISSUE DATE]], "YYYY"))</f>
        <v>2023</v>
      </c>
    </row>
    <row r="1885" spans="1:12" s="29" customFormat="1" ht="23.95" customHeight="1" x14ac:dyDescent="0.3">
      <c r="A1885" s="31"/>
      <c r="B1885" s="24">
        <v>1872</v>
      </c>
      <c r="C1885" s="24" t="s">
        <v>1908</v>
      </c>
      <c r="D1885" s="24" t="s">
        <v>18</v>
      </c>
      <c r="E1885" s="24" t="s">
        <v>9</v>
      </c>
      <c r="F1885" s="24">
        <v>13705</v>
      </c>
      <c r="G1885" s="25">
        <v>43640</v>
      </c>
      <c r="H1885" s="25">
        <v>44371</v>
      </c>
      <c r="I1885" s="24" t="s">
        <v>16</v>
      </c>
      <c r="J1885" s="24" t="s">
        <v>19</v>
      </c>
      <c r="K1885" s="24" t="str">
        <f>IF(certifications[[#This Row],[ISSUE DATE]]="", "", TEXT(certifications[[#This Row],[ISSUE DATE]], "MMM"))</f>
        <v>Jun</v>
      </c>
      <c r="L1885" s="35" t="str">
        <f>IF(certifications[[#This Row],[ISSUE DATE]]="", "", TEXT(certifications[[#This Row],[ISSUE DATE]], "YYYY"))</f>
        <v>2019</v>
      </c>
    </row>
    <row r="1886" spans="1:12" s="29" customFormat="1" ht="23.95" customHeight="1" x14ac:dyDescent="0.3">
      <c r="A1886" s="31"/>
      <c r="B1886" s="24">
        <v>1873</v>
      </c>
      <c r="C1886" s="24" t="s">
        <v>1909</v>
      </c>
      <c r="D1886" s="24" t="s">
        <v>215</v>
      </c>
      <c r="E1886" s="24" t="s">
        <v>9</v>
      </c>
      <c r="F1886" s="24">
        <v>14238</v>
      </c>
      <c r="G1886" s="25">
        <v>43686</v>
      </c>
      <c r="H1886" s="25">
        <v>44417</v>
      </c>
      <c r="I1886" s="24" t="s">
        <v>16</v>
      </c>
      <c r="J1886" s="24" t="s">
        <v>14</v>
      </c>
      <c r="K1886" s="24" t="str">
        <f>IF(certifications[[#This Row],[ISSUE DATE]]="", "", TEXT(certifications[[#This Row],[ISSUE DATE]], "MMM"))</f>
        <v>Aug</v>
      </c>
      <c r="L1886" s="35" t="str">
        <f>IF(certifications[[#This Row],[ISSUE DATE]]="", "", TEXT(certifications[[#This Row],[ISSUE DATE]], "YYYY"))</f>
        <v>2019</v>
      </c>
    </row>
    <row r="1887" spans="1:12" s="29" customFormat="1" ht="23.95" customHeight="1" x14ac:dyDescent="0.3">
      <c r="A1887" s="31"/>
      <c r="B1887" s="24">
        <v>1874</v>
      </c>
      <c r="C1887" s="24" t="s">
        <v>1910</v>
      </c>
      <c r="D1887" s="24" t="s">
        <v>61</v>
      </c>
      <c r="E1887" s="24" t="s">
        <v>9</v>
      </c>
      <c r="F1887" s="24">
        <v>9655</v>
      </c>
      <c r="G1887" s="25">
        <v>42537</v>
      </c>
      <c r="H1887" s="25">
        <v>43267</v>
      </c>
      <c r="I1887" s="24" t="s">
        <v>16</v>
      </c>
      <c r="J1887" s="24" t="s">
        <v>19</v>
      </c>
      <c r="K1887" s="24" t="str">
        <f>IF(certifications[[#This Row],[ISSUE DATE]]="", "", TEXT(certifications[[#This Row],[ISSUE DATE]], "MMM"))</f>
        <v>Jun</v>
      </c>
      <c r="L1887" s="35" t="str">
        <f>IF(certifications[[#This Row],[ISSUE DATE]]="", "", TEXT(certifications[[#This Row],[ISSUE DATE]], "YYYY"))</f>
        <v>2016</v>
      </c>
    </row>
    <row r="1888" spans="1:12" s="29" customFormat="1" ht="23.95" customHeight="1" x14ac:dyDescent="0.3">
      <c r="A1888" s="31"/>
      <c r="B1888" s="24">
        <v>1875</v>
      </c>
      <c r="C1888" s="24" t="s">
        <v>1911</v>
      </c>
      <c r="D1888" s="24" t="s">
        <v>179</v>
      </c>
      <c r="E1888" s="24" t="s">
        <v>9</v>
      </c>
      <c r="F1888" s="24">
        <v>8292</v>
      </c>
      <c r="G1888" s="25">
        <v>41285</v>
      </c>
      <c r="H1888" s="25">
        <v>45668</v>
      </c>
      <c r="I1888" s="24" t="s">
        <v>82</v>
      </c>
      <c r="J1888" s="24" t="s">
        <v>14</v>
      </c>
      <c r="K1888" s="24" t="str">
        <f>IF(certifications[[#This Row],[ISSUE DATE]]="", "", TEXT(certifications[[#This Row],[ISSUE DATE]], "MMM"))</f>
        <v>Jan</v>
      </c>
      <c r="L1888" s="35" t="str">
        <f>IF(certifications[[#This Row],[ISSUE DATE]]="", "", TEXT(certifications[[#This Row],[ISSUE DATE]], "YYYY"))</f>
        <v>2013</v>
      </c>
    </row>
    <row r="1889" spans="1:12" s="29" customFormat="1" ht="23.95" customHeight="1" x14ac:dyDescent="0.3">
      <c r="A1889" s="31"/>
      <c r="B1889" s="24">
        <v>1876</v>
      </c>
      <c r="C1889" s="24" t="s">
        <v>1912</v>
      </c>
      <c r="D1889" s="24" t="s">
        <v>877</v>
      </c>
      <c r="E1889" s="24" t="s">
        <v>9</v>
      </c>
      <c r="F1889" s="24">
        <v>18310</v>
      </c>
      <c r="G1889" s="25">
        <v>44971</v>
      </c>
      <c r="H1889" s="25">
        <v>45702</v>
      </c>
      <c r="I1889" s="24" t="s">
        <v>82</v>
      </c>
      <c r="J1889" s="24" t="s">
        <v>30</v>
      </c>
      <c r="K1889" s="24" t="str">
        <f>IF(certifications[[#This Row],[ISSUE DATE]]="", "", TEXT(certifications[[#This Row],[ISSUE DATE]], "MMM"))</f>
        <v>Feb</v>
      </c>
      <c r="L1889" s="35" t="str">
        <f>IF(certifications[[#This Row],[ISSUE DATE]]="", "", TEXT(certifications[[#This Row],[ISSUE DATE]], "YYYY"))</f>
        <v>2023</v>
      </c>
    </row>
    <row r="1890" spans="1:12" s="29" customFormat="1" ht="23.95" customHeight="1" x14ac:dyDescent="0.3">
      <c r="A1890" s="31"/>
      <c r="B1890" s="24">
        <v>1877</v>
      </c>
      <c r="C1890" s="24" t="s">
        <v>1913</v>
      </c>
      <c r="D1890" s="24" t="s">
        <v>375</v>
      </c>
      <c r="E1890" s="24" t="s">
        <v>9</v>
      </c>
      <c r="F1890" s="24">
        <v>9452</v>
      </c>
      <c r="G1890" s="25">
        <v>43490</v>
      </c>
      <c r="H1890" s="25">
        <v>44951</v>
      </c>
      <c r="I1890" s="24" t="s">
        <v>16</v>
      </c>
      <c r="J1890" s="24" t="s">
        <v>38</v>
      </c>
      <c r="K1890" s="24" t="str">
        <f>IF(certifications[[#This Row],[ISSUE DATE]]="", "", TEXT(certifications[[#This Row],[ISSUE DATE]], "MMM"))</f>
        <v>Jan</v>
      </c>
      <c r="L1890" s="35" t="str">
        <f>IF(certifications[[#This Row],[ISSUE DATE]]="", "", TEXT(certifications[[#This Row],[ISSUE DATE]], "YYYY"))</f>
        <v>2019</v>
      </c>
    </row>
    <row r="1891" spans="1:12" s="29" customFormat="1" ht="23.95" customHeight="1" x14ac:dyDescent="0.3">
      <c r="A1891" s="31"/>
      <c r="B1891" s="24">
        <v>1878</v>
      </c>
      <c r="C1891" s="24" t="s">
        <v>1914</v>
      </c>
      <c r="D1891" s="24" t="s">
        <v>32</v>
      </c>
      <c r="E1891" s="24" t="s">
        <v>9</v>
      </c>
      <c r="F1891" s="24">
        <v>11166</v>
      </c>
      <c r="G1891" s="25">
        <v>43900</v>
      </c>
      <c r="H1891" s="25">
        <v>46137</v>
      </c>
      <c r="I1891" s="24" t="s">
        <v>10</v>
      </c>
      <c r="J1891" s="24" t="s">
        <v>33</v>
      </c>
      <c r="K1891" s="24" t="str">
        <f>IF(certifications[[#This Row],[ISSUE DATE]]="", "", TEXT(certifications[[#This Row],[ISSUE DATE]], "MMM"))</f>
        <v>Mar</v>
      </c>
      <c r="L1891" s="35" t="str">
        <f>IF(certifications[[#This Row],[ISSUE DATE]]="", "", TEXT(certifications[[#This Row],[ISSUE DATE]], "YYYY"))</f>
        <v>2020</v>
      </c>
    </row>
    <row r="1892" spans="1:12" s="29" customFormat="1" ht="23.95" customHeight="1" x14ac:dyDescent="0.3">
      <c r="A1892" s="31"/>
      <c r="B1892" s="24">
        <v>1879</v>
      </c>
      <c r="C1892" s="24" t="s">
        <v>1914</v>
      </c>
      <c r="D1892" s="24" t="s">
        <v>32</v>
      </c>
      <c r="E1892" s="24" t="s">
        <v>26</v>
      </c>
      <c r="F1892" s="24">
        <v>11166</v>
      </c>
      <c r="G1892" s="25">
        <v>44287</v>
      </c>
      <c r="H1892" s="25">
        <v>46137</v>
      </c>
      <c r="I1892" s="24" t="s">
        <v>10</v>
      </c>
      <c r="J1892" s="24" t="s">
        <v>33</v>
      </c>
      <c r="K1892" s="24" t="str">
        <f>IF(certifications[[#This Row],[ISSUE DATE]]="", "", TEXT(certifications[[#This Row],[ISSUE DATE]], "MMM"))</f>
        <v>Apr</v>
      </c>
      <c r="L1892" s="35" t="str">
        <f>IF(certifications[[#This Row],[ISSUE DATE]]="", "", TEXT(certifications[[#This Row],[ISSUE DATE]], "YYYY"))</f>
        <v>2021</v>
      </c>
    </row>
    <row r="1893" spans="1:12" s="29" customFormat="1" ht="23.95" customHeight="1" x14ac:dyDescent="0.3">
      <c r="A1893" s="31"/>
      <c r="B1893" s="24">
        <v>1880</v>
      </c>
      <c r="C1893" s="24" t="s">
        <v>1915</v>
      </c>
      <c r="D1893" s="24" t="s">
        <v>1916</v>
      </c>
      <c r="E1893" s="24" t="s">
        <v>9</v>
      </c>
      <c r="F1893" s="24">
        <v>9346</v>
      </c>
      <c r="G1893" s="25">
        <v>42258</v>
      </c>
      <c r="H1893" s="25">
        <v>42989</v>
      </c>
      <c r="I1893" s="24" t="s">
        <v>16</v>
      </c>
      <c r="J1893" s="24" t="s">
        <v>22</v>
      </c>
      <c r="K1893" s="24" t="str">
        <f>IF(certifications[[#This Row],[ISSUE DATE]]="", "", TEXT(certifications[[#This Row],[ISSUE DATE]], "MMM"))</f>
        <v>Sep</v>
      </c>
      <c r="L1893" s="35" t="str">
        <f>IF(certifications[[#This Row],[ISSUE DATE]]="", "", TEXT(certifications[[#This Row],[ISSUE DATE]], "YYYY"))</f>
        <v>2015</v>
      </c>
    </row>
    <row r="1894" spans="1:12" s="29" customFormat="1" ht="23.95" customHeight="1" x14ac:dyDescent="0.3">
      <c r="A1894" s="31"/>
      <c r="B1894" s="24">
        <v>1881</v>
      </c>
      <c r="C1894" s="24" t="s">
        <v>1917</v>
      </c>
      <c r="D1894" s="24" t="s">
        <v>13</v>
      </c>
      <c r="E1894" s="24" t="s">
        <v>9</v>
      </c>
      <c r="F1894" s="24">
        <v>9184</v>
      </c>
      <c r="G1894" s="25">
        <v>42144</v>
      </c>
      <c r="H1894" s="25">
        <v>42875</v>
      </c>
      <c r="I1894" s="24" t="s">
        <v>16</v>
      </c>
      <c r="J1894" s="24" t="s">
        <v>14</v>
      </c>
      <c r="K1894" s="24" t="str">
        <f>IF(certifications[[#This Row],[ISSUE DATE]]="", "", TEXT(certifications[[#This Row],[ISSUE DATE]], "MMM"))</f>
        <v>May</v>
      </c>
      <c r="L1894" s="35" t="str">
        <f>IF(certifications[[#This Row],[ISSUE DATE]]="", "", TEXT(certifications[[#This Row],[ISSUE DATE]], "YYYY"))</f>
        <v>2015</v>
      </c>
    </row>
    <row r="1895" spans="1:12" s="29" customFormat="1" ht="23.95" customHeight="1" x14ac:dyDescent="0.3">
      <c r="A1895" s="31"/>
      <c r="B1895" s="24">
        <v>1882</v>
      </c>
      <c r="C1895" s="24" t="s">
        <v>1918</v>
      </c>
      <c r="D1895" s="24" t="s">
        <v>32</v>
      </c>
      <c r="E1895" s="24" t="s">
        <v>9</v>
      </c>
      <c r="F1895" s="24">
        <v>8691</v>
      </c>
      <c r="G1895" s="25">
        <v>41603</v>
      </c>
      <c r="H1895" s="25">
        <v>42333</v>
      </c>
      <c r="I1895" s="24" t="s">
        <v>16</v>
      </c>
      <c r="J1895" s="24" t="s">
        <v>33</v>
      </c>
      <c r="K1895" s="24" t="str">
        <f>IF(certifications[[#This Row],[ISSUE DATE]]="", "", TEXT(certifications[[#This Row],[ISSUE DATE]], "MMM"))</f>
        <v>Nov</v>
      </c>
      <c r="L1895" s="35" t="str">
        <f>IF(certifications[[#This Row],[ISSUE DATE]]="", "", TEXT(certifications[[#This Row],[ISSUE DATE]], "YYYY"))</f>
        <v>2013</v>
      </c>
    </row>
    <row r="1896" spans="1:12" s="29" customFormat="1" ht="23.95" customHeight="1" x14ac:dyDescent="0.3">
      <c r="A1896" s="31"/>
      <c r="B1896" s="24">
        <v>1883</v>
      </c>
      <c r="C1896" s="24" t="s">
        <v>1919</v>
      </c>
      <c r="D1896" s="24" t="s">
        <v>1920</v>
      </c>
      <c r="E1896" s="24" t="s">
        <v>9</v>
      </c>
      <c r="F1896" s="24">
        <v>18545</v>
      </c>
      <c r="G1896" s="25">
        <v>45042</v>
      </c>
      <c r="H1896" s="25">
        <v>45773</v>
      </c>
      <c r="I1896" s="24" t="s">
        <v>1371</v>
      </c>
      <c r="J1896" s="24" t="s">
        <v>14</v>
      </c>
      <c r="K1896" s="24" t="str">
        <f>IF(certifications[[#This Row],[ISSUE DATE]]="", "", TEXT(certifications[[#This Row],[ISSUE DATE]], "MMM"))</f>
        <v>Apr</v>
      </c>
      <c r="L1896" s="35" t="str">
        <f>IF(certifications[[#This Row],[ISSUE DATE]]="", "", TEXT(certifications[[#This Row],[ISSUE DATE]], "YYYY"))</f>
        <v>2023</v>
      </c>
    </row>
    <row r="1897" spans="1:12" s="29" customFormat="1" ht="23.95" customHeight="1" x14ac:dyDescent="0.3">
      <c r="A1897" s="31"/>
      <c r="B1897" s="24">
        <v>1884</v>
      </c>
      <c r="C1897" s="24" t="s">
        <v>1921</v>
      </c>
      <c r="D1897" s="24" t="s">
        <v>32</v>
      </c>
      <c r="E1897" s="24" t="s">
        <v>9</v>
      </c>
      <c r="F1897" s="24">
        <v>16226</v>
      </c>
      <c r="G1897" s="25">
        <v>44509</v>
      </c>
      <c r="H1897" s="25">
        <v>45787</v>
      </c>
      <c r="I1897" s="24" t="s">
        <v>82</v>
      </c>
      <c r="J1897" s="24" t="s">
        <v>33</v>
      </c>
      <c r="K1897" s="24" t="str">
        <f>IF(certifications[[#This Row],[ISSUE DATE]]="", "", TEXT(certifications[[#This Row],[ISSUE DATE]], "MMM"))</f>
        <v>Nov</v>
      </c>
      <c r="L1897" s="35" t="str">
        <f>IF(certifications[[#This Row],[ISSUE DATE]]="", "", TEXT(certifications[[#This Row],[ISSUE DATE]], "YYYY"))</f>
        <v>2021</v>
      </c>
    </row>
    <row r="1898" spans="1:12" s="29" customFormat="1" ht="23.95" customHeight="1" x14ac:dyDescent="0.3">
      <c r="A1898" s="31"/>
      <c r="B1898" s="24">
        <v>1885</v>
      </c>
      <c r="C1898" s="24" t="s">
        <v>1921</v>
      </c>
      <c r="D1898" s="24" t="s">
        <v>32</v>
      </c>
      <c r="E1898" s="24" t="s">
        <v>26</v>
      </c>
      <c r="F1898" s="24">
        <v>16226</v>
      </c>
      <c r="G1898" s="25">
        <v>44326</v>
      </c>
      <c r="H1898" s="25">
        <v>45787</v>
      </c>
      <c r="I1898" s="24" t="s">
        <v>82</v>
      </c>
      <c r="J1898" s="24" t="s">
        <v>33</v>
      </c>
      <c r="K1898" s="24" t="str">
        <f>IF(certifications[[#This Row],[ISSUE DATE]]="", "", TEXT(certifications[[#This Row],[ISSUE DATE]], "MMM"))</f>
        <v>May</v>
      </c>
      <c r="L1898" s="35" t="str">
        <f>IF(certifications[[#This Row],[ISSUE DATE]]="", "", TEXT(certifications[[#This Row],[ISSUE DATE]], "YYYY"))</f>
        <v>2021</v>
      </c>
    </row>
    <row r="1899" spans="1:12" s="29" customFormat="1" ht="23.95" customHeight="1" x14ac:dyDescent="0.3">
      <c r="A1899" s="31"/>
      <c r="B1899" s="24">
        <v>1886</v>
      </c>
      <c r="C1899" s="24" t="s">
        <v>1922</v>
      </c>
      <c r="D1899" s="24" t="s">
        <v>32</v>
      </c>
      <c r="E1899" s="24" t="s">
        <v>9</v>
      </c>
      <c r="F1899" s="24">
        <v>9169</v>
      </c>
      <c r="G1899" s="25">
        <v>42132</v>
      </c>
      <c r="H1899" s="25">
        <v>43593</v>
      </c>
      <c r="I1899" s="24" t="s">
        <v>16</v>
      </c>
      <c r="J1899" s="24" t="s">
        <v>33</v>
      </c>
      <c r="K1899" s="24" t="str">
        <f>IF(certifications[[#This Row],[ISSUE DATE]]="", "", TEXT(certifications[[#This Row],[ISSUE DATE]], "MMM"))</f>
        <v>May</v>
      </c>
      <c r="L1899" s="35" t="str">
        <f>IF(certifications[[#This Row],[ISSUE DATE]]="", "", TEXT(certifications[[#This Row],[ISSUE DATE]], "YYYY"))</f>
        <v>2015</v>
      </c>
    </row>
    <row r="1900" spans="1:12" s="29" customFormat="1" ht="23.95" customHeight="1" x14ac:dyDescent="0.3">
      <c r="A1900" s="31"/>
      <c r="B1900" s="24">
        <v>1887</v>
      </c>
      <c r="C1900" s="24" t="s">
        <v>1923</v>
      </c>
      <c r="D1900" s="24" t="s">
        <v>53</v>
      </c>
      <c r="E1900" s="24" t="s">
        <v>9</v>
      </c>
      <c r="F1900" s="24">
        <v>10136</v>
      </c>
      <c r="G1900" s="25">
        <v>42885</v>
      </c>
      <c r="H1900" s="25">
        <v>43615</v>
      </c>
      <c r="I1900" s="24" t="s">
        <v>16</v>
      </c>
      <c r="J1900" s="24" t="s">
        <v>25</v>
      </c>
      <c r="K1900" s="24" t="str">
        <f>IF(certifications[[#This Row],[ISSUE DATE]]="", "", TEXT(certifications[[#This Row],[ISSUE DATE]], "MMM"))</f>
        <v>May</v>
      </c>
      <c r="L1900" s="35" t="str">
        <f>IF(certifications[[#This Row],[ISSUE DATE]]="", "", TEXT(certifications[[#This Row],[ISSUE DATE]], "YYYY"))</f>
        <v>2017</v>
      </c>
    </row>
    <row r="1901" spans="1:12" s="29" customFormat="1" ht="23.95" customHeight="1" x14ac:dyDescent="0.3">
      <c r="A1901" s="31"/>
      <c r="B1901" s="24">
        <v>1888</v>
      </c>
      <c r="C1901" s="24" t="s">
        <v>1924</v>
      </c>
      <c r="D1901" s="24" t="s">
        <v>1925</v>
      </c>
      <c r="E1901" s="24" t="s">
        <v>9</v>
      </c>
      <c r="F1901" s="24">
        <v>10866</v>
      </c>
      <c r="G1901" s="25">
        <v>43630</v>
      </c>
      <c r="H1901" s="25">
        <v>46102</v>
      </c>
      <c r="I1901" s="24" t="s">
        <v>10</v>
      </c>
      <c r="J1901" s="24" t="s">
        <v>11</v>
      </c>
      <c r="K1901" s="24" t="str">
        <f>IF(certifications[[#This Row],[ISSUE DATE]]="", "", TEXT(certifications[[#This Row],[ISSUE DATE]], "MMM"))</f>
        <v>Jun</v>
      </c>
      <c r="L1901" s="35" t="str">
        <f>IF(certifications[[#This Row],[ISSUE DATE]]="", "", TEXT(certifications[[#This Row],[ISSUE DATE]], "YYYY"))</f>
        <v>2019</v>
      </c>
    </row>
    <row r="1902" spans="1:12" s="29" customFormat="1" ht="23.95" customHeight="1" x14ac:dyDescent="0.3">
      <c r="A1902" s="31"/>
      <c r="B1902" s="24">
        <v>1889</v>
      </c>
      <c r="C1902" s="24" t="s">
        <v>1926</v>
      </c>
      <c r="D1902" s="24" t="s">
        <v>53</v>
      </c>
      <c r="E1902" s="24" t="s">
        <v>9</v>
      </c>
      <c r="F1902" s="24">
        <v>20017</v>
      </c>
      <c r="G1902" s="25">
        <v>45366</v>
      </c>
      <c r="H1902" s="25">
        <v>46096</v>
      </c>
      <c r="I1902" s="24" t="s">
        <v>10</v>
      </c>
      <c r="J1902" s="24" t="s">
        <v>25</v>
      </c>
      <c r="K1902" s="24" t="str">
        <f>IF(certifications[[#This Row],[ISSUE DATE]]="", "", TEXT(certifications[[#This Row],[ISSUE DATE]], "MMM"))</f>
        <v>Mar</v>
      </c>
      <c r="L1902" s="35" t="str">
        <f>IF(certifications[[#This Row],[ISSUE DATE]]="", "", TEXT(certifications[[#This Row],[ISSUE DATE]], "YYYY"))</f>
        <v>2024</v>
      </c>
    </row>
    <row r="1903" spans="1:12" s="29" customFormat="1" ht="23.95" customHeight="1" x14ac:dyDescent="0.3">
      <c r="A1903" s="31"/>
      <c r="B1903" s="24">
        <v>1890</v>
      </c>
      <c r="C1903" s="24" t="s">
        <v>1927</v>
      </c>
      <c r="D1903" s="24" t="s">
        <v>18</v>
      </c>
      <c r="E1903" s="24" t="s">
        <v>9</v>
      </c>
      <c r="F1903" s="24">
        <v>8356</v>
      </c>
      <c r="G1903" s="25">
        <v>41354</v>
      </c>
      <c r="H1903" s="25">
        <v>42084</v>
      </c>
      <c r="I1903" s="24" t="s">
        <v>16</v>
      </c>
      <c r="J1903" s="24" t="s">
        <v>19</v>
      </c>
      <c r="K1903" s="24" t="str">
        <f>IF(certifications[[#This Row],[ISSUE DATE]]="", "", TEXT(certifications[[#This Row],[ISSUE DATE]], "MMM"))</f>
        <v>Mar</v>
      </c>
      <c r="L1903" s="35" t="str">
        <f>IF(certifications[[#This Row],[ISSUE DATE]]="", "", TEXT(certifications[[#This Row],[ISSUE DATE]], "YYYY"))</f>
        <v>2013</v>
      </c>
    </row>
    <row r="1904" spans="1:12" s="29" customFormat="1" ht="23.95" customHeight="1" x14ac:dyDescent="0.3">
      <c r="A1904" s="31"/>
      <c r="B1904" s="24">
        <v>1891</v>
      </c>
      <c r="C1904" s="24" t="s">
        <v>1928</v>
      </c>
      <c r="D1904" s="24" t="s">
        <v>53</v>
      </c>
      <c r="E1904" s="24" t="s">
        <v>9</v>
      </c>
      <c r="F1904" s="24">
        <v>21779</v>
      </c>
      <c r="G1904" s="25">
        <v>45743</v>
      </c>
      <c r="H1904" s="25">
        <v>46473</v>
      </c>
      <c r="I1904" s="24" t="s">
        <v>10</v>
      </c>
      <c r="J1904" s="24" t="s">
        <v>25</v>
      </c>
      <c r="K1904" s="24" t="str">
        <f>IF(certifications[[#This Row],[ISSUE DATE]]="", "", TEXT(certifications[[#This Row],[ISSUE DATE]], "MMM"))</f>
        <v>Mar</v>
      </c>
      <c r="L1904" s="35" t="str">
        <f>IF(certifications[[#This Row],[ISSUE DATE]]="", "", TEXT(certifications[[#This Row],[ISSUE DATE]], "YYYY"))</f>
        <v>2025</v>
      </c>
    </row>
    <row r="1905" spans="1:12" s="29" customFormat="1" ht="23.95" customHeight="1" x14ac:dyDescent="0.3">
      <c r="A1905" s="31"/>
      <c r="B1905" s="24">
        <v>1892</v>
      </c>
      <c r="C1905" s="24" t="s">
        <v>1929</v>
      </c>
      <c r="D1905" s="24" t="s">
        <v>298</v>
      </c>
      <c r="E1905" s="24" t="s">
        <v>9</v>
      </c>
      <c r="F1905" s="24">
        <v>10255</v>
      </c>
      <c r="G1905" s="25">
        <v>42908</v>
      </c>
      <c r="H1905" s="25">
        <v>44369</v>
      </c>
      <c r="I1905" s="24" t="s">
        <v>16</v>
      </c>
      <c r="J1905" s="24" t="s">
        <v>30</v>
      </c>
      <c r="K1905" s="24" t="str">
        <f>IF(certifications[[#This Row],[ISSUE DATE]]="", "", TEXT(certifications[[#This Row],[ISSUE DATE]], "MMM"))</f>
        <v>Jun</v>
      </c>
      <c r="L1905" s="35" t="str">
        <f>IF(certifications[[#This Row],[ISSUE DATE]]="", "", TEXT(certifications[[#This Row],[ISSUE DATE]], "YYYY"))</f>
        <v>2017</v>
      </c>
    </row>
    <row r="1906" spans="1:12" s="29" customFormat="1" ht="23.95" customHeight="1" x14ac:dyDescent="0.3">
      <c r="A1906" s="31"/>
      <c r="B1906" s="24">
        <v>1893</v>
      </c>
      <c r="C1906" s="24" t="s">
        <v>1930</v>
      </c>
      <c r="D1906" s="24" t="s">
        <v>48</v>
      </c>
      <c r="E1906" s="24" t="s">
        <v>9</v>
      </c>
      <c r="F1906" s="24">
        <v>17883</v>
      </c>
      <c r="G1906" s="25">
        <v>44836</v>
      </c>
      <c r="H1906" s="25">
        <v>46297</v>
      </c>
      <c r="I1906" s="24" t="s">
        <v>10</v>
      </c>
      <c r="J1906" s="24" t="s">
        <v>38</v>
      </c>
      <c r="K1906" s="24" t="str">
        <f>IF(certifications[[#This Row],[ISSUE DATE]]="", "", TEXT(certifications[[#This Row],[ISSUE DATE]], "MMM"))</f>
        <v>Oct</v>
      </c>
      <c r="L1906" s="35" t="str">
        <f>IF(certifications[[#This Row],[ISSUE DATE]]="", "", TEXT(certifications[[#This Row],[ISSUE DATE]], "YYYY"))</f>
        <v>2022</v>
      </c>
    </row>
    <row r="1907" spans="1:12" s="29" customFormat="1" ht="23.95" customHeight="1" x14ac:dyDescent="0.3">
      <c r="A1907" s="31"/>
      <c r="B1907" s="24">
        <v>1894</v>
      </c>
      <c r="C1907" s="24" t="s">
        <v>1931</v>
      </c>
      <c r="D1907" s="24" t="s">
        <v>57</v>
      </c>
      <c r="E1907" s="24" t="s">
        <v>9</v>
      </c>
      <c r="F1907" s="24">
        <v>19960</v>
      </c>
      <c r="G1907" s="25">
        <v>45353</v>
      </c>
      <c r="H1907" s="25">
        <v>46083</v>
      </c>
      <c r="I1907" s="24" t="s">
        <v>10</v>
      </c>
      <c r="J1907" s="24" t="s">
        <v>38</v>
      </c>
      <c r="K1907" s="24" t="str">
        <f>IF(certifications[[#This Row],[ISSUE DATE]]="", "", TEXT(certifications[[#This Row],[ISSUE DATE]], "MMM"))</f>
        <v>Mar</v>
      </c>
      <c r="L1907" s="35" t="str">
        <f>IF(certifications[[#This Row],[ISSUE DATE]]="", "", TEXT(certifications[[#This Row],[ISSUE DATE]], "YYYY"))</f>
        <v>2024</v>
      </c>
    </row>
    <row r="1908" spans="1:12" s="29" customFormat="1" ht="23.95" customHeight="1" x14ac:dyDescent="0.3">
      <c r="A1908" s="31"/>
      <c r="B1908" s="24">
        <v>1895</v>
      </c>
      <c r="C1908" s="24" t="s">
        <v>1932</v>
      </c>
      <c r="D1908" s="24" t="s">
        <v>13</v>
      </c>
      <c r="E1908" s="24" t="s">
        <v>9</v>
      </c>
      <c r="F1908" s="24">
        <v>8929</v>
      </c>
      <c r="G1908" s="25">
        <v>41816</v>
      </c>
      <c r="H1908" s="25">
        <v>42547</v>
      </c>
      <c r="I1908" s="24" t="s">
        <v>16</v>
      </c>
      <c r="J1908" s="24" t="s">
        <v>14</v>
      </c>
      <c r="K1908" s="24" t="str">
        <f>IF(certifications[[#This Row],[ISSUE DATE]]="", "", TEXT(certifications[[#This Row],[ISSUE DATE]], "MMM"))</f>
        <v>Jun</v>
      </c>
      <c r="L1908" s="35" t="str">
        <f>IF(certifications[[#This Row],[ISSUE DATE]]="", "", TEXT(certifications[[#This Row],[ISSUE DATE]], "YYYY"))</f>
        <v>2014</v>
      </c>
    </row>
    <row r="1909" spans="1:12" s="29" customFormat="1" ht="23.95" customHeight="1" x14ac:dyDescent="0.3">
      <c r="A1909" s="31"/>
      <c r="B1909" s="24">
        <v>1896</v>
      </c>
      <c r="C1909" s="24" t="s">
        <v>1933</v>
      </c>
      <c r="D1909" s="24" t="s">
        <v>269</v>
      </c>
      <c r="E1909" s="24" t="s">
        <v>9</v>
      </c>
      <c r="F1909" s="24">
        <v>19017</v>
      </c>
      <c r="G1909" s="25">
        <v>45153</v>
      </c>
      <c r="H1909" s="25">
        <v>45884</v>
      </c>
      <c r="I1909" s="24" t="s">
        <v>10</v>
      </c>
      <c r="J1909" s="24" t="s">
        <v>25</v>
      </c>
      <c r="K1909" s="24" t="str">
        <f>IF(certifications[[#This Row],[ISSUE DATE]]="", "", TEXT(certifications[[#This Row],[ISSUE DATE]], "MMM"))</f>
        <v>Aug</v>
      </c>
      <c r="L1909" s="35" t="str">
        <f>IF(certifications[[#This Row],[ISSUE DATE]]="", "", TEXT(certifications[[#This Row],[ISSUE DATE]], "YYYY"))</f>
        <v>2023</v>
      </c>
    </row>
    <row r="1910" spans="1:12" s="29" customFormat="1" ht="23.95" customHeight="1" x14ac:dyDescent="0.3">
      <c r="A1910" s="31"/>
      <c r="B1910" s="24">
        <v>1897</v>
      </c>
      <c r="C1910" s="24" t="s">
        <v>1934</v>
      </c>
      <c r="D1910" s="24" t="s">
        <v>32</v>
      </c>
      <c r="E1910" s="24" t="s">
        <v>9</v>
      </c>
      <c r="F1910" s="24">
        <v>14755</v>
      </c>
      <c r="G1910" s="25">
        <v>43770</v>
      </c>
      <c r="H1910" s="25">
        <v>44501</v>
      </c>
      <c r="I1910" s="24" t="s">
        <v>16</v>
      </c>
      <c r="J1910" s="24" t="s">
        <v>33</v>
      </c>
      <c r="K1910" s="24" t="str">
        <f>IF(certifications[[#This Row],[ISSUE DATE]]="", "", TEXT(certifications[[#This Row],[ISSUE DATE]], "MMM"))</f>
        <v>Nov</v>
      </c>
      <c r="L1910" s="35" t="str">
        <f>IF(certifications[[#This Row],[ISSUE DATE]]="", "", TEXT(certifications[[#This Row],[ISSUE DATE]], "YYYY"))</f>
        <v>2019</v>
      </c>
    </row>
    <row r="1911" spans="1:12" s="29" customFormat="1" ht="23.95" customHeight="1" x14ac:dyDescent="0.3">
      <c r="A1911" s="31"/>
      <c r="B1911" s="24">
        <v>1898</v>
      </c>
      <c r="C1911" s="24" t="s">
        <v>1935</v>
      </c>
      <c r="D1911" s="24" t="s">
        <v>1936</v>
      </c>
      <c r="E1911" s="24" t="s">
        <v>9</v>
      </c>
      <c r="F1911" s="24">
        <v>18279</v>
      </c>
      <c r="G1911" s="25">
        <v>44961</v>
      </c>
      <c r="H1911" s="25">
        <v>45692</v>
      </c>
      <c r="I1911" s="24" t="s">
        <v>82</v>
      </c>
      <c r="J1911" s="24" t="s">
        <v>38</v>
      </c>
      <c r="K1911" s="24" t="str">
        <f>IF(certifications[[#This Row],[ISSUE DATE]]="", "", TEXT(certifications[[#This Row],[ISSUE DATE]], "MMM"))</f>
        <v>Feb</v>
      </c>
      <c r="L1911" s="35" t="str">
        <f>IF(certifications[[#This Row],[ISSUE DATE]]="", "", TEXT(certifications[[#This Row],[ISSUE DATE]], "YYYY"))</f>
        <v>2023</v>
      </c>
    </row>
    <row r="1912" spans="1:12" s="29" customFormat="1" ht="23.95" customHeight="1" x14ac:dyDescent="0.3">
      <c r="A1912" s="31"/>
      <c r="B1912" s="24">
        <v>1899</v>
      </c>
      <c r="C1912" s="24" t="s">
        <v>1937</v>
      </c>
      <c r="D1912" s="24" t="s">
        <v>118</v>
      </c>
      <c r="E1912" s="24" t="s">
        <v>9</v>
      </c>
      <c r="F1912" s="24">
        <v>9195</v>
      </c>
      <c r="G1912" s="25">
        <v>42144</v>
      </c>
      <c r="H1912" s="25">
        <v>43605</v>
      </c>
      <c r="I1912" s="24" t="s">
        <v>16</v>
      </c>
      <c r="J1912" s="24" t="s">
        <v>19</v>
      </c>
      <c r="K1912" s="24" t="str">
        <f>IF(certifications[[#This Row],[ISSUE DATE]]="", "", TEXT(certifications[[#This Row],[ISSUE DATE]], "MMM"))</f>
        <v>May</v>
      </c>
      <c r="L1912" s="35" t="str">
        <f>IF(certifications[[#This Row],[ISSUE DATE]]="", "", TEXT(certifications[[#This Row],[ISSUE DATE]], "YYYY"))</f>
        <v>2015</v>
      </c>
    </row>
    <row r="1913" spans="1:12" s="29" customFormat="1" ht="23.95" customHeight="1" x14ac:dyDescent="0.3">
      <c r="A1913" s="31"/>
      <c r="B1913" s="24">
        <v>1900</v>
      </c>
      <c r="C1913" s="24" t="s">
        <v>1938</v>
      </c>
      <c r="D1913" s="24" t="s">
        <v>1121</v>
      </c>
      <c r="E1913" s="24" t="s">
        <v>26</v>
      </c>
      <c r="F1913" s="24">
        <v>16059</v>
      </c>
      <c r="G1913" s="25">
        <v>45253</v>
      </c>
      <c r="H1913" s="25">
        <v>45984</v>
      </c>
      <c r="I1913" s="24" t="s">
        <v>10</v>
      </c>
      <c r="J1913" s="24" t="s">
        <v>11</v>
      </c>
      <c r="K1913" s="24" t="str">
        <f>IF(certifications[[#This Row],[ISSUE DATE]]="", "", TEXT(certifications[[#This Row],[ISSUE DATE]], "MMM"))</f>
        <v>Nov</v>
      </c>
      <c r="L1913" s="35" t="str">
        <f>IF(certifications[[#This Row],[ISSUE DATE]]="", "", TEXT(certifications[[#This Row],[ISSUE DATE]], "YYYY"))</f>
        <v>2023</v>
      </c>
    </row>
    <row r="1914" spans="1:12" s="29" customFormat="1" ht="23.95" customHeight="1" x14ac:dyDescent="0.3">
      <c r="A1914" s="31"/>
      <c r="B1914" s="24">
        <v>1901</v>
      </c>
      <c r="C1914" s="24" t="s">
        <v>1939</v>
      </c>
      <c r="D1914" s="24" t="s">
        <v>32</v>
      </c>
      <c r="E1914" s="24" t="s">
        <v>9</v>
      </c>
      <c r="F1914" s="24">
        <v>14008</v>
      </c>
      <c r="G1914" s="25">
        <v>43670</v>
      </c>
      <c r="H1914" s="25">
        <v>44401</v>
      </c>
      <c r="I1914" s="24" t="s">
        <v>16</v>
      </c>
      <c r="J1914" s="24" t="s">
        <v>33</v>
      </c>
      <c r="K1914" s="24" t="str">
        <f>IF(certifications[[#This Row],[ISSUE DATE]]="", "", TEXT(certifications[[#This Row],[ISSUE DATE]], "MMM"))</f>
        <v>Jul</v>
      </c>
      <c r="L1914" s="35" t="str">
        <f>IF(certifications[[#This Row],[ISSUE DATE]]="", "", TEXT(certifications[[#This Row],[ISSUE DATE]], "YYYY"))</f>
        <v>2019</v>
      </c>
    </row>
    <row r="1915" spans="1:12" s="29" customFormat="1" ht="23.95" customHeight="1" x14ac:dyDescent="0.3">
      <c r="A1915" s="31"/>
      <c r="B1915" s="24">
        <v>1902</v>
      </c>
      <c r="C1915" s="24" t="s">
        <v>1940</v>
      </c>
      <c r="D1915" s="24" t="s">
        <v>32</v>
      </c>
      <c r="E1915" s="24" t="s">
        <v>9</v>
      </c>
      <c r="F1915" s="24">
        <v>11340</v>
      </c>
      <c r="G1915" s="25">
        <v>43227</v>
      </c>
      <c r="H1915" s="25">
        <v>46149</v>
      </c>
      <c r="I1915" s="24" t="s">
        <v>10</v>
      </c>
      <c r="J1915" s="24" t="s">
        <v>33</v>
      </c>
      <c r="K1915" s="24" t="str">
        <f>IF(certifications[[#This Row],[ISSUE DATE]]="", "", TEXT(certifications[[#This Row],[ISSUE DATE]], "MMM"))</f>
        <v>May</v>
      </c>
      <c r="L1915" s="35" t="str">
        <f>IF(certifications[[#This Row],[ISSUE DATE]]="", "", TEXT(certifications[[#This Row],[ISSUE DATE]], "YYYY"))</f>
        <v>2018</v>
      </c>
    </row>
    <row r="1916" spans="1:12" s="29" customFormat="1" ht="23.95" customHeight="1" x14ac:dyDescent="0.3">
      <c r="A1916" s="31"/>
      <c r="B1916" s="24">
        <v>1903</v>
      </c>
      <c r="C1916" s="24" t="s">
        <v>1941</v>
      </c>
      <c r="D1916" s="24" t="s">
        <v>61</v>
      </c>
      <c r="E1916" s="24" t="s">
        <v>9</v>
      </c>
      <c r="F1916" s="24">
        <v>12731</v>
      </c>
      <c r="G1916" s="25">
        <v>43479</v>
      </c>
      <c r="H1916" s="25">
        <v>44210</v>
      </c>
      <c r="I1916" s="24" t="s">
        <v>16</v>
      </c>
      <c r="J1916" s="24" t="s">
        <v>19</v>
      </c>
      <c r="K1916" s="24" t="str">
        <f>IF(certifications[[#This Row],[ISSUE DATE]]="", "", TEXT(certifications[[#This Row],[ISSUE DATE]], "MMM"))</f>
        <v>Jan</v>
      </c>
      <c r="L1916" s="35" t="str">
        <f>IF(certifications[[#This Row],[ISSUE DATE]]="", "", TEXT(certifications[[#This Row],[ISSUE DATE]], "YYYY"))</f>
        <v>2019</v>
      </c>
    </row>
    <row r="1917" spans="1:12" s="29" customFormat="1" ht="23.95" customHeight="1" x14ac:dyDescent="0.3">
      <c r="A1917" s="31"/>
      <c r="B1917" s="24">
        <v>1904</v>
      </c>
      <c r="C1917" s="24" t="s">
        <v>1942</v>
      </c>
      <c r="D1917" s="24" t="s">
        <v>29</v>
      </c>
      <c r="E1917" s="24" t="s">
        <v>9</v>
      </c>
      <c r="F1917" s="24">
        <v>20178</v>
      </c>
      <c r="G1917" s="25">
        <v>45406</v>
      </c>
      <c r="H1917" s="25">
        <v>46136</v>
      </c>
      <c r="I1917" s="24" t="s">
        <v>10</v>
      </c>
      <c r="J1917" s="24" t="s">
        <v>30</v>
      </c>
      <c r="K1917" s="24" t="str">
        <f>IF(certifications[[#This Row],[ISSUE DATE]]="", "", TEXT(certifications[[#This Row],[ISSUE DATE]], "MMM"))</f>
        <v>Apr</v>
      </c>
      <c r="L1917" s="35" t="str">
        <f>IF(certifications[[#This Row],[ISSUE DATE]]="", "", TEXT(certifications[[#This Row],[ISSUE DATE]], "YYYY"))</f>
        <v>2024</v>
      </c>
    </row>
    <row r="1918" spans="1:12" s="29" customFormat="1" ht="23.95" customHeight="1" x14ac:dyDescent="0.3">
      <c r="A1918" s="31"/>
      <c r="B1918" s="24">
        <v>1905</v>
      </c>
      <c r="C1918" s="24" t="s">
        <v>1943</v>
      </c>
      <c r="D1918" s="24" t="s">
        <v>32</v>
      </c>
      <c r="E1918" s="24" t="s">
        <v>9</v>
      </c>
      <c r="F1918" s="24">
        <v>8562</v>
      </c>
      <c r="G1918" s="25">
        <v>41485</v>
      </c>
      <c r="H1918" s="25">
        <v>43676</v>
      </c>
      <c r="I1918" s="24" t="s">
        <v>16</v>
      </c>
      <c r="J1918" s="24" t="s">
        <v>33</v>
      </c>
      <c r="K1918" s="24" t="str">
        <f>IF(certifications[[#This Row],[ISSUE DATE]]="", "", TEXT(certifications[[#This Row],[ISSUE DATE]], "MMM"))</f>
        <v>Jul</v>
      </c>
      <c r="L1918" s="35" t="str">
        <f>IF(certifications[[#This Row],[ISSUE DATE]]="", "", TEXT(certifications[[#This Row],[ISSUE DATE]], "YYYY"))</f>
        <v>2013</v>
      </c>
    </row>
    <row r="1919" spans="1:12" s="29" customFormat="1" ht="23.95" customHeight="1" x14ac:dyDescent="0.3">
      <c r="A1919" s="31"/>
      <c r="B1919" s="24">
        <v>1906</v>
      </c>
      <c r="C1919" s="24" t="s">
        <v>1944</v>
      </c>
      <c r="D1919" s="24" t="s">
        <v>32</v>
      </c>
      <c r="E1919" s="24" t="s">
        <v>9</v>
      </c>
      <c r="F1919" s="24">
        <v>11713</v>
      </c>
      <c r="G1919" s="25">
        <v>43272</v>
      </c>
      <c r="H1919" s="25">
        <v>45464</v>
      </c>
      <c r="I1919" s="24" t="s">
        <v>82</v>
      </c>
      <c r="J1919" s="24" t="s">
        <v>33</v>
      </c>
      <c r="K1919" s="24" t="str">
        <f>IF(certifications[[#This Row],[ISSUE DATE]]="", "", TEXT(certifications[[#This Row],[ISSUE DATE]], "MMM"))</f>
        <v>Jun</v>
      </c>
      <c r="L1919" s="35" t="str">
        <f>IF(certifications[[#This Row],[ISSUE DATE]]="", "", TEXT(certifications[[#This Row],[ISSUE DATE]], "YYYY"))</f>
        <v>2018</v>
      </c>
    </row>
    <row r="1920" spans="1:12" s="29" customFormat="1" ht="23.95" customHeight="1" x14ac:dyDescent="0.3">
      <c r="A1920" s="31"/>
      <c r="B1920" s="24">
        <v>1907</v>
      </c>
      <c r="C1920" s="24" t="s">
        <v>1945</v>
      </c>
      <c r="D1920" s="24" t="s">
        <v>377</v>
      </c>
      <c r="E1920" s="24" t="s">
        <v>9</v>
      </c>
      <c r="F1920" s="24">
        <v>8862</v>
      </c>
      <c r="G1920" s="25">
        <v>41774</v>
      </c>
      <c r="H1920" s="25">
        <v>43966</v>
      </c>
      <c r="I1920" s="24" t="s">
        <v>16</v>
      </c>
      <c r="J1920" s="24" t="s">
        <v>14</v>
      </c>
      <c r="K1920" s="24" t="str">
        <f>IF(certifications[[#This Row],[ISSUE DATE]]="", "", TEXT(certifications[[#This Row],[ISSUE DATE]], "MMM"))</f>
        <v>May</v>
      </c>
      <c r="L1920" s="35" t="str">
        <f>IF(certifications[[#This Row],[ISSUE DATE]]="", "", TEXT(certifications[[#This Row],[ISSUE DATE]], "YYYY"))</f>
        <v>2014</v>
      </c>
    </row>
    <row r="1921" spans="1:12" s="29" customFormat="1" ht="23.95" customHeight="1" x14ac:dyDescent="0.3">
      <c r="A1921" s="31"/>
      <c r="B1921" s="24">
        <v>1908</v>
      </c>
      <c r="C1921" s="24" t="s">
        <v>1946</v>
      </c>
      <c r="D1921" s="24" t="s">
        <v>29</v>
      </c>
      <c r="E1921" s="24" t="s">
        <v>9</v>
      </c>
      <c r="F1921" s="24">
        <v>7495</v>
      </c>
      <c r="G1921" s="25">
        <v>40249</v>
      </c>
      <c r="H1921" s="25">
        <v>40980</v>
      </c>
      <c r="I1921" s="24" t="s">
        <v>16</v>
      </c>
      <c r="J1921" s="24" t="s">
        <v>30</v>
      </c>
      <c r="K1921" s="24" t="str">
        <f>IF(certifications[[#This Row],[ISSUE DATE]]="", "", TEXT(certifications[[#This Row],[ISSUE DATE]], "MMM"))</f>
        <v>Mar</v>
      </c>
      <c r="L1921" s="35" t="str">
        <f>IF(certifications[[#This Row],[ISSUE DATE]]="", "", TEXT(certifications[[#This Row],[ISSUE DATE]], "YYYY"))</f>
        <v>2010</v>
      </c>
    </row>
    <row r="1922" spans="1:12" s="29" customFormat="1" ht="23.95" customHeight="1" x14ac:dyDescent="0.3">
      <c r="A1922" s="31"/>
      <c r="B1922" s="24">
        <v>1909</v>
      </c>
      <c r="C1922" s="24" t="s">
        <v>1947</v>
      </c>
      <c r="D1922" s="24" t="s">
        <v>32</v>
      </c>
      <c r="E1922" s="24" t="s">
        <v>9</v>
      </c>
      <c r="F1922" s="24">
        <v>8781</v>
      </c>
      <c r="G1922" s="25">
        <v>41710</v>
      </c>
      <c r="H1922" s="25">
        <v>42441</v>
      </c>
      <c r="I1922" s="24" t="s">
        <v>16</v>
      </c>
      <c r="J1922" s="24" t="s">
        <v>33</v>
      </c>
      <c r="K1922" s="24" t="str">
        <f>IF(certifications[[#This Row],[ISSUE DATE]]="", "", TEXT(certifications[[#This Row],[ISSUE DATE]], "MMM"))</f>
        <v>Mar</v>
      </c>
      <c r="L1922" s="35" t="str">
        <f>IF(certifications[[#This Row],[ISSUE DATE]]="", "", TEXT(certifications[[#This Row],[ISSUE DATE]], "YYYY"))</f>
        <v>2014</v>
      </c>
    </row>
    <row r="1923" spans="1:12" s="29" customFormat="1" ht="23.95" customHeight="1" x14ac:dyDescent="0.3">
      <c r="A1923" s="31"/>
      <c r="B1923" s="24">
        <v>1910</v>
      </c>
      <c r="C1923" s="24" t="s">
        <v>1948</v>
      </c>
      <c r="D1923" s="24" t="s">
        <v>986</v>
      </c>
      <c r="E1923" s="24" t="s">
        <v>9</v>
      </c>
      <c r="F1923" s="24">
        <v>21479</v>
      </c>
      <c r="G1923" s="25">
        <v>45695</v>
      </c>
      <c r="H1923" s="25">
        <v>46425</v>
      </c>
      <c r="I1923" s="24" t="s">
        <v>10</v>
      </c>
      <c r="J1923" s="24" t="s">
        <v>25</v>
      </c>
      <c r="K1923" s="24" t="str">
        <f>IF(certifications[[#This Row],[ISSUE DATE]]="", "", TEXT(certifications[[#This Row],[ISSUE DATE]], "MMM"))</f>
        <v>Feb</v>
      </c>
      <c r="L1923" s="35" t="str">
        <f>IF(certifications[[#This Row],[ISSUE DATE]]="", "", TEXT(certifications[[#This Row],[ISSUE DATE]], "YYYY"))</f>
        <v>2025</v>
      </c>
    </row>
    <row r="1924" spans="1:12" s="29" customFormat="1" ht="23.95" customHeight="1" x14ac:dyDescent="0.3">
      <c r="A1924" s="31"/>
      <c r="B1924" s="24">
        <v>1911</v>
      </c>
      <c r="C1924" s="24" t="s">
        <v>1949</v>
      </c>
      <c r="D1924" s="24" t="s">
        <v>32</v>
      </c>
      <c r="E1924" s="24" t="s">
        <v>9</v>
      </c>
      <c r="F1924" s="24">
        <v>16223</v>
      </c>
      <c r="G1924" s="25">
        <v>44323</v>
      </c>
      <c r="H1924" s="25">
        <v>45053</v>
      </c>
      <c r="I1924" s="24" t="s">
        <v>16</v>
      </c>
      <c r="J1924" s="24" t="s">
        <v>33</v>
      </c>
      <c r="K1924" s="24" t="str">
        <f>IF(certifications[[#This Row],[ISSUE DATE]]="", "", TEXT(certifications[[#This Row],[ISSUE DATE]], "MMM"))</f>
        <v>May</v>
      </c>
      <c r="L1924" s="35" t="str">
        <f>IF(certifications[[#This Row],[ISSUE DATE]]="", "", TEXT(certifications[[#This Row],[ISSUE DATE]], "YYYY"))</f>
        <v>2021</v>
      </c>
    </row>
    <row r="1925" spans="1:12" s="29" customFormat="1" ht="23.95" customHeight="1" x14ac:dyDescent="0.3">
      <c r="A1925" s="31"/>
      <c r="B1925" s="24">
        <v>1912</v>
      </c>
      <c r="C1925" s="24" t="s">
        <v>1950</v>
      </c>
      <c r="D1925" s="24" t="s">
        <v>32</v>
      </c>
      <c r="E1925" s="24" t="s">
        <v>9</v>
      </c>
      <c r="F1925" s="24">
        <v>11355</v>
      </c>
      <c r="G1925" s="25">
        <v>43227</v>
      </c>
      <c r="H1925" s="25">
        <v>43958</v>
      </c>
      <c r="I1925" s="24" t="s">
        <v>16</v>
      </c>
      <c r="J1925" s="24" t="s">
        <v>33</v>
      </c>
      <c r="K1925" s="24" t="str">
        <f>IF(certifications[[#This Row],[ISSUE DATE]]="", "", TEXT(certifications[[#This Row],[ISSUE DATE]], "MMM"))</f>
        <v>May</v>
      </c>
      <c r="L1925" s="35" t="str">
        <f>IF(certifications[[#This Row],[ISSUE DATE]]="", "", TEXT(certifications[[#This Row],[ISSUE DATE]], "YYYY"))</f>
        <v>2018</v>
      </c>
    </row>
    <row r="1926" spans="1:12" s="29" customFormat="1" ht="23.95" customHeight="1" x14ac:dyDescent="0.3">
      <c r="A1926" s="31"/>
      <c r="B1926" s="24">
        <v>1913</v>
      </c>
      <c r="C1926" s="24" t="s">
        <v>1951</v>
      </c>
      <c r="D1926" s="24" t="s">
        <v>32</v>
      </c>
      <c r="E1926" s="24" t="s">
        <v>9</v>
      </c>
      <c r="F1926" s="24">
        <v>8515</v>
      </c>
      <c r="G1926" s="25">
        <v>41464</v>
      </c>
      <c r="H1926" s="25">
        <v>42194</v>
      </c>
      <c r="I1926" s="24" t="s">
        <v>16</v>
      </c>
      <c r="J1926" s="24" t="s">
        <v>33</v>
      </c>
      <c r="K1926" s="24" t="str">
        <f>IF(certifications[[#This Row],[ISSUE DATE]]="", "", TEXT(certifications[[#This Row],[ISSUE DATE]], "MMM"))</f>
        <v>Jul</v>
      </c>
      <c r="L1926" s="35" t="str">
        <f>IF(certifications[[#This Row],[ISSUE DATE]]="", "", TEXT(certifications[[#This Row],[ISSUE DATE]], "YYYY"))</f>
        <v>2013</v>
      </c>
    </row>
    <row r="1927" spans="1:12" s="29" customFormat="1" ht="23.95" customHeight="1" x14ac:dyDescent="0.3">
      <c r="A1927" s="31"/>
      <c r="B1927" s="24">
        <v>1914</v>
      </c>
      <c r="C1927" s="24" t="s">
        <v>1952</v>
      </c>
      <c r="D1927" s="24" t="s">
        <v>32</v>
      </c>
      <c r="E1927" s="24" t="s">
        <v>9</v>
      </c>
      <c r="F1927" s="24">
        <v>12035</v>
      </c>
      <c r="G1927" s="25">
        <v>45519</v>
      </c>
      <c r="H1927" s="25">
        <v>46249</v>
      </c>
      <c r="I1927" s="24" t="s">
        <v>10</v>
      </c>
      <c r="J1927" s="24" t="s">
        <v>33</v>
      </c>
      <c r="K1927" s="24" t="str">
        <f>IF(certifications[[#This Row],[ISSUE DATE]]="", "", TEXT(certifications[[#This Row],[ISSUE DATE]], "MMM"))</f>
        <v>Aug</v>
      </c>
      <c r="L1927" s="35" t="str">
        <f>IF(certifications[[#This Row],[ISSUE DATE]]="", "", TEXT(certifications[[#This Row],[ISSUE DATE]], "YYYY"))</f>
        <v>2024</v>
      </c>
    </row>
    <row r="1928" spans="1:12" s="29" customFormat="1" ht="23.95" customHeight="1" x14ac:dyDescent="0.3">
      <c r="A1928" s="31"/>
      <c r="B1928" s="24">
        <v>1915</v>
      </c>
      <c r="C1928" s="24" t="s">
        <v>1953</v>
      </c>
      <c r="D1928" s="24" t="s">
        <v>32</v>
      </c>
      <c r="E1928" s="24" t="s">
        <v>9</v>
      </c>
      <c r="F1928" s="24">
        <v>10924</v>
      </c>
      <c r="G1928" s="25">
        <v>43187</v>
      </c>
      <c r="H1928" s="25">
        <v>46109</v>
      </c>
      <c r="I1928" s="24" t="s">
        <v>10</v>
      </c>
      <c r="J1928" s="24" t="s">
        <v>33</v>
      </c>
      <c r="K1928" s="24" t="str">
        <f>IF(certifications[[#This Row],[ISSUE DATE]]="", "", TEXT(certifications[[#This Row],[ISSUE DATE]], "MMM"))</f>
        <v>Mar</v>
      </c>
      <c r="L1928" s="35" t="str">
        <f>IF(certifications[[#This Row],[ISSUE DATE]]="", "", TEXT(certifications[[#This Row],[ISSUE DATE]], "YYYY"))</f>
        <v>2018</v>
      </c>
    </row>
    <row r="1929" spans="1:12" s="29" customFormat="1" ht="23.95" customHeight="1" x14ac:dyDescent="0.3">
      <c r="A1929" s="31"/>
      <c r="B1929" s="24">
        <v>1916</v>
      </c>
      <c r="C1929" s="24" t="s">
        <v>1954</v>
      </c>
      <c r="D1929" s="24" t="s">
        <v>126</v>
      </c>
      <c r="E1929" s="24" t="s">
        <v>26</v>
      </c>
      <c r="F1929" s="24">
        <v>13666</v>
      </c>
      <c r="G1929" s="25">
        <v>43637</v>
      </c>
      <c r="H1929" s="25">
        <v>44368</v>
      </c>
      <c r="I1929" s="24" t="s">
        <v>16</v>
      </c>
      <c r="J1929" s="24" t="s">
        <v>38</v>
      </c>
      <c r="K1929" s="24" t="str">
        <f>IF(certifications[[#This Row],[ISSUE DATE]]="", "", TEXT(certifications[[#This Row],[ISSUE DATE]], "MMM"))</f>
        <v>Jun</v>
      </c>
      <c r="L1929" s="35" t="str">
        <f>IF(certifications[[#This Row],[ISSUE DATE]]="", "", TEXT(certifications[[#This Row],[ISSUE DATE]], "YYYY"))</f>
        <v>2019</v>
      </c>
    </row>
    <row r="1930" spans="1:12" s="29" customFormat="1" ht="23.95" customHeight="1" x14ac:dyDescent="0.3">
      <c r="A1930" s="31"/>
      <c r="B1930" s="24">
        <v>1917</v>
      </c>
      <c r="C1930" s="24" t="s">
        <v>1955</v>
      </c>
      <c r="D1930" s="24" t="s">
        <v>32</v>
      </c>
      <c r="E1930" s="24" t="s">
        <v>9</v>
      </c>
      <c r="F1930" s="24">
        <v>14759</v>
      </c>
      <c r="G1930" s="25">
        <v>43770</v>
      </c>
      <c r="H1930" s="25">
        <v>44501</v>
      </c>
      <c r="I1930" s="24" t="s">
        <v>16</v>
      </c>
      <c r="J1930" s="24" t="s">
        <v>33</v>
      </c>
      <c r="K1930" s="24" t="str">
        <f>IF(certifications[[#This Row],[ISSUE DATE]]="", "", TEXT(certifications[[#This Row],[ISSUE DATE]], "MMM"))</f>
        <v>Nov</v>
      </c>
      <c r="L1930" s="35" t="str">
        <f>IF(certifications[[#This Row],[ISSUE DATE]]="", "", TEXT(certifications[[#This Row],[ISSUE DATE]], "YYYY"))</f>
        <v>2019</v>
      </c>
    </row>
    <row r="1931" spans="1:12" s="29" customFormat="1" ht="23.95" customHeight="1" x14ac:dyDescent="0.3">
      <c r="A1931" s="31"/>
      <c r="B1931" s="24">
        <v>1918</v>
      </c>
      <c r="C1931" s="24" t="s">
        <v>1956</v>
      </c>
      <c r="D1931" s="24" t="s">
        <v>80</v>
      </c>
      <c r="E1931" s="24" t="s">
        <v>9</v>
      </c>
      <c r="F1931" s="24">
        <v>8510</v>
      </c>
      <c r="G1931" s="25">
        <v>41464</v>
      </c>
      <c r="H1931" s="25">
        <v>43655</v>
      </c>
      <c r="I1931" s="24" t="s">
        <v>16</v>
      </c>
      <c r="J1931" s="24" t="s">
        <v>38</v>
      </c>
      <c r="K1931" s="24" t="str">
        <f>IF(certifications[[#This Row],[ISSUE DATE]]="", "", TEXT(certifications[[#This Row],[ISSUE DATE]], "MMM"))</f>
        <v>Jul</v>
      </c>
      <c r="L1931" s="35" t="str">
        <f>IF(certifications[[#This Row],[ISSUE DATE]]="", "", TEXT(certifications[[#This Row],[ISSUE DATE]], "YYYY"))</f>
        <v>2013</v>
      </c>
    </row>
    <row r="1932" spans="1:12" s="29" customFormat="1" ht="23.95" customHeight="1" x14ac:dyDescent="0.3">
      <c r="A1932" s="31"/>
      <c r="B1932" s="24">
        <v>1919</v>
      </c>
      <c r="C1932" s="24" t="s">
        <v>1957</v>
      </c>
      <c r="D1932" s="24" t="s">
        <v>111</v>
      </c>
      <c r="E1932" s="24" t="s">
        <v>9</v>
      </c>
      <c r="F1932" s="24">
        <v>15953</v>
      </c>
      <c r="G1932" s="25">
        <v>44240</v>
      </c>
      <c r="H1932" s="25">
        <v>44970</v>
      </c>
      <c r="I1932" s="24" t="s">
        <v>16</v>
      </c>
      <c r="J1932" s="24" t="s">
        <v>38</v>
      </c>
      <c r="K1932" s="24" t="str">
        <f>IF(certifications[[#This Row],[ISSUE DATE]]="", "", TEXT(certifications[[#This Row],[ISSUE DATE]], "MMM"))</f>
        <v>Feb</v>
      </c>
      <c r="L1932" s="35" t="str">
        <f>IF(certifications[[#This Row],[ISSUE DATE]]="", "", TEXT(certifications[[#This Row],[ISSUE DATE]], "YYYY"))</f>
        <v>2021</v>
      </c>
    </row>
    <row r="1933" spans="1:12" s="29" customFormat="1" ht="23.95" customHeight="1" x14ac:dyDescent="0.3">
      <c r="A1933" s="31"/>
      <c r="B1933" s="24">
        <v>1920</v>
      </c>
      <c r="C1933" s="24" t="s">
        <v>1958</v>
      </c>
      <c r="D1933" s="24" t="s">
        <v>260</v>
      </c>
      <c r="E1933" s="24" t="s">
        <v>9</v>
      </c>
      <c r="F1933" s="24">
        <v>18770</v>
      </c>
      <c r="G1933" s="25">
        <v>45098</v>
      </c>
      <c r="H1933" s="25">
        <v>45829</v>
      </c>
      <c r="I1933" s="24" t="s">
        <v>10</v>
      </c>
      <c r="J1933" s="24" t="s">
        <v>14</v>
      </c>
      <c r="K1933" s="24" t="str">
        <f>IF(certifications[[#This Row],[ISSUE DATE]]="", "", TEXT(certifications[[#This Row],[ISSUE DATE]], "MMM"))</f>
        <v>Jun</v>
      </c>
      <c r="L1933" s="35" t="str">
        <f>IF(certifications[[#This Row],[ISSUE DATE]]="", "", TEXT(certifications[[#This Row],[ISSUE DATE]], "YYYY"))</f>
        <v>2023</v>
      </c>
    </row>
    <row r="1934" spans="1:12" s="29" customFormat="1" ht="23.95" customHeight="1" x14ac:dyDescent="0.3">
      <c r="A1934" s="31"/>
      <c r="B1934" s="24">
        <v>1921</v>
      </c>
      <c r="C1934" s="24" t="s">
        <v>1959</v>
      </c>
      <c r="D1934" s="24" t="s">
        <v>29</v>
      </c>
      <c r="E1934" s="24" t="s">
        <v>9</v>
      </c>
      <c r="F1934" s="24">
        <v>9172</v>
      </c>
      <c r="G1934" s="25">
        <v>42132</v>
      </c>
      <c r="H1934" s="25">
        <v>42863</v>
      </c>
      <c r="I1934" s="24" t="s">
        <v>16</v>
      </c>
      <c r="J1934" s="24" t="s">
        <v>30</v>
      </c>
      <c r="K1934" s="24" t="str">
        <f>IF(certifications[[#This Row],[ISSUE DATE]]="", "", TEXT(certifications[[#This Row],[ISSUE DATE]], "MMM"))</f>
        <v>May</v>
      </c>
      <c r="L1934" s="35" t="str">
        <f>IF(certifications[[#This Row],[ISSUE DATE]]="", "", TEXT(certifications[[#This Row],[ISSUE DATE]], "YYYY"))</f>
        <v>2015</v>
      </c>
    </row>
    <row r="1935" spans="1:12" s="29" customFormat="1" ht="23.95" customHeight="1" x14ac:dyDescent="0.3">
      <c r="A1935" s="31"/>
      <c r="B1935" s="24">
        <v>1922</v>
      </c>
      <c r="C1935" s="24" t="s">
        <v>1960</v>
      </c>
      <c r="D1935" s="24" t="s">
        <v>722</v>
      </c>
      <c r="E1935" s="24" t="s">
        <v>9</v>
      </c>
      <c r="F1935" s="24">
        <v>20694</v>
      </c>
      <c r="G1935" s="25">
        <v>45519</v>
      </c>
      <c r="H1935" s="25">
        <v>46249</v>
      </c>
      <c r="I1935" s="24" t="s">
        <v>10</v>
      </c>
      <c r="J1935" s="24" t="s">
        <v>30</v>
      </c>
      <c r="K1935" s="24" t="str">
        <f>IF(certifications[[#This Row],[ISSUE DATE]]="", "", TEXT(certifications[[#This Row],[ISSUE DATE]], "MMM"))</f>
        <v>Aug</v>
      </c>
      <c r="L1935" s="35" t="str">
        <f>IF(certifications[[#This Row],[ISSUE DATE]]="", "", TEXT(certifications[[#This Row],[ISSUE DATE]], "YYYY"))</f>
        <v>2024</v>
      </c>
    </row>
    <row r="1936" spans="1:12" s="29" customFormat="1" ht="23.95" customHeight="1" x14ac:dyDescent="0.3">
      <c r="A1936" s="31"/>
      <c r="B1936" s="24">
        <v>1923</v>
      </c>
      <c r="C1936" s="24" t="s">
        <v>1961</v>
      </c>
      <c r="D1936" s="24" t="s">
        <v>32</v>
      </c>
      <c r="E1936" s="24" t="s">
        <v>9</v>
      </c>
      <c r="F1936" s="24">
        <v>14758</v>
      </c>
      <c r="G1936" s="25">
        <v>43770</v>
      </c>
      <c r="H1936" s="25">
        <v>44501</v>
      </c>
      <c r="I1936" s="24" t="s">
        <v>16</v>
      </c>
      <c r="J1936" s="24" t="s">
        <v>33</v>
      </c>
      <c r="K1936" s="24" t="str">
        <f>IF(certifications[[#This Row],[ISSUE DATE]]="", "", TEXT(certifications[[#This Row],[ISSUE DATE]], "MMM"))</f>
        <v>Nov</v>
      </c>
      <c r="L1936" s="35" t="str">
        <f>IF(certifications[[#This Row],[ISSUE DATE]]="", "", TEXT(certifications[[#This Row],[ISSUE DATE]], "YYYY"))</f>
        <v>2019</v>
      </c>
    </row>
    <row r="1937" spans="1:12" s="29" customFormat="1" ht="23.95" customHeight="1" x14ac:dyDescent="0.3">
      <c r="A1937" s="31"/>
      <c r="B1937" s="24">
        <v>1924</v>
      </c>
      <c r="C1937" s="24" t="s">
        <v>1962</v>
      </c>
      <c r="D1937" s="24" t="s">
        <v>298</v>
      </c>
      <c r="E1937" s="24" t="s">
        <v>9</v>
      </c>
      <c r="F1937" s="24">
        <v>9544</v>
      </c>
      <c r="G1937" s="25">
        <v>42440</v>
      </c>
      <c r="H1937" s="25">
        <v>44631</v>
      </c>
      <c r="I1937" s="24" t="s">
        <v>16</v>
      </c>
      <c r="J1937" s="24" t="s">
        <v>30</v>
      </c>
      <c r="K1937" s="24" t="str">
        <f>IF(certifications[[#This Row],[ISSUE DATE]]="", "", TEXT(certifications[[#This Row],[ISSUE DATE]], "MMM"))</f>
        <v>Mar</v>
      </c>
      <c r="L1937" s="35" t="str">
        <f>IF(certifications[[#This Row],[ISSUE DATE]]="", "", TEXT(certifications[[#This Row],[ISSUE DATE]], "YYYY"))</f>
        <v>2016</v>
      </c>
    </row>
    <row r="1938" spans="1:12" s="29" customFormat="1" ht="23.95" customHeight="1" x14ac:dyDescent="0.3">
      <c r="A1938" s="31"/>
      <c r="B1938" s="24">
        <v>1925</v>
      </c>
      <c r="C1938" s="24" t="s">
        <v>1963</v>
      </c>
      <c r="D1938" s="24" t="s">
        <v>53</v>
      </c>
      <c r="E1938" s="24" t="s">
        <v>9</v>
      </c>
      <c r="F1938" s="24">
        <v>21093</v>
      </c>
      <c r="G1938" s="25">
        <v>45603</v>
      </c>
      <c r="H1938" s="25">
        <v>46333</v>
      </c>
      <c r="I1938" s="24" t="s">
        <v>10</v>
      </c>
      <c r="J1938" s="24" t="s">
        <v>25</v>
      </c>
      <c r="K1938" s="24" t="str">
        <f>IF(certifications[[#This Row],[ISSUE DATE]]="", "", TEXT(certifications[[#This Row],[ISSUE DATE]], "MMM"))</f>
        <v>Nov</v>
      </c>
      <c r="L1938" s="35" t="str">
        <f>IF(certifications[[#This Row],[ISSUE DATE]]="", "", TEXT(certifications[[#This Row],[ISSUE DATE]], "YYYY"))</f>
        <v>2024</v>
      </c>
    </row>
    <row r="1939" spans="1:12" s="29" customFormat="1" ht="23.95" customHeight="1" x14ac:dyDescent="0.3">
      <c r="A1939" s="31"/>
      <c r="B1939" s="24">
        <v>1926</v>
      </c>
      <c r="C1939" s="24" t="s">
        <v>1964</v>
      </c>
      <c r="D1939" s="24" t="s">
        <v>32</v>
      </c>
      <c r="E1939" s="24" t="s">
        <v>9</v>
      </c>
      <c r="F1939" s="24">
        <v>21575</v>
      </c>
      <c r="G1939" s="25">
        <v>45707</v>
      </c>
      <c r="H1939" s="25">
        <v>46437</v>
      </c>
      <c r="I1939" s="24" t="s">
        <v>10</v>
      </c>
      <c r="J1939" s="24" t="s">
        <v>33</v>
      </c>
      <c r="K1939" s="24" t="str">
        <f>IF(certifications[[#This Row],[ISSUE DATE]]="", "", TEXT(certifications[[#This Row],[ISSUE DATE]], "MMM"))</f>
        <v>Feb</v>
      </c>
      <c r="L1939" s="35" t="str">
        <f>IF(certifications[[#This Row],[ISSUE DATE]]="", "", TEXT(certifications[[#This Row],[ISSUE DATE]], "YYYY"))</f>
        <v>2025</v>
      </c>
    </row>
    <row r="1940" spans="1:12" s="29" customFormat="1" ht="23.95" customHeight="1" x14ac:dyDescent="0.3">
      <c r="A1940" s="31"/>
      <c r="B1940" s="24">
        <v>1927</v>
      </c>
      <c r="C1940" s="24" t="s">
        <v>1965</v>
      </c>
      <c r="D1940" s="24" t="s">
        <v>32</v>
      </c>
      <c r="E1940" s="24" t="s">
        <v>9</v>
      </c>
      <c r="F1940" s="24">
        <v>21000</v>
      </c>
      <c r="G1940" s="25">
        <v>45580</v>
      </c>
      <c r="H1940" s="25">
        <v>46310</v>
      </c>
      <c r="I1940" s="24" t="s">
        <v>10</v>
      </c>
      <c r="J1940" s="24" t="s">
        <v>33</v>
      </c>
      <c r="K1940" s="24" t="str">
        <f>IF(certifications[[#This Row],[ISSUE DATE]]="", "", TEXT(certifications[[#This Row],[ISSUE DATE]], "MMM"))</f>
        <v>Oct</v>
      </c>
      <c r="L1940" s="35" t="str">
        <f>IF(certifications[[#This Row],[ISSUE DATE]]="", "", TEXT(certifications[[#This Row],[ISSUE DATE]], "YYYY"))</f>
        <v>2024</v>
      </c>
    </row>
    <row r="1941" spans="1:12" s="29" customFormat="1" ht="23.95" customHeight="1" x14ac:dyDescent="0.3">
      <c r="A1941" s="31"/>
      <c r="B1941" s="24">
        <v>1928</v>
      </c>
      <c r="C1941" s="24" t="s">
        <v>1966</v>
      </c>
      <c r="D1941" s="24" t="s">
        <v>32</v>
      </c>
      <c r="E1941" s="24" t="s">
        <v>9</v>
      </c>
      <c r="F1941" s="24">
        <v>8941</v>
      </c>
      <c r="G1941" s="25">
        <v>41817</v>
      </c>
      <c r="H1941" s="25">
        <v>44009</v>
      </c>
      <c r="I1941" s="24" t="s">
        <v>16</v>
      </c>
      <c r="J1941" s="24" t="s">
        <v>33</v>
      </c>
      <c r="K1941" s="24" t="str">
        <f>IF(certifications[[#This Row],[ISSUE DATE]]="", "", TEXT(certifications[[#This Row],[ISSUE DATE]], "MMM"))</f>
        <v>Jun</v>
      </c>
      <c r="L1941" s="35" t="str">
        <f>IF(certifications[[#This Row],[ISSUE DATE]]="", "", TEXT(certifications[[#This Row],[ISSUE DATE]], "YYYY"))</f>
        <v>2014</v>
      </c>
    </row>
    <row r="1942" spans="1:12" s="29" customFormat="1" ht="23.95" customHeight="1" x14ac:dyDescent="0.3">
      <c r="A1942" s="31"/>
      <c r="B1942" s="24">
        <v>1929</v>
      </c>
      <c r="C1942" s="24" t="s">
        <v>1967</v>
      </c>
      <c r="D1942" s="24" t="s">
        <v>173</v>
      </c>
      <c r="E1942" s="24" t="s">
        <v>9</v>
      </c>
      <c r="F1942" s="24">
        <v>9247</v>
      </c>
      <c r="G1942" s="25">
        <v>42180</v>
      </c>
      <c r="H1942" s="25">
        <v>42911</v>
      </c>
      <c r="I1942" s="24" t="s">
        <v>16</v>
      </c>
      <c r="J1942" s="24" t="s">
        <v>11</v>
      </c>
      <c r="K1942" s="24" t="str">
        <f>IF(certifications[[#This Row],[ISSUE DATE]]="", "", TEXT(certifications[[#This Row],[ISSUE DATE]], "MMM"))</f>
        <v>Jun</v>
      </c>
      <c r="L1942" s="35" t="str">
        <f>IF(certifications[[#This Row],[ISSUE DATE]]="", "", TEXT(certifications[[#This Row],[ISSUE DATE]], "YYYY"))</f>
        <v>2015</v>
      </c>
    </row>
    <row r="1943" spans="1:12" s="29" customFormat="1" ht="23.95" customHeight="1" x14ac:dyDescent="0.3">
      <c r="A1943" s="31"/>
      <c r="B1943" s="24">
        <v>1930</v>
      </c>
      <c r="C1943" s="24" t="s">
        <v>1968</v>
      </c>
      <c r="D1943" s="24" t="s">
        <v>1969</v>
      </c>
      <c r="E1943" s="24" t="s">
        <v>9</v>
      </c>
      <c r="F1943" s="24">
        <v>19011</v>
      </c>
      <c r="G1943" s="25">
        <v>45153</v>
      </c>
      <c r="H1943" s="25">
        <v>45884</v>
      </c>
      <c r="I1943" s="24" t="s">
        <v>10</v>
      </c>
      <c r="J1943" s="24" t="s">
        <v>11</v>
      </c>
      <c r="K1943" s="24" t="str">
        <f>IF(certifications[[#This Row],[ISSUE DATE]]="", "", TEXT(certifications[[#This Row],[ISSUE DATE]], "MMM"))</f>
        <v>Aug</v>
      </c>
      <c r="L1943" s="35" t="str">
        <f>IF(certifications[[#This Row],[ISSUE DATE]]="", "", TEXT(certifications[[#This Row],[ISSUE DATE]], "YYYY"))</f>
        <v>2023</v>
      </c>
    </row>
    <row r="1944" spans="1:12" s="29" customFormat="1" ht="23.95" customHeight="1" x14ac:dyDescent="0.3">
      <c r="A1944" s="31"/>
      <c r="B1944" s="24">
        <v>1931</v>
      </c>
      <c r="C1944" s="24" t="s">
        <v>1970</v>
      </c>
      <c r="D1944" s="24" t="s">
        <v>18</v>
      </c>
      <c r="E1944" s="24" t="s">
        <v>9</v>
      </c>
      <c r="F1944" s="24">
        <v>20141</v>
      </c>
      <c r="G1944" s="25">
        <v>45399</v>
      </c>
      <c r="H1944" s="25">
        <v>46129</v>
      </c>
      <c r="I1944" s="24" t="s">
        <v>10</v>
      </c>
      <c r="J1944" s="24" t="s">
        <v>19</v>
      </c>
      <c r="K1944" s="24" t="str">
        <f>IF(certifications[[#This Row],[ISSUE DATE]]="", "", TEXT(certifications[[#This Row],[ISSUE DATE]], "MMM"))</f>
        <v>Apr</v>
      </c>
      <c r="L1944" s="35" t="str">
        <f>IF(certifications[[#This Row],[ISSUE DATE]]="", "", TEXT(certifications[[#This Row],[ISSUE DATE]], "YYYY"))</f>
        <v>2024</v>
      </c>
    </row>
    <row r="1945" spans="1:12" s="29" customFormat="1" ht="23.95" customHeight="1" x14ac:dyDescent="0.3">
      <c r="A1945" s="31"/>
      <c r="B1945" s="24">
        <v>1932</v>
      </c>
      <c r="C1945" s="24" t="s">
        <v>1971</v>
      </c>
      <c r="D1945" s="24" t="s">
        <v>32</v>
      </c>
      <c r="E1945" s="24" t="s">
        <v>9</v>
      </c>
      <c r="F1945" s="24">
        <v>12005</v>
      </c>
      <c r="G1945" s="25">
        <v>43313</v>
      </c>
      <c r="H1945" s="25">
        <v>44774</v>
      </c>
      <c r="I1945" s="24" t="s">
        <v>16</v>
      </c>
      <c r="J1945" s="24" t="s">
        <v>33</v>
      </c>
      <c r="K1945" s="24" t="str">
        <f>IF(certifications[[#This Row],[ISSUE DATE]]="", "", TEXT(certifications[[#This Row],[ISSUE DATE]], "MMM"))</f>
        <v>Aug</v>
      </c>
      <c r="L1945" s="35" t="str">
        <f>IF(certifications[[#This Row],[ISSUE DATE]]="", "", TEXT(certifications[[#This Row],[ISSUE DATE]], "YYYY"))</f>
        <v>2018</v>
      </c>
    </row>
    <row r="1946" spans="1:12" s="29" customFormat="1" ht="23.95" customHeight="1" x14ac:dyDescent="0.3">
      <c r="A1946" s="31"/>
      <c r="B1946" s="24">
        <v>1933</v>
      </c>
      <c r="C1946" s="24" t="s">
        <v>1972</v>
      </c>
      <c r="D1946" s="24" t="s">
        <v>32</v>
      </c>
      <c r="E1946" s="24" t="s">
        <v>26</v>
      </c>
      <c r="F1946" s="24">
        <v>16225</v>
      </c>
      <c r="G1946" s="25">
        <v>44326</v>
      </c>
      <c r="H1946" s="25">
        <v>45056</v>
      </c>
      <c r="I1946" s="24" t="s">
        <v>16</v>
      </c>
      <c r="J1946" s="24" t="s">
        <v>33</v>
      </c>
      <c r="K1946" s="24" t="str">
        <f>IF(certifications[[#This Row],[ISSUE DATE]]="", "", TEXT(certifications[[#This Row],[ISSUE DATE]], "MMM"))</f>
        <v>May</v>
      </c>
      <c r="L1946" s="35" t="str">
        <f>IF(certifications[[#This Row],[ISSUE DATE]]="", "", TEXT(certifications[[#This Row],[ISSUE DATE]], "YYYY"))</f>
        <v>2021</v>
      </c>
    </row>
    <row r="1947" spans="1:12" s="29" customFormat="1" ht="23.95" customHeight="1" x14ac:dyDescent="0.3">
      <c r="A1947" s="31"/>
      <c r="B1947" s="24">
        <v>1934</v>
      </c>
      <c r="C1947" s="24" t="s">
        <v>1973</v>
      </c>
      <c r="D1947" s="24" t="s">
        <v>1409</v>
      </c>
      <c r="E1947" s="24" t="s">
        <v>9</v>
      </c>
      <c r="F1947" s="24">
        <v>17231</v>
      </c>
      <c r="G1947" s="25">
        <v>44631</v>
      </c>
      <c r="H1947" s="25">
        <v>45362</v>
      </c>
      <c r="I1947" s="24" t="s">
        <v>16</v>
      </c>
      <c r="J1947" s="24" t="s">
        <v>25</v>
      </c>
      <c r="K1947" s="24" t="str">
        <f>IF(certifications[[#This Row],[ISSUE DATE]]="", "", TEXT(certifications[[#This Row],[ISSUE DATE]], "MMM"))</f>
        <v>Mar</v>
      </c>
      <c r="L1947" s="35" t="str">
        <f>IF(certifications[[#This Row],[ISSUE DATE]]="", "", TEXT(certifications[[#This Row],[ISSUE DATE]], "YYYY"))</f>
        <v>2022</v>
      </c>
    </row>
    <row r="1948" spans="1:12" s="29" customFormat="1" ht="23.95" customHeight="1" x14ac:dyDescent="0.3">
      <c r="A1948" s="31"/>
      <c r="B1948" s="24">
        <v>1935</v>
      </c>
      <c r="C1948" s="24" t="s">
        <v>1974</v>
      </c>
      <c r="D1948" s="24" t="s">
        <v>59</v>
      </c>
      <c r="E1948" s="24" t="s">
        <v>9</v>
      </c>
      <c r="F1948" s="24">
        <v>8502</v>
      </c>
      <c r="G1948" s="25">
        <v>41450</v>
      </c>
      <c r="H1948" s="25">
        <v>45102</v>
      </c>
      <c r="I1948" s="24" t="s">
        <v>16</v>
      </c>
      <c r="J1948" s="24" t="s">
        <v>30</v>
      </c>
      <c r="K1948" s="24" t="str">
        <f>IF(certifications[[#This Row],[ISSUE DATE]]="", "", TEXT(certifications[[#This Row],[ISSUE DATE]], "MMM"))</f>
        <v>Jun</v>
      </c>
      <c r="L1948" s="35" t="str">
        <f>IF(certifications[[#This Row],[ISSUE DATE]]="", "", TEXT(certifications[[#This Row],[ISSUE DATE]], "YYYY"))</f>
        <v>2013</v>
      </c>
    </row>
    <row r="1949" spans="1:12" s="29" customFormat="1" ht="23.95" customHeight="1" x14ac:dyDescent="0.3">
      <c r="A1949" s="31"/>
      <c r="B1949" s="24">
        <v>1936</v>
      </c>
      <c r="C1949" s="24" t="s">
        <v>1975</v>
      </c>
      <c r="D1949" s="24" t="s">
        <v>32</v>
      </c>
      <c r="E1949" s="24" t="s">
        <v>9</v>
      </c>
      <c r="F1949" s="24">
        <v>19869</v>
      </c>
      <c r="G1949" s="25">
        <v>45336</v>
      </c>
      <c r="H1949" s="25">
        <v>46067</v>
      </c>
      <c r="I1949" s="24" t="s">
        <v>10</v>
      </c>
      <c r="J1949" s="24" t="s">
        <v>33</v>
      </c>
      <c r="K1949" s="24" t="str">
        <f>IF(certifications[[#This Row],[ISSUE DATE]]="", "", TEXT(certifications[[#This Row],[ISSUE DATE]], "MMM"))</f>
        <v>Feb</v>
      </c>
      <c r="L1949" s="35" t="str">
        <f>IF(certifications[[#This Row],[ISSUE DATE]]="", "", TEXT(certifications[[#This Row],[ISSUE DATE]], "YYYY"))</f>
        <v>2024</v>
      </c>
    </row>
    <row r="1950" spans="1:12" s="29" customFormat="1" ht="23.95" customHeight="1" x14ac:dyDescent="0.3">
      <c r="A1950" s="31"/>
      <c r="B1950" s="24">
        <v>1937</v>
      </c>
      <c r="C1950" s="24" t="s">
        <v>1976</v>
      </c>
      <c r="D1950" s="24" t="s">
        <v>80</v>
      </c>
      <c r="E1950" s="24" t="s">
        <v>9</v>
      </c>
      <c r="F1950" s="24">
        <v>10261</v>
      </c>
      <c r="G1950" s="25">
        <v>42908</v>
      </c>
      <c r="H1950" s="25">
        <v>43638</v>
      </c>
      <c r="I1950" s="24" t="s">
        <v>16</v>
      </c>
      <c r="J1950" s="24" t="s">
        <v>38</v>
      </c>
      <c r="K1950" s="24" t="str">
        <f>IF(certifications[[#This Row],[ISSUE DATE]]="", "", TEXT(certifications[[#This Row],[ISSUE DATE]], "MMM"))</f>
        <v>Jun</v>
      </c>
      <c r="L1950" s="35" t="str">
        <f>IF(certifications[[#This Row],[ISSUE DATE]]="", "", TEXT(certifications[[#This Row],[ISSUE DATE]], "YYYY"))</f>
        <v>2017</v>
      </c>
    </row>
    <row r="1951" spans="1:12" s="29" customFormat="1" ht="23.95" customHeight="1" x14ac:dyDescent="0.3">
      <c r="A1951" s="31"/>
      <c r="B1951" s="24">
        <v>1938</v>
      </c>
      <c r="C1951" s="24" t="s">
        <v>1977</v>
      </c>
      <c r="D1951" s="24" t="s">
        <v>32</v>
      </c>
      <c r="E1951" s="24" t="s">
        <v>9</v>
      </c>
      <c r="F1951" s="24">
        <v>9537</v>
      </c>
      <c r="G1951" s="25">
        <v>42440</v>
      </c>
      <c r="H1951" s="25">
        <v>43170</v>
      </c>
      <c r="I1951" s="24" t="s">
        <v>16</v>
      </c>
      <c r="J1951" s="24" t="s">
        <v>33</v>
      </c>
      <c r="K1951" s="24" t="str">
        <f>IF(certifications[[#This Row],[ISSUE DATE]]="", "", TEXT(certifications[[#This Row],[ISSUE DATE]], "MMM"))</f>
        <v>Mar</v>
      </c>
      <c r="L1951" s="35" t="str">
        <f>IF(certifications[[#This Row],[ISSUE DATE]]="", "", TEXT(certifications[[#This Row],[ISSUE DATE]], "YYYY"))</f>
        <v>2016</v>
      </c>
    </row>
    <row r="1952" spans="1:12" s="29" customFormat="1" ht="23.95" customHeight="1" x14ac:dyDescent="0.3">
      <c r="A1952" s="31"/>
      <c r="B1952" s="24">
        <v>1939</v>
      </c>
      <c r="C1952" s="24" t="s">
        <v>1978</v>
      </c>
      <c r="D1952" s="24" t="s">
        <v>32</v>
      </c>
      <c r="E1952" s="24" t="s">
        <v>9</v>
      </c>
      <c r="F1952" s="24">
        <v>19868</v>
      </c>
      <c r="G1952" s="25">
        <v>45336</v>
      </c>
      <c r="H1952" s="25">
        <v>46067</v>
      </c>
      <c r="I1952" s="24" t="s">
        <v>10</v>
      </c>
      <c r="J1952" s="24" t="s">
        <v>33</v>
      </c>
      <c r="K1952" s="24" t="str">
        <f>IF(certifications[[#This Row],[ISSUE DATE]]="", "", TEXT(certifications[[#This Row],[ISSUE DATE]], "MMM"))</f>
        <v>Feb</v>
      </c>
      <c r="L1952" s="35" t="str">
        <f>IF(certifications[[#This Row],[ISSUE DATE]]="", "", TEXT(certifications[[#This Row],[ISSUE DATE]], "YYYY"))</f>
        <v>2024</v>
      </c>
    </row>
    <row r="1953" spans="1:12" s="29" customFormat="1" ht="23.95" customHeight="1" x14ac:dyDescent="0.3">
      <c r="A1953" s="31"/>
      <c r="B1953" s="24">
        <v>1940</v>
      </c>
      <c r="C1953" s="24" t="s">
        <v>1979</v>
      </c>
      <c r="D1953" s="24" t="s">
        <v>179</v>
      </c>
      <c r="E1953" s="24" t="s">
        <v>9</v>
      </c>
      <c r="F1953" s="24">
        <v>20506</v>
      </c>
      <c r="G1953" s="25">
        <v>45469</v>
      </c>
      <c r="H1953" s="25">
        <v>46199</v>
      </c>
      <c r="I1953" s="24" t="s">
        <v>10</v>
      </c>
      <c r="J1953" s="24" t="s">
        <v>14</v>
      </c>
      <c r="K1953" s="24" t="str">
        <f>IF(certifications[[#This Row],[ISSUE DATE]]="", "", TEXT(certifications[[#This Row],[ISSUE DATE]], "MMM"))</f>
        <v>Jun</v>
      </c>
      <c r="L1953" s="35" t="str">
        <f>IF(certifications[[#This Row],[ISSUE DATE]]="", "", TEXT(certifications[[#This Row],[ISSUE DATE]], "YYYY"))</f>
        <v>2024</v>
      </c>
    </row>
    <row r="1954" spans="1:12" s="29" customFormat="1" ht="23.95" customHeight="1" x14ac:dyDescent="0.3">
      <c r="A1954" s="31"/>
      <c r="B1954" s="24">
        <v>1941</v>
      </c>
      <c r="C1954" s="24" t="s">
        <v>1980</v>
      </c>
      <c r="D1954" s="24" t="s">
        <v>32</v>
      </c>
      <c r="E1954" s="24" t="s">
        <v>9</v>
      </c>
      <c r="F1954" s="24">
        <v>10650</v>
      </c>
      <c r="G1954" s="25">
        <v>43118</v>
      </c>
      <c r="H1954" s="25">
        <v>43848</v>
      </c>
      <c r="I1954" s="24" t="s">
        <v>16</v>
      </c>
      <c r="J1954" s="24" t="s">
        <v>33</v>
      </c>
      <c r="K1954" s="24" t="str">
        <f>IF(certifications[[#This Row],[ISSUE DATE]]="", "", TEXT(certifications[[#This Row],[ISSUE DATE]], "MMM"))</f>
        <v>Jan</v>
      </c>
      <c r="L1954" s="35" t="str">
        <f>IF(certifications[[#This Row],[ISSUE DATE]]="", "", TEXT(certifications[[#This Row],[ISSUE DATE]], "YYYY"))</f>
        <v>2018</v>
      </c>
    </row>
    <row r="1955" spans="1:12" s="29" customFormat="1" ht="23.95" customHeight="1" x14ac:dyDescent="0.3">
      <c r="A1955" s="31"/>
      <c r="B1955" s="24">
        <v>1942</v>
      </c>
      <c r="C1955" s="24" t="s">
        <v>1981</v>
      </c>
      <c r="D1955" s="24" t="s">
        <v>32</v>
      </c>
      <c r="E1955" s="24" t="s">
        <v>9</v>
      </c>
      <c r="F1955" s="24">
        <v>8202</v>
      </c>
      <c r="G1955" s="25">
        <v>41159</v>
      </c>
      <c r="H1955" s="25">
        <v>41889</v>
      </c>
      <c r="I1955" s="24" t="s">
        <v>16</v>
      </c>
      <c r="J1955" s="24" t="s">
        <v>33</v>
      </c>
      <c r="K1955" s="24" t="str">
        <f>IF(certifications[[#This Row],[ISSUE DATE]]="", "", TEXT(certifications[[#This Row],[ISSUE DATE]], "MMM"))</f>
        <v>Sep</v>
      </c>
      <c r="L1955" s="35" t="str">
        <f>IF(certifications[[#This Row],[ISSUE DATE]]="", "", TEXT(certifications[[#This Row],[ISSUE DATE]], "YYYY"))</f>
        <v>2012</v>
      </c>
    </row>
    <row r="1956" spans="1:12" s="29" customFormat="1" ht="23.95" customHeight="1" x14ac:dyDescent="0.3">
      <c r="A1956" s="31"/>
      <c r="B1956" s="24">
        <v>1943</v>
      </c>
      <c r="C1956" s="24" t="s">
        <v>1982</v>
      </c>
      <c r="D1956" s="24" t="s">
        <v>32</v>
      </c>
      <c r="E1956" s="24" t="s">
        <v>9</v>
      </c>
      <c r="F1956" s="24">
        <v>8945</v>
      </c>
      <c r="G1956" s="25">
        <v>41817</v>
      </c>
      <c r="H1956" s="25">
        <v>44739</v>
      </c>
      <c r="I1956" s="24" t="s">
        <v>16</v>
      </c>
      <c r="J1956" s="24" t="s">
        <v>33</v>
      </c>
      <c r="K1956" s="24" t="str">
        <f>IF(certifications[[#This Row],[ISSUE DATE]]="", "", TEXT(certifications[[#This Row],[ISSUE DATE]], "MMM"))</f>
        <v>Jun</v>
      </c>
      <c r="L1956" s="35" t="str">
        <f>IF(certifications[[#This Row],[ISSUE DATE]]="", "", TEXT(certifications[[#This Row],[ISSUE DATE]], "YYYY"))</f>
        <v>2014</v>
      </c>
    </row>
    <row r="1957" spans="1:12" s="29" customFormat="1" ht="23.95" customHeight="1" x14ac:dyDescent="0.3">
      <c r="A1957" s="31"/>
      <c r="B1957" s="24">
        <v>1944</v>
      </c>
      <c r="C1957" s="24" t="s">
        <v>1983</v>
      </c>
      <c r="D1957" s="24" t="s">
        <v>32</v>
      </c>
      <c r="E1957" s="24" t="s">
        <v>9</v>
      </c>
      <c r="F1957" s="24">
        <v>11038</v>
      </c>
      <c r="G1957" s="25">
        <v>43203</v>
      </c>
      <c r="H1957" s="25">
        <v>43934</v>
      </c>
      <c r="I1957" s="24" t="s">
        <v>16</v>
      </c>
      <c r="J1957" s="24" t="s">
        <v>33</v>
      </c>
      <c r="K1957" s="24" t="str">
        <f>IF(certifications[[#This Row],[ISSUE DATE]]="", "", TEXT(certifications[[#This Row],[ISSUE DATE]], "MMM"))</f>
        <v>Apr</v>
      </c>
      <c r="L1957" s="35" t="str">
        <f>IF(certifications[[#This Row],[ISSUE DATE]]="", "", TEXT(certifications[[#This Row],[ISSUE DATE]], "YYYY"))</f>
        <v>2018</v>
      </c>
    </row>
    <row r="1958" spans="1:12" s="29" customFormat="1" ht="23.95" customHeight="1" x14ac:dyDescent="0.3">
      <c r="A1958" s="31"/>
      <c r="B1958" s="24">
        <v>1945</v>
      </c>
      <c r="C1958" s="24" t="s">
        <v>1984</v>
      </c>
      <c r="D1958" s="24" t="s">
        <v>32</v>
      </c>
      <c r="E1958" s="24" t="s">
        <v>9</v>
      </c>
      <c r="F1958" s="24">
        <v>8469</v>
      </c>
      <c r="G1958" s="25">
        <v>41412</v>
      </c>
      <c r="H1958" s="25">
        <v>42142</v>
      </c>
      <c r="I1958" s="24" t="s">
        <v>16</v>
      </c>
      <c r="J1958" s="24" t="s">
        <v>33</v>
      </c>
      <c r="K1958" s="24" t="str">
        <f>IF(certifications[[#This Row],[ISSUE DATE]]="", "", TEXT(certifications[[#This Row],[ISSUE DATE]], "MMM"))</f>
        <v>May</v>
      </c>
      <c r="L1958" s="35" t="str">
        <f>IF(certifications[[#This Row],[ISSUE DATE]]="", "", TEXT(certifications[[#This Row],[ISSUE DATE]], "YYYY"))</f>
        <v>2013</v>
      </c>
    </row>
    <row r="1959" spans="1:12" s="29" customFormat="1" ht="23.95" customHeight="1" x14ac:dyDescent="0.3">
      <c r="A1959" s="31"/>
      <c r="B1959" s="24">
        <v>1946</v>
      </c>
      <c r="C1959" s="24" t="s">
        <v>1985</v>
      </c>
      <c r="D1959" s="24" t="s">
        <v>500</v>
      </c>
      <c r="E1959" s="24" t="s">
        <v>9</v>
      </c>
      <c r="F1959" s="24">
        <v>9442</v>
      </c>
      <c r="G1959" s="25">
        <v>42346</v>
      </c>
      <c r="H1959" s="25">
        <v>45999</v>
      </c>
      <c r="I1959" s="24" t="s">
        <v>10</v>
      </c>
      <c r="J1959" s="24" t="s">
        <v>30</v>
      </c>
      <c r="K1959" s="24" t="str">
        <f>IF(certifications[[#This Row],[ISSUE DATE]]="", "", TEXT(certifications[[#This Row],[ISSUE DATE]], "MMM"))</f>
        <v>Dec</v>
      </c>
      <c r="L1959" s="35" t="str">
        <f>IF(certifications[[#This Row],[ISSUE DATE]]="", "", TEXT(certifications[[#This Row],[ISSUE DATE]], "YYYY"))</f>
        <v>2015</v>
      </c>
    </row>
    <row r="1960" spans="1:12" s="29" customFormat="1" ht="23.95" customHeight="1" x14ac:dyDescent="0.3">
      <c r="A1960" s="31"/>
      <c r="B1960" s="24">
        <v>1947</v>
      </c>
      <c r="C1960" s="24" t="s">
        <v>1986</v>
      </c>
      <c r="D1960" s="24" t="s">
        <v>390</v>
      </c>
      <c r="E1960" s="24" t="s">
        <v>9</v>
      </c>
      <c r="F1960" s="24">
        <v>8654</v>
      </c>
      <c r="G1960" s="25">
        <v>41577</v>
      </c>
      <c r="H1960" s="25">
        <v>43768</v>
      </c>
      <c r="I1960" s="24" t="s">
        <v>16</v>
      </c>
      <c r="J1960" s="24" t="s">
        <v>22</v>
      </c>
      <c r="K1960" s="24" t="str">
        <f>IF(certifications[[#This Row],[ISSUE DATE]]="", "", TEXT(certifications[[#This Row],[ISSUE DATE]], "MMM"))</f>
        <v>Oct</v>
      </c>
      <c r="L1960" s="35" t="str">
        <f>IF(certifications[[#This Row],[ISSUE DATE]]="", "", TEXT(certifications[[#This Row],[ISSUE DATE]], "YYYY"))</f>
        <v>2013</v>
      </c>
    </row>
    <row r="1961" spans="1:12" s="29" customFormat="1" ht="23.95" customHeight="1" x14ac:dyDescent="0.3">
      <c r="A1961" s="31"/>
      <c r="B1961" s="24">
        <v>1948</v>
      </c>
      <c r="C1961" s="24" t="s">
        <v>1987</v>
      </c>
      <c r="D1961" s="24" t="s">
        <v>32</v>
      </c>
      <c r="E1961" s="24" t="s">
        <v>9</v>
      </c>
      <c r="F1961" s="24">
        <v>8287</v>
      </c>
      <c r="G1961" s="25">
        <v>41263</v>
      </c>
      <c r="H1961" s="25">
        <v>41993</v>
      </c>
      <c r="I1961" s="24" t="s">
        <v>16</v>
      </c>
      <c r="J1961" s="24" t="s">
        <v>33</v>
      </c>
      <c r="K1961" s="24" t="str">
        <f>IF(certifications[[#This Row],[ISSUE DATE]]="", "", TEXT(certifications[[#This Row],[ISSUE DATE]], "MMM"))</f>
        <v>Dec</v>
      </c>
      <c r="L1961" s="35" t="str">
        <f>IF(certifications[[#This Row],[ISSUE DATE]]="", "", TEXT(certifications[[#This Row],[ISSUE DATE]], "YYYY"))</f>
        <v>2012</v>
      </c>
    </row>
    <row r="1962" spans="1:12" s="29" customFormat="1" ht="23.95" customHeight="1" x14ac:dyDescent="0.3">
      <c r="A1962" s="31"/>
      <c r="B1962" s="24">
        <v>1949</v>
      </c>
      <c r="C1962" s="24" t="s">
        <v>1988</v>
      </c>
      <c r="D1962" s="24" t="s">
        <v>252</v>
      </c>
      <c r="E1962" s="24" t="s">
        <v>9</v>
      </c>
      <c r="F1962" s="24">
        <v>11992</v>
      </c>
      <c r="G1962" s="25">
        <v>43313</v>
      </c>
      <c r="H1962" s="25">
        <v>44774</v>
      </c>
      <c r="I1962" s="24" t="s">
        <v>16</v>
      </c>
      <c r="J1962" s="24" t="s">
        <v>38</v>
      </c>
      <c r="K1962" s="24" t="str">
        <f>IF(certifications[[#This Row],[ISSUE DATE]]="", "", TEXT(certifications[[#This Row],[ISSUE DATE]], "MMM"))</f>
        <v>Aug</v>
      </c>
      <c r="L1962" s="35" t="str">
        <f>IF(certifications[[#This Row],[ISSUE DATE]]="", "", TEXT(certifications[[#This Row],[ISSUE DATE]], "YYYY"))</f>
        <v>2018</v>
      </c>
    </row>
    <row r="1963" spans="1:12" s="29" customFormat="1" ht="23.95" customHeight="1" x14ac:dyDescent="0.3">
      <c r="A1963" s="31"/>
      <c r="B1963" s="24">
        <v>1950</v>
      </c>
      <c r="C1963" s="24" t="s">
        <v>1989</v>
      </c>
      <c r="D1963" s="24" t="s">
        <v>32</v>
      </c>
      <c r="E1963" s="24" t="s">
        <v>9</v>
      </c>
      <c r="F1963" s="24">
        <v>17871</v>
      </c>
      <c r="G1963" s="25">
        <v>44833</v>
      </c>
      <c r="H1963" s="25">
        <v>46294</v>
      </c>
      <c r="I1963" s="24" t="s">
        <v>10</v>
      </c>
      <c r="J1963" s="24" t="s">
        <v>33</v>
      </c>
      <c r="K1963" s="24" t="str">
        <f>IF(certifications[[#This Row],[ISSUE DATE]]="", "", TEXT(certifications[[#This Row],[ISSUE DATE]], "MMM"))</f>
        <v>Sep</v>
      </c>
      <c r="L1963" s="35" t="str">
        <f>IF(certifications[[#This Row],[ISSUE DATE]]="", "", TEXT(certifications[[#This Row],[ISSUE DATE]], "YYYY"))</f>
        <v>2022</v>
      </c>
    </row>
    <row r="1964" spans="1:12" s="29" customFormat="1" ht="23.95" customHeight="1" x14ac:dyDescent="0.3">
      <c r="A1964" s="31"/>
      <c r="B1964" s="24">
        <v>1951</v>
      </c>
      <c r="C1964" s="24" t="s">
        <v>1990</v>
      </c>
      <c r="D1964" s="24" t="s">
        <v>298</v>
      </c>
      <c r="E1964" s="24" t="s">
        <v>9</v>
      </c>
      <c r="F1964" s="24">
        <v>14303</v>
      </c>
      <c r="G1964" s="25">
        <v>43690</v>
      </c>
      <c r="H1964" s="25">
        <v>44421</v>
      </c>
      <c r="I1964" s="24" t="s">
        <v>16</v>
      </c>
      <c r="J1964" s="24" t="s">
        <v>30</v>
      </c>
      <c r="K1964" s="24" t="str">
        <f>IF(certifications[[#This Row],[ISSUE DATE]]="", "", TEXT(certifications[[#This Row],[ISSUE DATE]], "MMM"))</f>
        <v>Aug</v>
      </c>
      <c r="L1964" s="35" t="str">
        <f>IF(certifications[[#This Row],[ISSUE DATE]]="", "", TEXT(certifications[[#This Row],[ISSUE DATE]], "YYYY"))</f>
        <v>2019</v>
      </c>
    </row>
    <row r="1965" spans="1:12" s="29" customFormat="1" ht="23.95" customHeight="1" x14ac:dyDescent="0.3">
      <c r="A1965" s="31"/>
      <c r="B1965" s="24">
        <v>1952</v>
      </c>
      <c r="C1965" s="24" t="s">
        <v>1991</v>
      </c>
      <c r="D1965" s="24" t="s">
        <v>298</v>
      </c>
      <c r="E1965" s="24" t="s">
        <v>9</v>
      </c>
      <c r="F1965" s="24">
        <v>13336</v>
      </c>
      <c r="G1965" s="25">
        <v>43599</v>
      </c>
      <c r="H1965" s="25">
        <v>45791</v>
      </c>
      <c r="I1965" s="24" t="s">
        <v>82</v>
      </c>
      <c r="J1965" s="24" t="s">
        <v>30</v>
      </c>
      <c r="K1965" s="24" t="str">
        <f>IF(certifications[[#This Row],[ISSUE DATE]]="", "", TEXT(certifications[[#This Row],[ISSUE DATE]], "MMM"))</f>
        <v>May</v>
      </c>
      <c r="L1965" s="35" t="str">
        <f>IF(certifications[[#This Row],[ISSUE DATE]]="", "", TEXT(certifications[[#This Row],[ISSUE DATE]], "YYYY"))</f>
        <v>2019</v>
      </c>
    </row>
    <row r="1966" spans="1:12" s="29" customFormat="1" ht="23.95" customHeight="1" x14ac:dyDescent="0.3">
      <c r="A1966" s="31"/>
      <c r="B1966" s="24">
        <v>1953</v>
      </c>
      <c r="C1966" s="24" t="s">
        <v>1992</v>
      </c>
      <c r="D1966" s="24" t="s">
        <v>131</v>
      </c>
      <c r="E1966" s="24" t="s">
        <v>9</v>
      </c>
      <c r="F1966" s="24">
        <v>8708</v>
      </c>
      <c r="G1966" s="25">
        <v>41620</v>
      </c>
      <c r="H1966" s="25">
        <v>42350</v>
      </c>
      <c r="I1966" s="24" t="s">
        <v>16</v>
      </c>
      <c r="J1966" s="24" t="s">
        <v>38</v>
      </c>
      <c r="K1966" s="24" t="str">
        <f>IF(certifications[[#This Row],[ISSUE DATE]]="", "", TEXT(certifications[[#This Row],[ISSUE DATE]], "MMM"))</f>
        <v>Dec</v>
      </c>
      <c r="L1966" s="35" t="str">
        <f>IF(certifications[[#This Row],[ISSUE DATE]]="", "", TEXT(certifications[[#This Row],[ISSUE DATE]], "YYYY"))</f>
        <v>2013</v>
      </c>
    </row>
    <row r="1967" spans="1:12" s="29" customFormat="1" ht="23.95" customHeight="1" x14ac:dyDescent="0.3">
      <c r="A1967" s="31"/>
      <c r="B1967" s="24">
        <v>1954</v>
      </c>
      <c r="C1967" s="24" t="s">
        <v>1993</v>
      </c>
      <c r="D1967" s="24" t="s">
        <v>57</v>
      </c>
      <c r="E1967" s="24" t="s">
        <v>9</v>
      </c>
      <c r="F1967" s="24">
        <v>10032</v>
      </c>
      <c r="G1967" s="25">
        <v>42766</v>
      </c>
      <c r="H1967" s="25">
        <v>43496</v>
      </c>
      <c r="I1967" s="24" t="s">
        <v>16</v>
      </c>
      <c r="J1967" s="24" t="s">
        <v>38</v>
      </c>
      <c r="K1967" s="24" t="str">
        <f>IF(certifications[[#This Row],[ISSUE DATE]]="", "", TEXT(certifications[[#This Row],[ISSUE DATE]], "MMM"))</f>
        <v>Jan</v>
      </c>
      <c r="L1967" s="35" t="str">
        <f>IF(certifications[[#This Row],[ISSUE DATE]]="", "", TEXT(certifications[[#This Row],[ISSUE DATE]], "YYYY"))</f>
        <v>2017</v>
      </c>
    </row>
    <row r="1968" spans="1:12" s="29" customFormat="1" ht="23.95" customHeight="1" x14ac:dyDescent="0.3">
      <c r="A1968" s="31"/>
      <c r="B1968" s="24">
        <v>1955</v>
      </c>
      <c r="C1968" s="24" t="s">
        <v>1994</v>
      </c>
      <c r="D1968" s="24" t="s">
        <v>1071</v>
      </c>
      <c r="E1968" s="24" t="s">
        <v>9</v>
      </c>
      <c r="F1968" s="24">
        <v>15889</v>
      </c>
      <c r="G1968" s="25">
        <v>44213</v>
      </c>
      <c r="H1968" s="25">
        <v>46404</v>
      </c>
      <c r="I1968" s="24" t="s">
        <v>10</v>
      </c>
      <c r="J1968" s="24" t="s">
        <v>30</v>
      </c>
      <c r="K1968" s="24" t="str">
        <f>IF(certifications[[#This Row],[ISSUE DATE]]="", "", TEXT(certifications[[#This Row],[ISSUE DATE]], "MMM"))</f>
        <v>Jan</v>
      </c>
      <c r="L1968" s="35" t="str">
        <f>IF(certifications[[#This Row],[ISSUE DATE]]="", "", TEXT(certifications[[#This Row],[ISSUE DATE]], "YYYY"))</f>
        <v>2021</v>
      </c>
    </row>
    <row r="1969" spans="1:12" s="29" customFormat="1" ht="23.95" customHeight="1" x14ac:dyDescent="0.3">
      <c r="A1969" s="31"/>
      <c r="B1969" s="24">
        <v>1956</v>
      </c>
      <c r="C1969" s="24" t="s">
        <v>1995</v>
      </c>
      <c r="D1969" s="24" t="s">
        <v>708</v>
      </c>
      <c r="E1969" s="24" t="s">
        <v>9</v>
      </c>
      <c r="F1969" s="24">
        <v>17148</v>
      </c>
      <c r="G1969" s="25">
        <v>44595</v>
      </c>
      <c r="H1969" s="25">
        <v>46056</v>
      </c>
      <c r="I1969" s="24" t="s">
        <v>10</v>
      </c>
      <c r="J1969" s="24" t="s">
        <v>38</v>
      </c>
      <c r="K1969" s="24" t="str">
        <f>IF(certifications[[#This Row],[ISSUE DATE]]="", "", TEXT(certifications[[#This Row],[ISSUE DATE]], "MMM"))</f>
        <v>Feb</v>
      </c>
      <c r="L1969" s="35" t="str">
        <f>IF(certifications[[#This Row],[ISSUE DATE]]="", "", TEXT(certifications[[#This Row],[ISSUE DATE]], "YYYY"))</f>
        <v>2022</v>
      </c>
    </row>
    <row r="1970" spans="1:12" s="29" customFormat="1" ht="23.95" customHeight="1" x14ac:dyDescent="0.3">
      <c r="A1970" s="31"/>
      <c r="B1970" s="24">
        <v>1957</v>
      </c>
      <c r="C1970" s="24" t="s">
        <v>1995</v>
      </c>
      <c r="D1970" s="24" t="s">
        <v>708</v>
      </c>
      <c r="E1970" s="24" t="s">
        <v>26</v>
      </c>
      <c r="F1970" s="24">
        <v>17148</v>
      </c>
      <c r="G1970" s="25">
        <v>44606</v>
      </c>
      <c r="H1970" s="25">
        <v>46067</v>
      </c>
      <c r="I1970" s="24" t="s">
        <v>10</v>
      </c>
      <c r="J1970" s="24" t="s">
        <v>38</v>
      </c>
      <c r="K1970" s="24" t="str">
        <f>IF(certifications[[#This Row],[ISSUE DATE]]="", "", TEXT(certifications[[#This Row],[ISSUE DATE]], "MMM"))</f>
        <v>Feb</v>
      </c>
      <c r="L1970" s="35" t="str">
        <f>IF(certifications[[#This Row],[ISSUE DATE]]="", "", TEXT(certifications[[#This Row],[ISSUE DATE]], "YYYY"))</f>
        <v>2022</v>
      </c>
    </row>
    <row r="1971" spans="1:12" s="29" customFormat="1" ht="23.95" customHeight="1" x14ac:dyDescent="0.3">
      <c r="A1971" s="31"/>
      <c r="B1971" s="24">
        <v>1958</v>
      </c>
      <c r="C1971" s="24" t="s">
        <v>1996</v>
      </c>
      <c r="D1971" s="24" t="s">
        <v>32</v>
      </c>
      <c r="E1971" s="24" t="s">
        <v>9</v>
      </c>
      <c r="F1971" s="24">
        <v>8401</v>
      </c>
      <c r="G1971" s="25">
        <v>41393</v>
      </c>
      <c r="H1971" s="25">
        <v>43584</v>
      </c>
      <c r="I1971" s="24" t="s">
        <v>16</v>
      </c>
      <c r="J1971" s="24" t="s">
        <v>33</v>
      </c>
      <c r="K1971" s="24" t="str">
        <f>IF(certifications[[#This Row],[ISSUE DATE]]="", "", TEXT(certifications[[#This Row],[ISSUE DATE]], "MMM"))</f>
        <v>Apr</v>
      </c>
      <c r="L1971" s="35" t="str">
        <f>IF(certifications[[#This Row],[ISSUE DATE]]="", "", TEXT(certifications[[#This Row],[ISSUE DATE]], "YYYY"))</f>
        <v>2013</v>
      </c>
    </row>
    <row r="1972" spans="1:12" s="29" customFormat="1" ht="23.95" customHeight="1" x14ac:dyDescent="0.3">
      <c r="A1972" s="31"/>
      <c r="B1972" s="24">
        <v>1959</v>
      </c>
      <c r="C1972" s="24" t="s">
        <v>1997</v>
      </c>
      <c r="D1972" s="24" t="s">
        <v>32</v>
      </c>
      <c r="E1972" s="24" t="s">
        <v>9</v>
      </c>
      <c r="F1972" s="24">
        <v>11913</v>
      </c>
      <c r="G1972" s="25">
        <v>43291</v>
      </c>
      <c r="H1972" s="25">
        <v>45483</v>
      </c>
      <c r="I1972" s="24" t="s">
        <v>82</v>
      </c>
      <c r="J1972" s="24" t="s">
        <v>33</v>
      </c>
      <c r="K1972" s="24" t="str">
        <f>IF(certifications[[#This Row],[ISSUE DATE]]="", "", TEXT(certifications[[#This Row],[ISSUE DATE]], "MMM"))</f>
        <v>Jul</v>
      </c>
      <c r="L1972" s="35" t="str">
        <f>IF(certifications[[#This Row],[ISSUE DATE]]="", "", TEXT(certifications[[#This Row],[ISSUE DATE]], "YYYY"))</f>
        <v>2018</v>
      </c>
    </row>
    <row r="1973" spans="1:12" s="29" customFormat="1" ht="23.95" customHeight="1" x14ac:dyDescent="0.3">
      <c r="A1973" s="31"/>
      <c r="B1973" s="24">
        <v>1960</v>
      </c>
      <c r="C1973" s="24" t="s">
        <v>1998</v>
      </c>
      <c r="D1973" s="24" t="s">
        <v>32</v>
      </c>
      <c r="E1973" s="24" t="s">
        <v>9</v>
      </c>
      <c r="F1973" s="24">
        <v>19141</v>
      </c>
      <c r="G1973" s="25">
        <v>45180</v>
      </c>
      <c r="H1973" s="25">
        <v>45911</v>
      </c>
      <c r="I1973" s="24" t="s">
        <v>10</v>
      </c>
      <c r="J1973" s="24" t="s">
        <v>33</v>
      </c>
      <c r="K1973" s="24" t="str">
        <f>IF(certifications[[#This Row],[ISSUE DATE]]="", "", TEXT(certifications[[#This Row],[ISSUE DATE]], "MMM"))</f>
        <v>Sep</v>
      </c>
      <c r="L1973" s="35" t="str">
        <f>IF(certifications[[#This Row],[ISSUE DATE]]="", "", TEXT(certifications[[#This Row],[ISSUE DATE]], "YYYY"))</f>
        <v>2023</v>
      </c>
    </row>
    <row r="1974" spans="1:12" s="29" customFormat="1" ht="23.95" customHeight="1" x14ac:dyDescent="0.3">
      <c r="A1974" s="31"/>
      <c r="B1974" s="24">
        <v>1961</v>
      </c>
      <c r="C1974" s="24" t="s">
        <v>1999</v>
      </c>
      <c r="D1974" s="24" t="s">
        <v>32</v>
      </c>
      <c r="E1974" s="24" t="s">
        <v>9</v>
      </c>
      <c r="F1974" s="24">
        <v>11617</v>
      </c>
      <c r="G1974" s="25">
        <v>45693</v>
      </c>
      <c r="H1974" s="25">
        <v>46423</v>
      </c>
      <c r="I1974" s="24" t="s">
        <v>10</v>
      </c>
      <c r="J1974" s="24" t="s">
        <v>33</v>
      </c>
      <c r="K1974" s="24" t="str">
        <f>IF(certifications[[#This Row],[ISSUE DATE]]="", "", TEXT(certifications[[#This Row],[ISSUE DATE]], "MMM"))</f>
        <v>Feb</v>
      </c>
      <c r="L1974" s="35" t="str">
        <f>IF(certifications[[#This Row],[ISSUE DATE]]="", "", TEXT(certifications[[#This Row],[ISSUE DATE]], "YYYY"))</f>
        <v>2025</v>
      </c>
    </row>
    <row r="1975" spans="1:12" s="29" customFormat="1" ht="23.95" customHeight="1" x14ac:dyDescent="0.3">
      <c r="A1975" s="31"/>
      <c r="B1975" s="24">
        <v>1962</v>
      </c>
      <c r="C1975" s="24" t="s">
        <v>2000</v>
      </c>
      <c r="D1975" s="24" t="s">
        <v>88</v>
      </c>
      <c r="E1975" s="24" t="s">
        <v>9</v>
      </c>
      <c r="F1975" s="24">
        <v>19273</v>
      </c>
      <c r="G1975" s="25">
        <v>45207</v>
      </c>
      <c r="H1975" s="25">
        <v>45938</v>
      </c>
      <c r="I1975" s="24" t="s">
        <v>10</v>
      </c>
      <c r="J1975" s="24" t="s">
        <v>19</v>
      </c>
      <c r="K1975" s="24" t="str">
        <f>IF(certifications[[#This Row],[ISSUE DATE]]="", "", TEXT(certifications[[#This Row],[ISSUE DATE]], "MMM"))</f>
        <v>Oct</v>
      </c>
      <c r="L1975" s="35" t="str">
        <f>IF(certifications[[#This Row],[ISSUE DATE]]="", "", TEXT(certifications[[#This Row],[ISSUE DATE]], "YYYY"))</f>
        <v>2023</v>
      </c>
    </row>
    <row r="1976" spans="1:12" s="29" customFormat="1" ht="23.95" customHeight="1" x14ac:dyDescent="0.3">
      <c r="A1976" s="31"/>
      <c r="B1976" s="24">
        <v>1963</v>
      </c>
      <c r="C1976" s="24" t="s">
        <v>2001</v>
      </c>
      <c r="D1976" s="24" t="s">
        <v>32</v>
      </c>
      <c r="E1976" s="24" t="s">
        <v>9</v>
      </c>
      <c r="F1976" s="24">
        <v>9543</v>
      </c>
      <c r="G1976" s="25">
        <v>42440</v>
      </c>
      <c r="H1976" s="25">
        <v>43170</v>
      </c>
      <c r="I1976" s="24" t="s">
        <v>16</v>
      </c>
      <c r="J1976" s="24" t="s">
        <v>33</v>
      </c>
      <c r="K1976" s="24" t="str">
        <f>IF(certifications[[#This Row],[ISSUE DATE]]="", "", TEXT(certifications[[#This Row],[ISSUE DATE]], "MMM"))</f>
        <v>Mar</v>
      </c>
      <c r="L1976" s="35" t="str">
        <f>IF(certifications[[#This Row],[ISSUE DATE]]="", "", TEXT(certifications[[#This Row],[ISSUE DATE]], "YYYY"))</f>
        <v>2016</v>
      </c>
    </row>
    <row r="1977" spans="1:12" s="29" customFormat="1" ht="23.95" customHeight="1" x14ac:dyDescent="0.3">
      <c r="A1977" s="31"/>
      <c r="B1977" s="24">
        <v>1964</v>
      </c>
      <c r="C1977" s="24" t="s">
        <v>2002</v>
      </c>
      <c r="D1977" s="24" t="s">
        <v>13</v>
      </c>
      <c r="E1977" s="24" t="s">
        <v>9</v>
      </c>
      <c r="F1977" s="24">
        <v>19879</v>
      </c>
      <c r="G1977" s="25">
        <v>45469</v>
      </c>
      <c r="H1977" s="25">
        <v>46199</v>
      </c>
      <c r="I1977" s="24" t="s">
        <v>10</v>
      </c>
      <c r="J1977" s="24" t="s">
        <v>14</v>
      </c>
      <c r="K1977" s="24" t="str">
        <f>IF(certifications[[#This Row],[ISSUE DATE]]="", "", TEXT(certifications[[#This Row],[ISSUE DATE]], "MMM"))</f>
        <v>Jun</v>
      </c>
      <c r="L1977" s="35" t="str">
        <f>IF(certifications[[#This Row],[ISSUE DATE]]="", "", TEXT(certifications[[#This Row],[ISSUE DATE]], "YYYY"))</f>
        <v>2024</v>
      </c>
    </row>
    <row r="1978" spans="1:12" s="29" customFormat="1" ht="23.95" customHeight="1" x14ac:dyDescent="0.3">
      <c r="A1978" s="31"/>
      <c r="B1978" s="24">
        <v>1965</v>
      </c>
      <c r="C1978" s="24" t="s">
        <v>2003</v>
      </c>
      <c r="D1978" s="24" t="s">
        <v>452</v>
      </c>
      <c r="E1978" s="24" t="s">
        <v>9</v>
      </c>
      <c r="F1978" s="24">
        <v>18299</v>
      </c>
      <c r="G1978" s="25">
        <v>44977</v>
      </c>
      <c r="H1978" s="25">
        <v>46438</v>
      </c>
      <c r="I1978" s="24" t="s">
        <v>10</v>
      </c>
      <c r="J1978" s="24" t="s">
        <v>25</v>
      </c>
      <c r="K1978" s="24" t="str">
        <f>IF(certifications[[#This Row],[ISSUE DATE]]="", "", TEXT(certifications[[#This Row],[ISSUE DATE]], "MMM"))</f>
        <v>Feb</v>
      </c>
      <c r="L1978" s="35" t="str">
        <f>IF(certifications[[#This Row],[ISSUE DATE]]="", "", TEXT(certifications[[#This Row],[ISSUE DATE]], "YYYY"))</f>
        <v>2023</v>
      </c>
    </row>
    <row r="1979" spans="1:12" s="29" customFormat="1" x14ac:dyDescent="0.3">
      <c r="A1979" s="31"/>
      <c r="B1979" s="24">
        <v>1966</v>
      </c>
      <c r="C1979" s="24" t="s">
        <v>2003</v>
      </c>
      <c r="D1979" s="24" t="s">
        <v>452</v>
      </c>
      <c r="E1979" s="24" t="s">
        <v>26</v>
      </c>
      <c r="F1979" s="24">
        <v>18299</v>
      </c>
      <c r="G1979" s="25">
        <v>44971</v>
      </c>
      <c r="H1979" s="25">
        <v>46432</v>
      </c>
      <c r="I1979" s="24" t="s">
        <v>10</v>
      </c>
      <c r="J1979" s="24" t="s">
        <v>25</v>
      </c>
      <c r="K1979" s="24" t="str">
        <f>IF(certifications[[#This Row],[ISSUE DATE]]="", "", TEXT(certifications[[#This Row],[ISSUE DATE]], "MMM"))</f>
        <v>Feb</v>
      </c>
      <c r="L1979" s="35" t="str">
        <f>IF(certifications[[#This Row],[ISSUE DATE]]="", "", TEXT(certifications[[#This Row],[ISSUE DATE]], "YYYY"))</f>
        <v>2023</v>
      </c>
    </row>
    <row r="1980" spans="1:12" s="29" customFormat="1" x14ac:dyDescent="0.3">
      <c r="A1980" s="31"/>
      <c r="B1980" s="24">
        <v>1967</v>
      </c>
      <c r="C1980" s="24" t="s">
        <v>2004</v>
      </c>
      <c r="D1980" s="24" t="s">
        <v>32</v>
      </c>
      <c r="E1980" s="24" t="s">
        <v>9</v>
      </c>
      <c r="F1980" s="24">
        <v>8462</v>
      </c>
      <c r="G1980" s="25">
        <v>41412</v>
      </c>
      <c r="H1980" s="25">
        <v>46525</v>
      </c>
      <c r="I1980" s="24" t="s">
        <v>10</v>
      </c>
      <c r="J1980" s="24" t="s">
        <v>33</v>
      </c>
      <c r="K1980" s="24" t="str">
        <f>IF(certifications[[#This Row],[ISSUE DATE]]="", "", TEXT(certifications[[#This Row],[ISSUE DATE]], "MMM"))</f>
        <v>May</v>
      </c>
      <c r="L1980" s="35" t="str">
        <f>IF(certifications[[#This Row],[ISSUE DATE]]="", "", TEXT(certifications[[#This Row],[ISSUE DATE]], "YYYY"))</f>
        <v>2013</v>
      </c>
    </row>
    <row r="1981" spans="1:12" s="29" customFormat="1" x14ac:dyDescent="0.3">
      <c r="A1981" s="31"/>
      <c r="B1981" s="24">
        <v>1968</v>
      </c>
      <c r="C1981" s="24" t="s">
        <v>2005</v>
      </c>
      <c r="D1981" s="24" t="s">
        <v>32</v>
      </c>
      <c r="E1981" s="24" t="s">
        <v>9</v>
      </c>
      <c r="F1981" s="24">
        <v>16962</v>
      </c>
      <c r="G1981" s="25">
        <v>45708</v>
      </c>
      <c r="H1981" s="25">
        <v>46438</v>
      </c>
      <c r="I1981" s="24" t="s">
        <v>10</v>
      </c>
      <c r="J1981" s="24" t="s">
        <v>33</v>
      </c>
      <c r="K1981" s="24" t="str">
        <f>IF(certifications[[#This Row],[ISSUE DATE]]="", "", TEXT(certifications[[#This Row],[ISSUE DATE]], "MMM"))</f>
        <v>Feb</v>
      </c>
      <c r="L1981" s="35" t="str">
        <f>IF(certifications[[#This Row],[ISSUE DATE]]="", "", TEXT(certifications[[#This Row],[ISSUE DATE]], "YYYY"))</f>
        <v>2025</v>
      </c>
    </row>
    <row r="1982" spans="1:12" s="29" customFormat="1" x14ac:dyDescent="0.3">
      <c r="A1982" s="31"/>
      <c r="B1982" s="24">
        <v>1969</v>
      </c>
      <c r="C1982" s="24" t="s">
        <v>2005</v>
      </c>
      <c r="D1982" s="24" t="s">
        <v>32</v>
      </c>
      <c r="E1982" s="24" t="s">
        <v>26</v>
      </c>
      <c r="F1982" s="24">
        <v>16962</v>
      </c>
      <c r="G1982" s="25">
        <v>45741</v>
      </c>
      <c r="H1982" s="25">
        <v>46471</v>
      </c>
      <c r="I1982" s="24" t="s">
        <v>10</v>
      </c>
      <c r="J1982" s="24" t="s">
        <v>33</v>
      </c>
      <c r="K1982" s="24" t="str">
        <f>IF(certifications[[#This Row],[ISSUE DATE]]="", "", TEXT(certifications[[#This Row],[ISSUE DATE]], "MMM"))</f>
        <v>Mar</v>
      </c>
      <c r="L1982" s="35" t="str">
        <f>IF(certifications[[#This Row],[ISSUE DATE]]="", "", TEXT(certifications[[#This Row],[ISSUE DATE]], "YYYY"))</f>
        <v>2025</v>
      </c>
    </row>
    <row r="1983" spans="1:12" s="29" customFormat="1" x14ac:dyDescent="0.3">
      <c r="A1983" s="31"/>
      <c r="B1983" s="24">
        <v>1970</v>
      </c>
      <c r="C1983" s="24" t="s">
        <v>2006</v>
      </c>
      <c r="D1983" s="24" t="s">
        <v>32</v>
      </c>
      <c r="E1983" s="24" t="s">
        <v>9</v>
      </c>
      <c r="F1983" s="24">
        <v>19212</v>
      </c>
      <c r="G1983" s="25">
        <v>45196</v>
      </c>
      <c r="H1983" s="25">
        <v>45927</v>
      </c>
      <c r="I1983" s="24" t="s">
        <v>10</v>
      </c>
      <c r="J1983" s="24" t="s">
        <v>33</v>
      </c>
      <c r="K1983" s="24" t="str">
        <f>IF(certifications[[#This Row],[ISSUE DATE]]="", "", TEXT(certifications[[#This Row],[ISSUE DATE]], "MMM"))</f>
        <v>Sep</v>
      </c>
      <c r="L1983" s="35" t="str">
        <f>IF(certifications[[#This Row],[ISSUE DATE]]="", "", TEXT(certifications[[#This Row],[ISSUE DATE]], "YYYY"))</f>
        <v>2023</v>
      </c>
    </row>
    <row r="1984" spans="1:12" s="29" customFormat="1" x14ac:dyDescent="0.3">
      <c r="A1984" s="31"/>
      <c r="B1984" s="24">
        <v>1971</v>
      </c>
      <c r="C1984" s="24" t="s">
        <v>2007</v>
      </c>
      <c r="D1984" s="24" t="s">
        <v>13</v>
      </c>
      <c r="E1984" s="24" t="s">
        <v>9</v>
      </c>
      <c r="F1984" s="24">
        <v>12837</v>
      </c>
      <c r="G1984" s="25">
        <v>43504</v>
      </c>
      <c r="H1984" s="25">
        <v>46426</v>
      </c>
      <c r="I1984" s="24" t="s">
        <v>10</v>
      </c>
      <c r="J1984" s="24" t="s">
        <v>14</v>
      </c>
      <c r="K1984" s="24" t="str">
        <f>IF(certifications[[#This Row],[ISSUE DATE]]="", "", TEXT(certifications[[#This Row],[ISSUE DATE]], "MMM"))</f>
        <v>Feb</v>
      </c>
      <c r="L1984" s="35" t="str">
        <f>IF(certifications[[#This Row],[ISSUE DATE]]="", "", TEXT(certifications[[#This Row],[ISSUE DATE]], "YYYY"))</f>
        <v>2019</v>
      </c>
    </row>
    <row r="1985" spans="1:12" s="29" customFormat="1" x14ac:dyDescent="0.3">
      <c r="A1985" s="31"/>
      <c r="B1985" s="24">
        <v>1972</v>
      </c>
      <c r="C1985" s="24" t="s">
        <v>2008</v>
      </c>
      <c r="D1985" s="24" t="s">
        <v>13</v>
      </c>
      <c r="E1985" s="24" t="s">
        <v>9</v>
      </c>
      <c r="F1985" s="24">
        <v>9436</v>
      </c>
      <c r="G1985" s="25">
        <v>42341</v>
      </c>
      <c r="H1985" s="25">
        <v>45994</v>
      </c>
      <c r="I1985" s="24" t="s">
        <v>10</v>
      </c>
      <c r="J1985" s="24" t="s">
        <v>14</v>
      </c>
      <c r="K1985" s="24" t="str">
        <f>IF(certifications[[#This Row],[ISSUE DATE]]="", "", TEXT(certifications[[#This Row],[ISSUE DATE]], "MMM"))</f>
        <v>Dec</v>
      </c>
      <c r="L1985" s="35" t="str">
        <f>IF(certifications[[#This Row],[ISSUE DATE]]="", "", TEXT(certifications[[#This Row],[ISSUE DATE]], "YYYY"))</f>
        <v>2015</v>
      </c>
    </row>
    <row r="1986" spans="1:12" s="29" customFormat="1" x14ac:dyDescent="0.3">
      <c r="A1986" s="31"/>
      <c r="B1986" s="24">
        <v>1973</v>
      </c>
      <c r="C1986" s="24" t="s">
        <v>2009</v>
      </c>
      <c r="D1986" s="24" t="s">
        <v>13</v>
      </c>
      <c r="E1986" s="24" t="s">
        <v>9</v>
      </c>
      <c r="F1986" s="24">
        <v>17887</v>
      </c>
      <c r="G1986" s="25">
        <v>44837</v>
      </c>
      <c r="H1986" s="25">
        <v>46298</v>
      </c>
      <c r="I1986" s="24" t="s">
        <v>10</v>
      </c>
      <c r="J1986" s="24" t="s">
        <v>14</v>
      </c>
      <c r="K1986" s="24" t="str">
        <f>IF(certifications[[#This Row],[ISSUE DATE]]="", "", TEXT(certifications[[#This Row],[ISSUE DATE]], "MMM"))</f>
        <v>Oct</v>
      </c>
      <c r="L1986" s="35" t="str">
        <f>IF(certifications[[#This Row],[ISSUE DATE]]="", "", TEXT(certifications[[#This Row],[ISSUE DATE]], "YYYY"))</f>
        <v>2022</v>
      </c>
    </row>
    <row r="1987" spans="1:12" s="29" customFormat="1" x14ac:dyDescent="0.3">
      <c r="A1987" s="31"/>
      <c r="B1987" s="24">
        <v>1974</v>
      </c>
      <c r="C1987" s="24" t="s">
        <v>2010</v>
      </c>
      <c r="D1987" s="24" t="s">
        <v>1486</v>
      </c>
      <c r="E1987" s="24" t="s">
        <v>9</v>
      </c>
      <c r="F1987" s="24">
        <v>19466</v>
      </c>
      <c r="G1987" s="25">
        <v>45258</v>
      </c>
      <c r="H1987" s="25">
        <v>45989</v>
      </c>
      <c r="I1987" s="24" t="s">
        <v>10</v>
      </c>
      <c r="J1987" s="24" t="s">
        <v>30</v>
      </c>
      <c r="K1987" s="24" t="str">
        <f>IF(certifications[[#This Row],[ISSUE DATE]]="", "", TEXT(certifications[[#This Row],[ISSUE DATE]], "MMM"))</f>
        <v>Nov</v>
      </c>
      <c r="L1987" s="35" t="str">
        <f>IF(certifications[[#This Row],[ISSUE DATE]]="", "", TEXT(certifications[[#This Row],[ISSUE DATE]], "YYYY"))</f>
        <v>2023</v>
      </c>
    </row>
    <row r="1988" spans="1:12" s="29" customFormat="1" x14ac:dyDescent="0.3">
      <c r="A1988" s="31"/>
      <c r="B1988" s="24">
        <v>1975</v>
      </c>
      <c r="C1988" s="24" t="s">
        <v>2011</v>
      </c>
      <c r="D1988" s="24" t="s">
        <v>269</v>
      </c>
      <c r="E1988" s="24" t="s">
        <v>9</v>
      </c>
      <c r="F1988" s="24">
        <v>18743</v>
      </c>
      <c r="G1988" s="25">
        <v>45095</v>
      </c>
      <c r="H1988" s="25">
        <v>46556</v>
      </c>
      <c r="I1988" s="24" t="s">
        <v>10</v>
      </c>
      <c r="J1988" s="24" t="s">
        <v>25</v>
      </c>
      <c r="K1988" s="24" t="str">
        <f>IF(certifications[[#This Row],[ISSUE DATE]]="", "", TEXT(certifications[[#This Row],[ISSUE DATE]], "MMM"))</f>
        <v>Jun</v>
      </c>
      <c r="L1988" s="35" t="str">
        <f>IF(certifications[[#This Row],[ISSUE DATE]]="", "", TEXT(certifications[[#This Row],[ISSUE DATE]], "YYYY"))</f>
        <v>2023</v>
      </c>
    </row>
    <row r="1989" spans="1:12" s="29" customFormat="1" x14ac:dyDescent="0.3">
      <c r="A1989" s="31"/>
      <c r="B1989" s="24">
        <v>1976</v>
      </c>
      <c r="C1989" s="24" t="s">
        <v>2012</v>
      </c>
      <c r="D1989" s="24" t="s">
        <v>8</v>
      </c>
      <c r="E1989" s="24" t="s">
        <v>9</v>
      </c>
      <c r="F1989" s="24">
        <v>10227</v>
      </c>
      <c r="G1989" s="25">
        <v>42913</v>
      </c>
      <c r="H1989" s="25">
        <v>43643</v>
      </c>
      <c r="I1989" s="24" t="s">
        <v>16</v>
      </c>
      <c r="J1989" s="24" t="s">
        <v>11</v>
      </c>
      <c r="K1989" s="24" t="str">
        <f>IF(certifications[[#This Row],[ISSUE DATE]]="", "", TEXT(certifications[[#This Row],[ISSUE DATE]], "MMM"))</f>
        <v>Jun</v>
      </c>
      <c r="L1989" s="35" t="str">
        <f>IF(certifications[[#This Row],[ISSUE DATE]]="", "", TEXT(certifications[[#This Row],[ISSUE DATE]], "YYYY"))</f>
        <v>2017</v>
      </c>
    </row>
    <row r="1990" spans="1:12" s="29" customFormat="1" x14ac:dyDescent="0.3">
      <c r="A1990" s="31"/>
      <c r="B1990" s="24">
        <v>1977</v>
      </c>
      <c r="C1990" s="24" t="s">
        <v>2013</v>
      </c>
      <c r="D1990" s="24" t="s">
        <v>32</v>
      </c>
      <c r="E1990" s="24" t="s">
        <v>9</v>
      </c>
      <c r="F1990" s="24">
        <v>8397</v>
      </c>
      <c r="G1990" s="25">
        <v>41393</v>
      </c>
      <c r="H1990" s="25">
        <v>42123</v>
      </c>
      <c r="I1990" s="24" t="s">
        <v>16</v>
      </c>
      <c r="J1990" s="24" t="s">
        <v>33</v>
      </c>
      <c r="K1990" s="24" t="str">
        <f>IF(certifications[[#This Row],[ISSUE DATE]]="", "", TEXT(certifications[[#This Row],[ISSUE DATE]], "MMM"))</f>
        <v>Apr</v>
      </c>
      <c r="L1990" s="35" t="str">
        <f>IF(certifications[[#This Row],[ISSUE DATE]]="", "", TEXT(certifications[[#This Row],[ISSUE DATE]], "YYYY"))</f>
        <v>2013</v>
      </c>
    </row>
    <row r="1991" spans="1:12" s="29" customFormat="1" x14ac:dyDescent="0.3">
      <c r="A1991" s="31"/>
      <c r="B1991" s="31"/>
    </row>
  </sheetData>
  <pageMargins left="0.7" right="0.7" top="0.75" bottom="0.75" header="0.3" footer="0.3"/>
  <pageSetup orientation="portrait"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7BD46-6962-4270-94A6-9E735A484156}">
  <dimension ref="A1:K588"/>
  <sheetViews>
    <sheetView workbookViewId="0">
      <selection activeCell="C27" sqref="C27"/>
    </sheetView>
  </sheetViews>
  <sheetFormatPr defaultRowHeight="15.05" x14ac:dyDescent="0.3"/>
  <cols>
    <col min="1" max="10" width="21.21875" customWidth="1"/>
  </cols>
  <sheetData>
    <row r="1" spans="11:11" x14ac:dyDescent="0.3">
      <c r="K1" s="34"/>
    </row>
    <row r="2" spans="11:11" x14ac:dyDescent="0.3">
      <c r="K2" s="34"/>
    </row>
    <row r="3" spans="11:11" x14ac:dyDescent="0.3">
      <c r="K3" s="34"/>
    </row>
    <row r="4" spans="11:11" x14ac:dyDescent="0.3">
      <c r="K4" s="34"/>
    </row>
    <row r="5" spans="11:11" x14ac:dyDescent="0.3">
      <c r="K5" s="34"/>
    </row>
    <row r="6" spans="11:11" x14ac:dyDescent="0.3">
      <c r="K6" s="34"/>
    </row>
    <row r="7" spans="11:11" x14ac:dyDescent="0.3">
      <c r="K7" s="34"/>
    </row>
    <row r="8" spans="11:11" x14ac:dyDescent="0.3">
      <c r="K8" s="34"/>
    </row>
    <row r="9" spans="11:11" x14ac:dyDescent="0.3">
      <c r="K9" s="34"/>
    </row>
    <row r="10" spans="11:11" x14ac:dyDescent="0.3">
      <c r="K10" s="34"/>
    </row>
    <row r="11" spans="11:11" x14ac:dyDescent="0.3">
      <c r="K11" s="34"/>
    </row>
    <row r="12" spans="11:11" x14ac:dyDescent="0.3">
      <c r="K12" s="34"/>
    </row>
    <row r="13" spans="11:11" x14ac:dyDescent="0.3">
      <c r="K13" s="34"/>
    </row>
    <row r="14" spans="11:11" x14ac:dyDescent="0.3">
      <c r="K14" s="34"/>
    </row>
    <row r="15" spans="11:11" x14ac:dyDescent="0.3">
      <c r="K15" s="34"/>
    </row>
    <row r="16" spans="11:11" x14ac:dyDescent="0.3">
      <c r="K16" s="34"/>
    </row>
    <row r="17" spans="11:11" x14ac:dyDescent="0.3">
      <c r="K17" s="34"/>
    </row>
    <row r="18" spans="11:11" x14ac:dyDescent="0.3">
      <c r="K18" s="34"/>
    </row>
    <row r="19" spans="11:11" x14ac:dyDescent="0.3">
      <c r="K19" s="34"/>
    </row>
    <row r="20" spans="11:11" x14ac:dyDescent="0.3">
      <c r="K20" s="34"/>
    </row>
    <row r="21" spans="11:11" x14ac:dyDescent="0.3">
      <c r="K21" s="34"/>
    </row>
    <row r="22" spans="11:11" x14ac:dyDescent="0.3">
      <c r="K22" s="34"/>
    </row>
    <row r="23" spans="11:11" x14ac:dyDescent="0.3">
      <c r="K23" s="34"/>
    </row>
    <row r="24" spans="11:11" x14ac:dyDescent="0.3">
      <c r="K24" s="34"/>
    </row>
    <row r="25" spans="11:11" x14ac:dyDescent="0.3">
      <c r="K25" s="34"/>
    </row>
    <row r="26" spans="11:11" x14ac:dyDescent="0.3">
      <c r="K26" s="34"/>
    </row>
    <row r="27" spans="11:11" x14ac:dyDescent="0.3">
      <c r="K27" s="34"/>
    </row>
    <row r="28" spans="11:11" x14ac:dyDescent="0.3">
      <c r="K28" s="34"/>
    </row>
    <row r="29" spans="11:11" x14ac:dyDescent="0.3">
      <c r="K29" s="34"/>
    </row>
    <row r="30" spans="11:11" x14ac:dyDescent="0.3">
      <c r="K30" s="34"/>
    </row>
    <row r="31" spans="11:11" x14ac:dyDescent="0.3">
      <c r="K31" s="34"/>
    </row>
    <row r="32" spans="11:11" x14ac:dyDescent="0.3">
      <c r="K32" s="34"/>
    </row>
    <row r="33" spans="11:11" x14ac:dyDescent="0.3">
      <c r="K33" s="34"/>
    </row>
    <row r="34" spans="11:11" x14ac:dyDescent="0.3">
      <c r="K34" s="34"/>
    </row>
    <row r="35" spans="11:11" x14ac:dyDescent="0.3">
      <c r="K35" s="34"/>
    </row>
    <row r="36" spans="11:11" x14ac:dyDescent="0.3">
      <c r="K36" s="34"/>
    </row>
    <row r="37" spans="11:11" x14ac:dyDescent="0.3">
      <c r="K37" s="34"/>
    </row>
    <row r="38" spans="11:11" x14ac:dyDescent="0.3">
      <c r="K38" s="34"/>
    </row>
    <row r="39" spans="11:11" x14ac:dyDescent="0.3">
      <c r="K39" s="34"/>
    </row>
    <row r="40" spans="11:11" x14ac:dyDescent="0.3">
      <c r="K40" s="34"/>
    </row>
    <row r="41" spans="11:11" x14ac:dyDescent="0.3">
      <c r="K41" s="34"/>
    </row>
    <row r="42" spans="11:11" x14ac:dyDescent="0.3">
      <c r="K42" s="34"/>
    </row>
    <row r="43" spans="11:11" x14ac:dyDescent="0.3">
      <c r="K43" s="34"/>
    </row>
    <row r="44" spans="11:11" x14ac:dyDescent="0.3">
      <c r="K44" s="34"/>
    </row>
    <row r="45" spans="11:11" x14ac:dyDescent="0.3">
      <c r="K45" s="34"/>
    </row>
    <row r="46" spans="11:11" x14ac:dyDescent="0.3">
      <c r="K46" s="34"/>
    </row>
    <row r="47" spans="11:11" x14ac:dyDescent="0.3">
      <c r="K47" s="34"/>
    </row>
    <row r="48" spans="11:11" x14ac:dyDescent="0.3">
      <c r="K48" s="34"/>
    </row>
    <row r="49" spans="11:11" x14ac:dyDescent="0.3">
      <c r="K49" s="34"/>
    </row>
    <row r="50" spans="11:11" x14ac:dyDescent="0.3">
      <c r="K50" s="34"/>
    </row>
    <row r="51" spans="11:11" x14ac:dyDescent="0.3">
      <c r="K51" s="34"/>
    </row>
    <row r="52" spans="11:11" x14ac:dyDescent="0.3">
      <c r="K52" s="34"/>
    </row>
    <row r="53" spans="11:11" x14ac:dyDescent="0.3">
      <c r="K53" s="34"/>
    </row>
    <row r="54" spans="11:11" x14ac:dyDescent="0.3">
      <c r="K54" s="34"/>
    </row>
    <row r="55" spans="11:11" x14ac:dyDescent="0.3">
      <c r="K55" s="34"/>
    </row>
    <row r="56" spans="11:11" x14ac:dyDescent="0.3">
      <c r="K56" s="34"/>
    </row>
    <row r="57" spans="11:11" x14ac:dyDescent="0.3">
      <c r="K57" s="34"/>
    </row>
    <row r="58" spans="11:11" x14ac:dyDescent="0.3">
      <c r="K58" s="34"/>
    </row>
    <row r="59" spans="11:11" x14ac:dyDescent="0.3">
      <c r="K59" s="34"/>
    </row>
    <row r="60" spans="11:11" x14ac:dyDescent="0.3">
      <c r="K60" s="34"/>
    </row>
    <row r="61" spans="11:11" x14ac:dyDescent="0.3">
      <c r="K61" s="34"/>
    </row>
    <row r="62" spans="11:11" x14ac:dyDescent="0.3">
      <c r="K62" s="34"/>
    </row>
    <row r="63" spans="11:11" x14ac:dyDescent="0.3">
      <c r="K63" s="34"/>
    </row>
    <row r="64" spans="11:11" x14ac:dyDescent="0.3">
      <c r="K64" s="34"/>
    </row>
    <row r="65" spans="11:11" x14ac:dyDescent="0.3">
      <c r="K65" s="34"/>
    </row>
    <row r="66" spans="11:11" x14ac:dyDescent="0.3">
      <c r="K66" s="34"/>
    </row>
    <row r="67" spans="11:11" x14ac:dyDescent="0.3">
      <c r="K67" s="34"/>
    </row>
    <row r="68" spans="11:11" x14ac:dyDescent="0.3">
      <c r="K68" s="34"/>
    </row>
    <row r="69" spans="11:11" x14ac:dyDescent="0.3">
      <c r="K69" s="34"/>
    </row>
    <row r="70" spans="11:11" x14ac:dyDescent="0.3">
      <c r="K70" s="34"/>
    </row>
    <row r="71" spans="11:11" x14ac:dyDescent="0.3">
      <c r="K71" s="34"/>
    </row>
    <row r="72" spans="11:11" x14ac:dyDescent="0.3">
      <c r="K72" s="34"/>
    </row>
    <row r="73" spans="11:11" x14ac:dyDescent="0.3">
      <c r="K73" s="34"/>
    </row>
    <row r="74" spans="11:11" x14ac:dyDescent="0.3">
      <c r="K74" s="34"/>
    </row>
    <row r="75" spans="11:11" x14ac:dyDescent="0.3">
      <c r="K75" s="34"/>
    </row>
    <row r="76" spans="11:11" x14ac:dyDescent="0.3">
      <c r="K76" s="34"/>
    </row>
    <row r="77" spans="11:11" x14ac:dyDescent="0.3">
      <c r="K77" s="34"/>
    </row>
    <row r="78" spans="11:11" x14ac:dyDescent="0.3">
      <c r="K78" s="34"/>
    </row>
    <row r="79" spans="11:11" x14ac:dyDescent="0.3">
      <c r="K79" s="34"/>
    </row>
    <row r="80" spans="11:11" x14ac:dyDescent="0.3">
      <c r="K80" s="34"/>
    </row>
    <row r="81" spans="11:11" x14ac:dyDescent="0.3">
      <c r="K81" s="34"/>
    </row>
    <row r="82" spans="11:11" x14ac:dyDescent="0.3">
      <c r="K82" s="34"/>
    </row>
    <row r="83" spans="11:11" x14ac:dyDescent="0.3">
      <c r="K83" s="34"/>
    </row>
    <row r="84" spans="11:11" x14ac:dyDescent="0.3">
      <c r="K84" s="34"/>
    </row>
    <row r="85" spans="11:11" x14ac:dyDescent="0.3">
      <c r="K85" s="34"/>
    </row>
    <row r="86" spans="11:11" x14ac:dyDescent="0.3">
      <c r="K86" s="34"/>
    </row>
    <row r="87" spans="11:11" x14ac:dyDescent="0.3">
      <c r="K87" s="34"/>
    </row>
    <row r="88" spans="11:11" x14ac:dyDescent="0.3">
      <c r="K88" s="34"/>
    </row>
    <row r="89" spans="11:11" x14ac:dyDescent="0.3">
      <c r="K89" s="34"/>
    </row>
    <row r="90" spans="11:11" x14ac:dyDescent="0.3">
      <c r="K90" s="34"/>
    </row>
    <row r="91" spans="11:11" x14ac:dyDescent="0.3">
      <c r="K91" s="34"/>
    </row>
    <row r="92" spans="11:11" x14ac:dyDescent="0.3">
      <c r="K92" s="34"/>
    </row>
    <row r="93" spans="11:11" x14ac:dyDescent="0.3">
      <c r="K93" s="34"/>
    </row>
    <row r="94" spans="11:11" x14ac:dyDescent="0.3">
      <c r="K94" s="34"/>
    </row>
    <row r="95" spans="11:11" x14ac:dyDescent="0.3">
      <c r="K95" s="34"/>
    </row>
    <row r="96" spans="11:11" x14ac:dyDescent="0.3">
      <c r="K96" s="34"/>
    </row>
    <row r="97" spans="11:11" x14ac:dyDescent="0.3">
      <c r="K97" s="34"/>
    </row>
    <row r="98" spans="11:11" x14ac:dyDescent="0.3">
      <c r="K98" s="34"/>
    </row>
    <row r="99" spans="11:11" x14ac:dyDescent="0.3">
      <c r="K99" s="34"/>
    </row>
    <row r="100" spans="11:11" x14ac:dyDescent="0.3">
      <c r="K100" s="34"/>
    </row>
    <row r="101" spans="11:11" x14ac:dyDescent="0.3">
      <c r="K101" s="34"/>
    </row>
    <row r="102" spans="11:11" x14ac:dyDescent="0.3">
      <c r="K102" s="34"/>
    </row>
    <row r="103" spans="11:11" x14ac:dyDescent="0.3">
      <c r="K103" s="34"/>
    </row>
    <row r="104" spans="11:11" x14ac:dyDescent="0.3">
      <c r="K104" s="34"/>
    </row>
    <row r="105" spans="11:11" x14ac:dyDescent="0.3">
      <c r="K105" s="34"/>
    </row>
    <row r="106" spans="11:11" x14ac:dyDescent="0.3">
      <c r="K106" s="34"/>
    </row>
    <row r="107" spans="11:11" x14ac:dyDescent="0.3">
      <c r="K107" s="34"/>
    </row>
    <row r="108" spans="11:11" x14ac:dyDescent="0.3">
      <c r="K108" s="34"/>
    </row>
    <row r="109" spans="11:11" x14ac:dyDescent="0.3">
      <c r="K109" s="34"/>
    </row>
    <row r="110" spans="11:11" x14ac:dyDescent="0.3">
      <c r="K110" s="34"/>
    </row>
    <row r="111" spans="11:11" x14ac:dyDescent="0.3">
      <c r="K111" s="34"/>
    </row>
    <row r="112" spans="11:11" x14ac:dyDescent="0.3">
      <c r="K112" s="34"/>
    </row>
    <row r="113" spans="11:11" x14ac:dyDescent="0.3">
      <c r="K113" s="34"/>
    </row>
    <row r="114" spans="11:11" x14ac:dyDescent="0.3">
      <c r="K114" s="34"/>
    </row>
    <row r="115" spans="11:11" x14ac:dyDescent="0.3">
      <c r="K115" s="34"/>
    </row>
    <row r="116" spans="11:11" x14ac:dyDescent="0.3">
      <c r="K116" s="34"/>
    </row>
    <row r="117" spans="11:11" x14ac:dyDescent="0.3">
      <c r="K117" s="34"/>
    </row>
    <row r="118" spans="11:11" x14ac:dyDescent="0.3">
      <c r="K118" s="34"/>
    </row>
    <row r="119" spans="11:11" x14ac:dyDescent="0.3">
      <c r="K119" s="34"/>
    </row>
    <row r="120" spans="11:11" x14ac:dyDescent="0.3">
      <c r="K120" s="34"/>
    </row>
    <row r="121" spans="11:11" x14ac:dyDescent="0.3">
      <c r="K121" s="34"/>
    </row>
    <row r="122" spans="11:11" x14ac:dyDescent="0.3">
      <c r="K122" s="34"/>
    </row>
    <row r="123" spans="11:11" x14ac:dyDescent="0.3">
      <c r="K123" s="34"/>
    </row>
    <row r="124" spans="11:11" x14ac:dyDescent="0.3">
      <c r="K124" s="34"/>
    </row>
    <row r="125" spans="11:11" x14ac:dyDescent="0.3">
      <c r="K125" s="34"/>
    </row>
    <row r="126" spans="11:11" x14ac:dyDescent="0.3">
      <c r="K126" s="34"/>
    </row>
    <row r="127" spans="11:11" x14ac:dyDescent="0.3">
      <c r="K127" s="34"/>
    </row>
    <row r="128" spans="11:11" x14ac:dyDescent="0.3">
      <c r="K128" s="34"/>
    </row>
    <row r="129" spans="11:11" x14ac:dyDescent="0.3">
      <c r="K129" s="34"/>
    </row>
    <row r="130" spans="11:11" x14ac:dyDescent="0.3">
      <c r="K130" s="34"/>
    </row>
    <row r="131" spans="11:11" x14ac:dyDescent="0.3">
      <c r="K131" s="34"/>
    </row>
    <row r="132" spans="11:11" x14ac:dyDescent="0.3">
      <c r="K132" s="34"/>
    </row>
    <row r="133" spans="11:11" x14ac:dyDescent="0.3">
      <c r="K133" s="34"/>
    </row>
    <row r="134" spans="11:11" x14ac:dyDescent="0.3">
      <c r="K134" s="34"/>
    </row>
    <row r="135" spans="11:11" x14ac:dyDescent="0.3">
      <c r="K135" s="34"/>
    </row>
    <row r="136" spans="11:11" x14ac:dyDescent="0.3">
      <c r="K136" s="34"/>
    </row>
    <row r="137" spans="11:11" x14ac:dyDescent="0.3">
      <c r="K137" s="34"/>
    </row>
    <row r="138" spans="11:11" x14ac:dyDescent="0.3">
      <c r="K138" s="34"/>
    </row>
    <row r="139" spans="11:11" x14ac:dyDescent="0.3">
      <c r="K139" s="34"/>
    </row>
    <row r="140" spans="11:11" x14ac:dyDescent="0.3">
      <c r="K140" s="34"/>
    </row>
    <row r="141" spans="11:11" x14ac:dyDescent="0.3">
      <c r="K141" s="34"/>
    </row>
    <row r="142" spans="11:11" x14ac:dyDescent="0.3">
      <c r="K142" s="34"/>
    </row>
    <row r="143" spans="11:11" x14ac:dyDescent="0.3">
      <c r="K143" s="34"/>
    </row>
    <row r="144" spans="11:11" x14ac:dyDescent="0.3">
      <c r="K144" s="34"/>
    </row>
    <row r="145" spans="11:11" x14ac:dyDescent="0.3">
      <c r="K145" s="34"/>
    </row>
    <row r="146" spans="11:11" x14ac:dyDescent="0.3">
      <c r="K146" s="34"/>
    </row>
    <row r="147" spans="11:11" x14ac:dyDescent="0.3">
      <c r="K147" s="34"/>
    </row>
    <row r="148" spans="11:11" x14ac:dyDescent="0.3">
      <c r="K148" s="34"/>
    </row>
    <row r="149" spans="11:11" x14ac:dyDescent="0.3">
      <c r="K149" s="34"/>
    </row>
    <row r="150" spans="11:11" x14ac:dyDescent="0.3">
      <c r="K150" s="34"/>
    </row>
    <row r="151" spans="11:11" x14ac:dyDescent="0.3">
      <c r="K151" s="34"/>
    </row>
    <row r="152" spans="11:11" x14ac:dyDescent="0.3">
      <c r="K152" s="34"/>
    </row>
    <row r="153" spans="11:11" x14ac:dyDescent="0.3">
      <c r="K153" s="34"/>
    </row>
    <row r="154" spans="11:11" x14ac:dyDescent="0.3">
      <c r="K154" s="34"/>
    </row>
    <row r="155" spans="11:11" x14ac:dyDescent="0.3">
      <c r="K155" s="34"/>
    </row>
    <row r="156" spans="11:11" x14ac:dyDescent="0.3">
      <c r="K156" s="34"/>
    </row>
    <row r="157" spans="11:11" x14ac:dyDescent="0.3">
      <c r="K157" s="34"/>
    </row>
    <row r="158" spans="11:11" x14ac:dyDescent="0.3">
      <c r="K158" s="34"/>
    </row>
    <row r="159" spans="11:11" x14ac:dyDescent="0.3">
      <c r="K159" s="34"/>
    </row>
    <row r="160" spans="11:11" x14ac:dyDescent="0.3">
      <c r="K160" s="34"/>
    </row>
    <row r="161" spans="11:11" x14ac:dyDescent="0.3">
      <c r="K161" s="34"/>
    </row>
    <row r="162" spans="11:11" x14ac:dyDescent="0.3">
      <c r="K162" s="34"/>
    </row>
    <row r="163" spans="11:11" x14ac:dyDescent="0.3">
      <c r="K163" s="34"/>
    </row>
    <row r="164" spans="11:11" x14ac:dyDescent="0.3">
      <c r="K164" s="34"/>
    </row>
    <row r="165" spans="11:11" x14ac:dyDescent="0.3">
      <c r="K165" s="34"/>
    </row>
    <row r="166" spans="11:11" x14ac:dyDescent="0.3">
      <c r="K166" s="34"/>
    </row>
    <row r="167" spans="11:11" x14ac:dyDescent="0.3">
      <c r="K167" s="34"/>
    </row>
    <row r="168" spans="11:11" x14ac:dyDescent="0.3">
      <c r="K168" s="34"/>
    </row>
    <row r="169" spans="11:11" x14ac:dyDescent="0.3">
      <c r="K169" s="34"/>
    </row>
    <row r="170" spans="11:11" x14ac:dyDescent="0.3">
      <c r="K170" s="34"/>
    </row>
    <row r="171" spans="11:11" x14ac:dyDescent="0.3">
      <c r="K171" s="34"/>
    </row>
    <row r="172" spans="11:11" x14ac:dyDescent="0.3">
      <c r="K172" s="34"/>
    </row>
    <row r="173" spans="11:11" x14ac:dyDescent="0.3">
      <c r="K173" s="34"/>
    </row>
    <row r="174" spans="11:11" x14ac:dyDescent="0.3">
      <c r="K174" s="34"/>
    </row>
    <row r="175" spans="11:11" x14ac:dyDescent="0.3">
      <c r="K175" s="34"/>
    </row>
    <row r="176" spans="11:11" x14ac:dyDescent="0.3">
      <c r="K176" s="34"/>
    </row>
    <row r="177" spans="11:11" x14ac:dyDescent="0.3">
      <c r="K177" s="34"/>
    </row>
    <row r="178" spans="11:11" x14ac:dyDescent="0.3">
      <c r="K178" s="34"/>
    </row>
    <row r="179" spans="11:11" x14ac:dyDescent="0.3">
      <c r="K179" s="34"/>
    </row>
    <row r="180" spans="11:11" x14ac:dyDescent="0.3">
      <c r="K180" s="34"/>
    </row>
    <row r="181" spans="11:11" x14ac:dyDescent="0.3">
      <c r="K181" s="34"/>
    </row>
    <row r="182" spans="11:11" x14ac:dyDescent="0.3">
      <c r="K182" s="34"/>
    </row>
    <row r="183" spans="11:11" x14ac:dyDescent="0.3">
      <c r="K183" s="34"/>
    </row>
    <row r="184" spans="11:11" x14ac:dyDescent="0.3">
      <c r="K184" s="34"/>
    </row>
    <row r="185" spans="11:11" x14ac:dyDescent="0.3">
      <c r="K185" s="34"/>
    </row>
    <row r="186" spans="11:11" x14ac:dyDescent="0.3">
      <c r="K186" s="34"/>
    </row>
    <row r="187" spans="11:11" x14ac:dyDescent="0.3">
      <c r="K187" s="34"/>
    </row>
    <row r="188" spans="11:11" x14ac:dyDescent="0.3">
      <c r="K188" s="34"/>
    </row>
    <row r="189" spans="11:11" x14ac:dyDescent="0.3">
      <c r="K189" s="34"/>
    </row>
    <row r="190" spans="11:11" x14ac:dyDescent="0.3">
      <c r="K190" s="34"/>
    </row>
    <row r="191" spans="11:11" x14ac:dyDescent="0.3">
      <c r="K191" s="34"/>
    </row>
    <row r="192" spans="11:11" x14ac:dyDescent="0.3">
      <c r="K192" s="34"/>
    </row>
    <row r="193" spans="11:11" x14ac:dyDescent="0.3">
      <c r="K193" s="34"/>
    </row>
    <row r="194" spans="11:11" x14ac:dyDescent="0.3">
      <c r="K194" s="34"/>
    </row>
    <row r="195" spans="11:11" x14ac:dyDescent="0.3">
      <c r="K195" s="34"/>
    </row>
    <row r="196" spans="11:11" x14ac:dyDescent="0.3">
      <c r="K196" s="34"/>
    </row>
    <row r="197" spans="11:11" x14ac:dyDescent="0.3">
      <c r="K197" s="34"/>
    </row>
    <row r="198" spans="11:11" x14ac:dyDescent="0.3">
      <c r="K198" s="34"/>
    </row>
    <row r="199" spans="11:11" x14ac:dyDescent="0.3">
      <c r="K199" s="34"/>
    </row>
    <row r="200" spans="11:11" x14ac:dyDescent="0.3">
      <c r="K200" s="34"/>
    </row>
    <row r="201" spans="11:11" x14ac:dyDescent="0.3">
      <c r="K201" s="34"/>
    </row>
    <row r="202" spans="11:11" x14ac:dyDescent="0.3">
      <c r="K202" s="34"/>
    </row>
    <row r="203" spans="11:11" x14ac:dyDescent="0.3">
      <c r="K203" s="34"/>
    </row>
    <row r="204" spans="11:11" x14ac:dyDescent="0.3">
      <c r="K204" s="34"/>
    </row>
    <row r="205" spans="11:11" x14ac:dyDescent="0.3">
      <c r="K205" s="34"/>
    </row>
    <row r="206" spans="11:11" x14ac:dyDescent="0.3">
      <c r="K206" s="34"/>
    </row>
    <row r="207" spans="11:11" x14ac:dyDescent="0.3">
      <c r="K207" s="34"/>
    </row>
    <row r="208" spans="11:11" x14ac:dyDescent="0.3">
      <c r="K208" s="34"/>
    </row>
    <row r="209" spans="11:11" x14ac:dyDescent="0.3">
      <c r="K209" s="34"/>
    </row>
    <row r="210" spans="11:11" x14ac:dyDescent="0.3">
      <c r="K210" s="34"/>
    </row>
    <row r="211" spans="11:11" x14ac:dyDescent="0.3">
      <c r="K211" s="34"/>
    </row>
    <row r="212" spans="11:11" x14ac:dyDescent="0.3">
      <c r="K212" s="34"/>
    </row>
    <row r="213" spans="11:11" x14ac:dyDescent="0.3">
      <c r="K213" s="34"/>
    </row>
    <row r="214" spans="11:11" x14ac:dyDescent="0.3">
      <c r="K214" s="34"/>
    </row>
    <row r="215" spans="11:11" x14ac:dyDescent="0.3">
      <c r="K215" s="34"/>
    </row>
    <row r="216" spans="11:11" x14ac:dyDescent="0.3">
      <c r="K216" s="34"/>
    </row>
    <row r="217" spans="11:11" x14ac:dyDescent="0.3">
      <c r="K217" s="34"/>
    </row>
    <row r="218" spans="11:11" x14ac:dyDescent="0.3">
      <c r="K218" s="34"/>
    </row>
    <row r="219" spans="11:11" x14ac:dyDescent="0.3">
      <c r="K219" s="34"/>
    </row>
    <row r="220" spans="11:11" x14ac:dyDescent="0.3">
      <c r="K220" s="34"/>
    </row>
    <row r="221" spans="11:11" x14ac:dyDescent="0.3">
      <c r="K221" s="34"/>
    </row>
    <row r="222" spans="11:11" x14ac:dyDescent="0.3">
      <c r="K222" s="34"/>
    </row>
    <row r="223" spans="11:11" x14ac:dyDescent="0.3">
      <c r="K223" s="34"/>
    </row>
    <row r="224" spans="11:11" x14ac:dyDescent="0.3">
      <c r="K224" s="34"/>
    </row>
    <row r="225" spans="11:11" x14ac:dyDescent="0.3">
      <c r="K225" s="34"/>
    </row>
    <row r="226" spans="11:11" x14ac:dyDescent="0.3">
      <c r="K226" s="34"/>
    </row>
    <row r="227" spans="11:11" x14ac:dyDescent="0.3">
      <c r="K227" s="34"/>
    </row>
    <row r="228" spans="11:11" x14ac:dyDescent="0.3">
      <c r="K228" s="34"/>
    </row>
    <row r="229" spans="11:11" x14ac:dyDescent="0.3">
      <c r="K229" s="34"/>
    </row>
    <row r="230" spans="11:11" x14ac:dyDescent="0.3">
      <c r="K230" s="34"/>
    </row>
    <row r="231" spans="11:11" x14ac:dyDescent="0.3">
      <c r="K231" s="34"/>
    </row>
    <row r="232" spans="11:11" x14ac:dyDescent="0.3">
      <c r="K232" s="34"/>
    </row>
    <row r="233" spans="11:11" x14ac:dyDescent="0.3">
      <c r="K233" s="34"/>
    </row>
    <row r="234" spans="11:11" x14ac:dyDescent="0.3">
      <c r="K234" s="34"/>
    </row>
    <row r="235" spans="11:11" x14ac:dyDescent="0.3">
      <c r="K235" s="34"/>
    </row>
    <row r="236" spans="11:11" x14ac:dyDescent="0.3">
      <c r="K236" s="34"/>
    </row>
    <row r="237" spans="11:11" x14ac:dyDescent="0.3">
      <c r="K237" s="34"/>
    </row>
    <row r="238" spans="11:11" x14ac:dyDescent="0.3">
      <c r="K238" s="34"/>
    </row>
    <row r="239" spans="11:11" x14ac:dyDescent="0.3">
      <c r="K239" s="34"/>
    </row>
    <row r="240" spans="11:11" x14ac:dyDescent="0.3">
      <c r="K240" s="34"/>
    </row>
    <row r="241" spans="11:11" x14ac:dyDescent="0.3">
      <c r="K241" s="34"/>
    </row>
    <row r="242" spans="11:11" x14ac:dyDescent="0.3">
      <c r="K242" s="34"/>
    </row>
    <row r="243" spans="11:11" x14ac:dyDescent="0.3">
      <c r="K243" s="34"/>
    </row>
    <row r="244" spans="11:11" x14ac:dyDescent="0.3">
      <c r="K244" s="34"/>
    </row>
    <row r="245" spans="11:11" x14ac:dyDescent="0.3">
      <c r="K245" s="34"/>
    </row>
    <row r="246" spans="11:11" x14ac:dyDescent="0.3">
      <c r="K246" s="34"/>
    </row>
    <row r="247" spans="11:11" x14ac:dyDescent="0.3">
      <c r="K247" s="34"/>
    </row>
    <row r="248" spans="11:11" x14ac:dyDescent="0.3">
      <c r="K248" s="34"/>
    </row>
    <row r="249" spans="11:11" x14ac:dyDescent="0.3">
      <c r="K249" s="34"/>
    </row>
    <row r="250" spans="11:11" x14ac:dyDescent="0.3">
      <c r="K250" s="34"/>
    </row>
    <row r="251" spans="11:11" x14ac:dyDescent="0.3">
      <c r="K251" s="34"/>
    </row>
    <row r="252" spans="11:11" x14ac:dyDescent="0.3">
      <c r="K252" s="34"/>
    </row>
    <row r="253" spans="11:11" x14ac:dyDescent="0.3">
      <c r="K253" s="34"/>
    </row>
    <row r="254" spans="11:11" x14ac:dyDescent="0.3">
      <c r="K254" s="34"/>
    </row>
    <row r="255" spans="11:11" x14ac:dyDescent="0.3">
      <c r="K255" s="34"/>
    </row>
    <row r="256" spans="11:11" x14ac:dyDescent="0.3">
      <c r="K256" s="34"/>
    </row>
    <row r="257" spans="11:11" x14ac:dyDescent="0.3">
      <c r="K257" s="34"/>
    </row>
    <row r="258" spans="11:11" x14ac:dyDescent="0.3">
      <c r="K258" s="34"/>
    </row>
    <row r="259" spans="11:11" x14ac:dyDescent="0.3">
      <c r="K259" s="34"/>
    </row>
    <row r="260" spans="11:11" x14ac:dyDescent="0.3">
      <c r="K260" s="34"/>
    </row>
    <row r="261" spans="11:11" x14ac:dyDescent="0.3">
      <c r="K261" s="34"/>
    </row>
    <row r="262" spans="11:11" x14ac:dyDescent="0.3">
      <c r="K262" s="34"/>
    </row>
    <row r="263" spans="11:11" x14ac:dyDescent="0.3">
      <c r="K263" s="34"/>
    </row>
    <row r="264" spans="11:11" x14ac:dyDescent="0.3">
      <c r="K264" s="34"/>
    </row>
    <row r="265" spans="11:11" x14ac:dyDescent="0.3">
      <c r="K265" s="34"/>
    </row>
    <row r="266" spans="11:11" x14ac:dyDescent="0.3">
      <c r="K266" s="34"/>
    </row>
    <row r="267" spans="11:11" x14ac:dyDescent="0.3">
      <c r="K267" s="34"/>
    </row>
    <row r="268" spans="11:11" x14ac:dyDescent="0.3">
      <c r="K268" s="34"/>
    </row>
    <row r="269" spans="11:11" x14ac:dyDescent="0.3">
      <c r="K269" s="34"/>
    </row>
    <row r="270" spans="11:11" x14ac:dyDescent="0.3">
      <c r="K270" s="34"/>
    </row>
    <row r="271" spans="11:11" x14ac:dyDescent="0.3">
      <c r="K271" s="34"/>
    </row>
    <row r="272" spans="11:11" x14ac:dyDescent="0.3">
      <c r="K272" s="34"/>
    </row>
    <row r="273" spans="11:11" x14ac:dyDescent="0.3">
      <c r="K273" s="34"/>
    </row>
    <row r="274" spans="11:11" x14ac:dyDescent="0.3">
      <c r="K274" s="34"/>
    </row>
    <row r="275" spans="11:11" x14ac:dyDescent="0.3">
      <c r="K275" s="34"/>
    </row>
    <row r="276" spans="11:11" x14ac:dyDescent="0.3">
      <c r="K276" s="34"/>
    </row>
    <row r="277" spans="11:11" x14ac:dyDescent="0.3">
      <c r="K277" s="34"/>
    </row>
    <row r="278" spans="11:11" x14ac:dyDescent="0.3">
      <c r="K278" s="34"/>
    </row>
    <row r="279" spans="11:11" x14ac:dyDescent="0.3">
      <c r="K279" s="34"/>
    </row>
    <row r="280" spans="11:11" x14ac:dyDescent="0.3">
      <c r="K280" s="34"/>
    </row>
    <row r="281" spans="11:11" x14ac:dyDescent="0.3">
      <c r="K281" s="34"/>
    </row>
    <row r="282" spans="11:11" x14ac:dyDescent="0.3">
      <c r="K282" s="34"/>
    </row>
    <row r="283" spans="11:11" x14ac:dyDescent="0.3">
      <c r="K283" s="34"/>
    </row>
    <row r="284" spans="11:11" x14ac:dyDescent="0.3">
      <c r="K284" s="34"/>
    </row>
    <row r="285" spans="11:11" x14ac:dyDescent="0.3">
      <c r="K285" s="34"/>
    </row>
    <row r="286" spans="11:11" x14ac:dyDescent="0.3">
      <c r="K286" s="34"/>
    </row>
    <row r="287" spans="11:11" x14ac:dyDescent="0.3">
      <c r="K287" s="34"/>
    </row>
    <row r="288" spans="11:11" x14ac:dyDescent="0.3">
      <c r="K288" s="34"/>
    </row>
    <row r="289" spans="11:11" x14ac:dyDescent="0.3">
      <c r="K289" s="34"/>
    </row>
    <row r="290" spans="11:11" x14ac:dyDescent="0.3">
      <c r="K290" s="34"/>
    </row>
    <row r="291" spans="11:11" x14ac:dyDescent="0.3">
      <c r="K291" s="34"/>
    </row>
    <row r="292" spans="11:11" x14ac:dyDescent="0.3">
      <c r="K292" s="34"/>
    </row>
    <row r="293" spans="11:11" x14ac:dyDescent="0.3">
      <c r="K293" s="34"/>
    </row>
    <row r="294" spans="11:11" x14ac:dyDescent="0.3">
      <c r="K294" s="34"/>
    </row>
    <row r="295" spans="11:11" x14ac:dyDescent="0.3">
      <c r="K295" s="34"/>
    </row>
    <row r="296" spans="11:11" x14ac:dyDescent="0.3">
      <c r="K296" s="34"/>
    </row>
    <row r="297" spans="11:11" x14ac:dyDescent="0.3">
      <c r="K297" s="34"/>
    </row>
    <row r="298" spans="11:11" x14ac:dyDescent="0.3">
      <c r="K298" s="34"/>
    </row>
    <row r="299" spans="11:11" x14ac:dyDescent="0.3">
      <c r="K299" s="34"/>
    </row>
    <row r="300" spans="11:11" x14ac:dyDescent="0.3">
      <c r="K300" s="34"/>
    </row>
    <row r="301" spans="11:11" x14ac:dyDescent="0.3">
      <c r="K301" s="34"/>
    </row>
    <row r="302" spans="11:11" x14ac:dyDescent="0.3">
      <c r="K302" s="34"/>
    </row>
    <row r="303" spans="11:11" x14ac:dyDescent="0.3">
      <c r="K303" s="34"/>
    </row>
    <row r="304" spans="11:11" x14ac:dyDescent="0.3">
      <c r="K304" s="34"/>
    </row>
    <row r="305" spans="11:11" x14ac:dyDescent="0.3">
      <c r="K305" s="34"/>
    </row>
    <row r="306" spans="11:11" x14ac:dyDescent="0.3">
      <c r="K306" s="34"/>
    </row>
    <row r="307" spans="11:11" x14ac:dyDescent="0.3">
      <c r="K307" s="34"/>
    </row>
    <row r="308" spans="11:11" x14ac:dyDescent="0.3">
      <c r="K308" s="34"/>
    </row>
    <row r="309" spans="11:11" x14ac:dyDescent="0.3">
      <c r="K309" s="34"/>
    </row>
    <row r="310" spans="11:11" x14ac:dyDescent="0.3">
      <c r="K310" s="34"/>
    </row>
    <row r="311" spans="11:11" x14ac:dyDescent="0.3">
      <c r="K311" s="34"/>
    </row>
    <row r="312" spans="11:11" x14ac:dyDescent="0.3">
      <c r="K312" s="34"/>
    </row>
    <row r="313" spans="11:11" x14ac:dyDescent="0.3">
      <c r="K313" s="34"/>
    </row>
    <row r="314" spans="11:11" x14ac:dyDescent="0.3">
      <c r="K314" s="34"/>
    </row>
    <row r="315" spans="11:11" x14ac:dyDescent="0.3">
      <c r="K315" s="34"/>
    </row>
    <row r="316" spans="11:11" x14ac:dyDescent="0.3">
      <c r="K316" s="34"/>
    </row>
    <row r="317" spans="11:11" x14ac:dyDescent="0.3">
      <c r="K317" s="34"/>
    </row>
    <row r="318" spans="11:11" x14ac:dyDescent="0.3">
      <c r="K318" s="34"/>
    </row>
    <row r="319" spans="11:11" x14ac:dyDescent="0.3">
      <c r="K319" s="34"/>
    </row>
    <row r="320" spans="11:11" x14ac:dyDescent="0.3">
      <c r="K320" s="34"/>
    </row>
    <row r="321" spans="11:11" x14ac:dyDescent="0.3">
      <c r="K321" s="34"/>
    </row>
    <row r="322" spans="11:11" x14ac:dyDescent="0.3">
      <c r="K322" s="34"/>
    </row>
    <row r="323" spans="11:11" x14ac:dyDescent="0.3">
      <c r="K323" s="34"/>
    </row>
    <row r="324" spans="11:11" x14ac:dyDescent="0.3">
      <c r="K324" s="34"/>
    </row>
    <row r="325" spans="11:11" x14ac:dyDescent="0.3">
      <c r="K325" s="34"/>
    </row>
    <row r="326" spans="11:11" x14ac:dyDescent="0.3">
      <c r="K326" s="34"/>
    </row>
    <row r="327" spans="11:11" x14ac:dyDescent="0.3">
      <c r="K327" s="34"/>
    </row>
    <row r="328" spans="11:11" x14ac:dyDescent="0.3">
      <c r="K328" s="34"/>
    </row>
    <row r="329" spans="11:11" x14ac:dyDescent="0.3">
      <c r="K329" s="34"/>
    </row>
    <row r="330" spans="11:11" x14ac:dyDescent="0.3">
      <c r="K330" s="34"/>
    </row>
    <row r="331" spans="11:11" x14ac:dyDescent="0.3">
      <c r="K331" s="34"/>
    </row>
    <row r="332" spans="11:11" x14ac:dyDescent="0.3">
      <c r="K332" s="34"/>
    </row>
    <row r="333" spans="11:11" x14ac:dyDescent="0.3">
      <c r="K333" s="34"/>
    </row>
    <row r="334" spans="11:11" x14ac:dyDescent="0.3">
      <c r="K334" s="34"/>
    </row>
    <row r="335" spans="11:11" x14ac:dyDescent="0.3">
      <c r="K335" s="34"/>
    </row>
    <row r="336" spans="11:11" x14ac:dyDescent="0.3">
      <c r="K336" s="34"/>
    </row>
    <row r="337" spans="11:11" x14ac:dyDescent="0.3">
      <c r="K337" s="34"/>
    </row>
    <row r="338" spans="11:11" x14ac:dyDescent="0.3">
      <c r="K338" s="34"/>
    </row>
    <row r="339" spans="11:11" x14ac:dyDescent="0.3">
      <c r="K339" s="34"/>
    </row>
    <row r="340" spans="11:11" x14ac:dyDescent="0.3">
      <c r="K340" s="34"/>
    </row>
    <row r="341" spans="11:11" x14ac:dyDescent="0.3">
      <c r="K341" s="34"/>
    </row>
    <row r="342" spans="11:11" x14ac:dyDescent="0.3">
      <c r="K342" s="34"/>
    </row>
    <row r="343" spans="11:11" x14ac:dyDescent="0.3">
      <c r="K343" s="34"/>
    </row>
    <row r="344" spans="11:11" x14ac:dyDescent="0.3">
      <c r="K344" s="34"/>
    </row>
    <row r="345" spans="11:11" x14ac:dyDescent="0.3">
      <c r="K345" s="34"/>
    </row>
    <row r="346" spans="11:11" x14ac:dyDescent="0.3">
      <c r="K346" s="34"/>
    </row>
    <row r="347" spans="11:11" x14ac:dyDescent="0.3">
      <c r="K347" s="34"/>
    </row>
    <row r="348" spans="11:11" x14ac:dyDescent="0.3">
      <c r="K348" s="34"/>
    </row>
    <row r="349" spans="11:11" x14ac:dyDescent="0.3">
      <c r="K349" s="34"/>
    </row>
    <row r="350" spans="11:11" x14ac:dyDescent="0.3">
      <c r="K350" s="34"/>
    </row>
    <row r="351" spans="11:11" x14ac:dyDescent="0.3">
      <c r="K351" s="34"/>
    </row>
    <row r="352" spans="11:11" x14ac:dyDescent="0.3">
      <c r="K352" s="34"/>
    </row>
    <row r="353" spans="11:11" x14ac:dyDescent="0.3">
      <c r="K353" s="34"/>
    </row>
    <row r="354" spans="11:11" x14ac:dyDescent="0.3">
      <c r="K354" s="34"/>
    </row>
    <row r="355" spans="11:11" x14ac:dyDescent="0.3">
      <c r="K355" s="34"/>
    </row>
    <row r="356" spans="11:11" x14ac:dyDescent="0.3">
      <c r="K356" s="34"/>
    </row>
    <row r="357" spans="11:11" x14ac:dyDescent="0.3">
      <c r="K357" s="34"/>
    </row>
    <row r="358" spans="11:11" x14ac:dyDescent="0.3">
      <c r="K358" s="34"/>
    </row>
    <row r="359" spans="11:11" x14ac:dyDescent="0.3">
      <c r="K359" s="34"/>
    </row>
    <row r="360" spans="11:11" x14ac:dyDescent="0.3">
      <c r="K360" s="34"/>
    </row>
    <row r="361" spans="11:11" x14ac:dyDescent="0.3">
      <c r="K361" s="34"/>
    </row>
    <row r="362" spans="11:11" x14ac:dyDescent="0.3">
      <c r="K362" s="34"/>
    </row>
    <row r="363" spans="11:11" x14ac:dyDescent="0.3">
      <c r="K363" s="34"/>
    </row>
    <row r="364" spans="11:11" x14ac:dyDescent="0.3">
      <c r="K364" s="34"/>
    </row>
    <row r="365" spans="11:11" x14ac:dyDescent="0.3">
      <c r="K365" s="34"/>
    </row>
    <row r="366" spans="11:11" x14ac:dyDescent="0.3">
      <c r="K366" s="34"/>
    </row>
    <row r="367" spans="11:11" x14ac:dyDescent="0.3">
      <c r="K367" s="34"/>
    </row>
    <row r="368" spans="11:11" x14ac:dyDescent="0.3">
      <c r="K368" s="34"/>
    </row>
    <row r="369" spans="11:11" x14ac:dyDescent="0.3">
      <c r="K369" s="34"/>
    </row>
    <row r="370" spans="11:11" x14ac:dyDescent="0.3">
      <c r="K370" s="34"/>
    </row>
    <row r="371" spans="11:11" x14ac:dyDescent="0.3">
      <c r="K371" s="34"/>
    </row>
    <row r="372" spans="11:11" x14ac:dyDescent="0.3">
      <c r="K372" s="34"/>
    </row>
    <row r="373" spans="11:11" x14ac:dyDescent="0.3">
      <c r="K373" s="34"/>
    </row>
    <row r="374" spans="11:11" x14ac:dyDescent="0.3">
      <c r="K374" s="34"/>
    </row>
    <row r="375" spans="11:11" x14ac:dyDescent="0.3">
      <c r="K375" s="34"/>
    </row>
    <row r="376" spans="11:11" x14ac:dyDescent="0.3">
      <c r="K376" s="34"/>
    </row>
    <row r="377" spans="11:11" x14ac:dyDescent="0.3">
      <c r="K377" s="34"/>
    </row>
    <row r="378" spans="11:11" x14ac:dyDescent="0.3">
      <c r="K378" s="34"/>
    </row>
    <row r="379" spans="11:11" x14ac:dyDescent="0.3">
      <c r="K379" s="34"/>
    </row>
    <row r="380" spans="11:11" x14ac:dyDescent="0.3">
      <c r="K380" s="34"/>
    </row>
    <row r="381" spans="11:11" x14ac:dyDescent="0.3">
      <c r="K381" s="34"/>
    </row>
    <row r="382" spans="11:11" x14ac:dyDescent="0.3">
      <c r="K382" s="34"/>
    </row>
    <row r="383" spans="11:11" x14ac:dyDescent="0.3">
      <c r="K383" s="34"/>
    </row>
    <row r="384" spans="11:11" x14ac:dyDescent="0.3">
      <c r="K384" s="34"/>
    </row>
    <row r="385" spans="11:11" x14ac:dyDescent="0.3">
      <c r="K385" s="34"/>
    </row>
    <row r="386" spans="11:11" x14ac:dyDescent="0.3">
      <c r="K386" s="34"/>
    </row>
    <row r="387" spans="11:11" x14ac:dyDescent="0.3">
      <c r="K387" s="34"/>
    </row>
    <row r="388" spans="11:11" x14ac:dyDescent="0.3">
      <c r="K388" s="34"/>
    </row>
    <row r="389" spans="11:11" x14ac:dyDescent="0.3">
      <c r="K389" s="34"/>
    </row>
    <row r="390" spans="11:11" x14ac:dyDescent="0.3">
      <c r="K390" s="34"/>
    </row>
    <row r="391" spans="11:11" x14ac:dyDescent="0.3">
      <c r="K391" s="34"/>
    </row>
    <row r="392" spans="11:11" x14ac:dyDescent="0.3">
      <c r="K392" s="34"/>
    </row>
    <row r="393" spans="11:11" x14ac:dyDescent="0.3">
      <c r="K393" s="34"/>
    </row>
    <row r="394" spans="11:11" x14ac:dyDescent="0.3">
      <c r="K394" s="34"/>
    </row>
    <row r="395" spans="11:11" x14ac:dyDescent="0.3">
      <c r="K395" s="34"/>
    </row>
    <row r="396" spans="11:11" x14ac:dyDescent="0.3">
      <c r="K396" s="34"/>
    </row>
    <row r="397" spans="11:11" x14ac:dyDescent="0.3">
      <c r="K397" s="34"/>
    </row>
    <row r="398" spans="11:11" x14ac:dyDescent="0.3">
      <c r="K398" s="34"/>
    </row>
    <row r="399" spans="11:11" x14ac:dyDescent="0.3">
      <c r="K399" s="34"/>
    </row>
    <row r="400" spans="11:11" x14ac:dyDescent="0.3">
      <c r="K400" s="34"/>
    </row>
    <row r="401" spans="11:11" x14ac:dyDescent="0.3">
      <c r="K401" s="34"/>
    </row>
    <row r="402" spans="11:11" x14ac:dyDescent="0.3">
      <c r="K402" s="34"/>
    </row>
    <row r="403" spans="11:11" x14ac:dyDescent="0.3">
      <c r="K403" s="34"/>
    </row>
    <row r="404" spans="11:11" x14ac:dyDescent="0.3">
      <c r="K404" s="34"/>
    </row>
    <row r="405" spans="11:11" x14ac:dyDescent="0.3">
      <c r="K405" s="34"/>
    </row>
    <row r="406" spans="11:11" x14ac:dyDescent="0.3">
      <c r="K406" s="34"/>
    </row>
    <row r="407" spans="11:11" x14ac:dyDescent="0.3">
      <c r="K407" s="34"/>
    </row>
    <row r="408" spans="11:11" x14ac:dyDescent="0.3">
      <c r="K408" s="34"/>
    </row>
    <row r="409" spans="11:11" x14ac:dyDescent="0.3">
      <c r="K409" s="34"/>
    </row>
    <row r="410" spans="11:11" x14ac:dyDescent="0.3">
      <c r="K410" s="34"/>
    </row>
    <row r="411" spans="11:11" x14ac:dyDescent="0.3">
      <c r="K411" s="34"/>
    </row>
    <row r="412" spans="11:11" x14ac:dyDescent="0.3">
      <c r="K412" s="34"/>
    </row>
    <row r="413" spans="11:11" x14ac:dyDescent="0.3">
      <c r="K413" s="34"/>
    </row>
    <row r="414" spans="11:11" x14ac:dyDescent="0.3">
      <c r="K414" s="34"/>
    </row>
    <row r="415" spans="11:11" x14ac:dyDescent="0.3">
      <c r="K415" s="34"/>
    </row>
    <row r="416" spans="11:11" x14ac:dyDescent="0.3">
      <c r="K416" s="34"/>
    </row>
    <row r="417" spans="11:11" x14ac:dyDescent="0.3">
      <c r="K417" s="34"/>
    </row>
    <row r="418" spans="11:11" x14ac:dyDescent="0.3">
      <c r="K418" s="34"/>
    </row>
    <row r="419" spans="11:11" x14ac:dyDescent="0.3">
      <c r="K419" s="34"/>
    </row>
    <row r="420" spans="11:11" x14ac:dyDescent="0.3">
      <c r="K420" s="34"/>
    </row>
    <row r="421" spans="11:11" x14ac:dyDescent="0.3">
      <c r="K421" s="34"/>
    </row>
    <row r="422" spans="11:11" x14ac:dyDescent="0.3">
      <c r="K422" s="34"/>
    </row>
    <row r="423" spans="11:11" x14ac:dyDescent="0.3">
      <c r="K423" s="34"/>
    </row>
    <row r="424" spans="11:11" x14ac:dyDescent="0.3">
      <c r="K424" s="34"/>
    </row>
    <row r="425" spans="11:11" x14ac:dyDescent="0.3">
      <c r="K425" s="34"/>
    </row>
    <row r="426" spans="11:11" x14ac:dyDescent="0.3">
      <c r="K426" s="34"/>
    </row>
    <row r="427" spans="11:11" x14ac:dyDescent="0.3">
      <c r="K427" s="34"/>
    </row>
    <row r="428" spans="11:11" x14ac:dyDescent="0.3">
      <c r="K428" s="34"/>
    </row>
    <row r="429" spans="11:11" x14ac:dyDescent="0.3">
      <c r="K429" s="34"/>
    </row>
    <row r="430" spans="11:11" x14ac:dyDescent="0.3">
      <c r="K430" s="34"/>
    </row>
    <row r="431" spans="11:11" x14ac:dyDescent="0.3">
      <c r="K431" s="34"/>
    </row>
    <row r="432" spans="11:11" x14ac:dyDescent="0.3">
      <c r="K432" s="34"/>
    </row>
    <row r="433" spans="11:11" x14ac:dyDescent="0.3">
      <c r="K433" s="34"/>
    </row>
    <row r="434" spans="11:11" x14ac:dyDescent="0.3">
      <c r="K434" s="34"/>
    </row>
    <row r="435" spans="11:11" x14ac:dyDescent="0.3">
      <c r="K435" s="34"/>
    </row>
    <row r="436" spans="11:11" x14ac:dyDescent="0.3">
      <c r="K436" s="34"/>
    </row>
    <row r="437" spans="11:11" x14ac:dyDescent="0.3">
      <c r="K437" s="34"/>
    </row>
    <row r="438" spans="11:11" x14ac:dyDescent="0.3">
      <c r="K438" s="34"/>
    </row>
    <row r="439" spans="11:11" x14ac:dyDescent="0.3">
      <c r="K439" s="34"/>
    </row>
    <row r="440" spans="11:11" x14ac:dyDescent="0.3">
      <c r="K440" s="34"/>
    </row>
    <row r="441" spans="11:11" x14ac:dyDescent="0.3">
      <c r="K441" s="34"/>
    </row>
    <row r="442" spans="11:11" x14ac:dyDescent="0.3">
      <c r="K442" s="34"/>
    </row>
    <row r="443" spans="11:11" x14ac:dyDescent="0.3">
      <c r="K443" s="34"/>
    </row>
    <row r="444" spans="11:11" x14ac:dyDescent="0.3">
      <c r="K444" s="34"/>
    </row>
    <row r="445" spans="11:11" x14ac:dyDescent="0.3">
      <c r="K445" s="34"/>
    </row>
    <row r="446" spans="11:11" x14ac:dyDescent="0.3">
      <c r="K446" s="34"/>
    </row>
    <row r="447" spans="11:11" x14ac:dyDescent="0.3">
      <c r="K447" s="34"/>
    </row>
    <row r="448" spans="11:11" x14ac:dyDescent="0.3">
      <c r="K448" s="34"/>
    </row>
    <row r="449" spans="11:11" x14ac:dyDescent="0.3">
      <c r="K449" s="34"/>
    </row>
    <row r="450" spans="11:11" x14ac:dyDescent="0.3">
      <c r="K450" s="34"/>
    </row>
    <row r="451" spans="11:11" x14ac:dyDescent="0.3">
      <c r="K451" s="34"/>
    </row>
    <row r="452" spans="11:11" x14ac:dyDescent="0.3">
      <c r="K452" s="34"/>
    </row>
    <row r="453" spans="11:11" x14ac:dyDescent="0.3">
      <c r="K453" s="34"/>
    </row>
    <row r="454" spans="11:11" x14ac:dyDescent="0.3">
      <c r="K454" s="34"/>
    </row>
    <row r="455" spans="11:11" x14ac:dyDescent="0.3">
      <c r="K455" s="34"/>
    </row>
    <row r="456" spans="11:11" x14ac:dyDescent="0.3">
      <c r="K456" s="34"/>
    </row>
    <row r="457" spans="11:11" x14ac:dyDescent="0.3">
      <c r="K457" s="34"/>
    </row>
    <row r="458" spans="11:11" x14ac:dyDescent="0.3">
      <c r="K458" s="34"/>
    </row>
    <row r="459" spans="11:11" x14ac:dyDescent="0.3">
      <c r="K459" s="34"/>
    </row>
    <row r="460" spans="11:11" x14ac:dyDescent="0.3">
      <c r="K460" s="34"/>
    </row>
    <row r="461" spans="11:11" x14ac:dyDescent="0.3">
      <c r="K461" s="34"/>
    </row>
    <row r="462" spans="11:11" x14ac:dyDescent="0.3">
      <c r="K462" s="34"/>
    </row>
    <row r="463" spans="11:11" x14ac:dyDescent="0.3">
      <c r="K463" s="34"/>
    </row>
    <row r="464" spans="11:11" x14ac:dyDescent="0.3">
      <c r="K464" s="34"/>
    </row>
    <row r="465" spans="11:11" x14ac:dyDescent="0.3">
      <c r="K465" s="34"/>
    </row>
    <row r="466" spans="11:11" x14ac:dyDescent="0.3">
      <c r="K466" s="34"/>
    </row>
    <row r="467" spans="11:11" x14ac:dyDescent="0.3">
      <c r="K467" s="34"/>
    </row>
    <row r="468" spans="11:11" x14ac:dyDescent="0.3">
      <c r="K468" s="34"/>
    </row>
    <row r="469" spans="11:11" x14ac:dyDescent="0.3">
      <c r="K469" s="34"/>
    </row>
    <row r="470" spans="11:11" x14ac:dyDescent="0.3">
      <c r="K470" s="34"/>
    </row>
    <row r="471" spans="11:11" x14ac:dyDescent="0.3">
      <c r="K471" s="34"/>
    </row>
    <row r="472" spans="11:11" x14ac:dyDescent="0.3">
      <c r="K472" s="34"/>
    </row>
    <row r="473" spans="11:11" x14ac:dyDescent="0.3">
      <c r="K473" s="34"/>
    </row>
    <row r="474" spans="11:11" x14ac:dyDescent="0.3">
      <c r="K474" s="34"/>
    </row>
    <row r="475" spans="11:11" x14ac:dyDescent="0.3">
      <c r="K475" s="34"/>
    </row>
    <row r="476" spans="11:11" x14ac:dyDescent="0.3">
      <c r="K476" s="34"/>
    </row>
    <row r="477" spans="11:11" x14ac:dyDescent="0.3">
      <c r="K477" s="34"/>
    </row>
    <row r="478" spans="11:11" x14ac:dyDescent="0.3">
      <c r="K478" s="34"/>
    </row>
    <row r="479" spans="11:11" x14ac:dyDescent="0.3">
      <c r="K479" s="34"/>
    </row>
    <row r="480" spans="11:11" x14ac:dyDescent="0.3">
      <c r="K480" s="34"/>
    </row>
    <row r="481" spans="11:11" x14ac:dyDescent="0.3">
      <c r="K481" s="34"/>
    </row>
    <row r="482" spans="11:11" x14ac:dyDescent="0.3">
      <c r="K482" s="34"/>
    </row>
    <row r="483" spans="11:11" x14ac:dyDescent="0.3">
      <c r="K483" s="34"/>
    </row>
    <row r="484" spans="11:11" x14ac:dyDescent="0.3">
      <c r="K484" s="34"/>
    </row>
    <row r="485" spans="11:11" x14ac:dyDescent="0.3">
      <c r="K485" s="34"/>
    </row>
    <row r="486" spans="11:11" x14ac:dyDescent="0.3">
      <c r="K486" s="34"/>
    </row>
    <row r="487" spans="11:11" x14ac:dyDescent="0.3">
      <c r="K487" s="34"/>
    </row>
    <row r="488" spans="11:11" x14ac:dyDescent="0.3">
      <c r="K488" s="34"/>
    </row>
    <row r="489" spans="11:11" x14ac:dyDescent="0.3">
      <c r="K489" s="34"/>
    </row>
    <row r="490" spans="11:11" x14ac:dyDescent="0.3">
      <c r="K490" s="34"/>
    </row>
    <row r="491" spans="11:11" x14ac:dyDescent="0.3">
      <c r="K491" s="34"/>
    </row>
    <row r="492" spans="11:11" x14ac:dyDescent="0.3">
      <c r="K492" s="34"/>
    </row>
    <row r="493" spans="11:11" x14ac:dyDescent="0.3">
      <c r="K493" s="34"/>
    </row>
    <row r="494" spans="11:11" x14ac:dyDescent="0.3">
      <c r="K494" s="34"/>
    </row>
    <row r="495" spans="11:11" x14ac:dyDescent="0.3">
      <c r="K495" s="34"/>
    </row>
    <row r="496" spans="11:11" x14ac:dyDescent="0.3">
      <c r="K496" s="34"/>
    </row>
    <row r="497" spans="11:11" x14ac:dyDescent="0.3">
      <c r="K497" s="34"/>
    </row>
    <row r="498" spans="11:11" x14ac:dyDescent="0.3">
      <c r="K498" s="34"/>
    </row>
    <row r="499" spans="11:11" x14ac:dyDescent="0.3">
      <c r="K499" s="34"/>
    </row>
    <row r="500" spans="11:11" x14ac:dyDescent="0.3">
      <c r="K500" s="34"/>
    </row>
    <row r="501" spans="11:11" x14ac:dyDescent="0.3">
      <c r="K501" s="34"/>
    </row>
    <row r="502" spans="11:11" x14ac:dyDescent="0.3">
      <c r="K502" s="34"/>
    </row>
    <row r="503" spans="11:11" x14ac:dyDescent="0.3">
      <c r="K503" s="34"/>
    </row>
    <row r="504" spans="11:11" x14ac:dyDescent="0.3">
      <c r="K504" s="34"/>
    </row>
    <row r="505" spans="11:11" x14ac:dyDescent="0.3">
      <c r="K505" s="34"/>
    </row>
    <row r="506" spans="11:11" x14ac:dyDescent="0.3">
      <c r="K506" s="34"/>
    </row>
    <row r="507" spans="11:11" x14ac:dyDescent="0.3">
      <c r="K507" s="34"/>
    </row>
    <row r="508" spans="11:11" x14ac:dyDescent="0.3">
      <c r="K508" s="34"/>
    </row>
    <row r="509" spans="11:11" x14ac:dyDescent="0.3">
      <c r="K509" s="34"/>
    </row>
    <row r="510" spans="11:11" x14ac:dyDescent="0.3">
      <c r="K510" s="34"/>
    </row>
    <row r="511" spans="11:11" x14ac:dyDescent="0.3">
      <c r="K511" s="34"/>
    </row>
    <row r="512" spans="11:11" x14ac:dyDescent="0.3">
      <c r="K512" s="34"/>
    </row>
    <row r="513" spans="11:11" x14ac:dyDescent="0.3">
      <c r="K513" s="34"/>
    </row>
    <row r="514" spans="11:11" x14ac:dyDescent="0.3">
      <c r="K514" s="34"/>
    </row>
    <row r="515" spans="11:11" x14ac:dyDescent="0.3">
      <c r="K515" s="34"/>
    </row>
    <row r="516" spans="11:11" x14ac:dyDescent="0.3">
      <c r="K516" s="34"/>
    </row>
    <row r="517" spans="11:11" x14ac:dyDescent="0.3">
      <c r="K517" s="34"/>
    </row>
    <row r="518" spans="11:11" x14ac:dyDescent="0.3">
      <c r="K518" s="34"/>
    </row>
    <row r="519" spans="11:11" x14ac:dyDescent="0.3">
      <c r="K519" s="34"/>
    </row>
    <row r="520" spans="11:11" x14ac:dyDescent="0.3">
      <c r="K520" s="34"/>
    </row>
    <row r="521" spans="11:11" x14ac:dyDescent="0.3">
      <c r="K521" s="34"/>
    </row>
    <row r="522" spans="11:11" x14ac:dyDescent="0.3">
      <c r="K522" s="34"/>
    </row>
    <row r="523" spans="11:11" x14ac:dyDescent="0.3">
      <c r="K523" s="34"/>
    </row>
    <row r="524" spans="11:11" x14ac:dyDescent="0.3">
      <c r="K524" s="34"/>
    </row>
    <row r="525" spans="11:11" x14ac:dyDescent="0.3">
      <c r="K525" s="34"/>
    </row>
    <row r="526" spans="11:11" x14ac:dyDescent="0.3">
      <c r="K526" s="34"/>
    </row>
    <row r="527" spans="11:11" x14ac:dyDescent="0.3">
      <c r="K527" s="34"/>
    </row>
    <row r="528" spans="11:11" x14ac:dyDescent="0.3">
      <c r="K528" s="34"/>
    </row>
    <row r="529" spans="11:11" x14ac:dyDescent="0.3">
      <c r="K529" s="34"/>
    </row>
    <row r="530" spans="11:11" x14ac:dyDescent="0.3">
      <c r="K530" s="34"/>
    </row>
    <row r="531" spans="11:11" x14ac:dyDescent="0.3">
      <c r="K531" s="34"/>
    </row>
    <row r="532" spans="11:11" x14ac:dyDescent="0.3">
      <c r="K532" s="34"/>
    </row>
    <row r="533" spans="11:11" x14ac:dyDescent="0.3">
      <c r="K533" s="34"/>
    </row>
    <row r="534" spans="11:11" x14ac:dyDescent="0.3">
      <c r="K534" s="34"/>
    </row>
    <row r="535" spans="11:11" x14ac:dyDescent="0.3">
      <c r="K535" s="34"/>
    </row>
    <row r="536" spans="11:11" x14ac:dyDescent="0.3">
      <c r="K536" s="34"/>
    </row>
    <row r="537" spans="11:11" x14ac:dyDescent="0.3">
      <c r="K537" s="34"/>
    </row>
    <row r="538" spans="11:11" x14ac:dyDescent="0.3">
      <c r="K538" s="34"/>
    </row>
    <row r="539" spans="11:11" x14ac:dyDescent="0.3">
      <c r="K539" s="34"/>
    </row>
    <row r="540" spans="11:11" x14ac:dyDescent="0.3">
      <c r="K540" s="34"/>
    </row>
    <row r="541" spans="11:11" x14ac:dyDescent="0.3">
      <c r="K541" s="34"/>
    </row>
    <row r="542" spans="11:11" x14ac:dyDescent="0.3">
      <c r="K542" s="34"/>
    </row>
    <row r="543" spans="11:11" x14ac:dyDescent="0.3">
      <c r="K543" s="34"/>
    </row>
    <row r="544" spans="11:11" x14ac:dyDescent="0.3">
      <c r="K544" s="34"/>
    </row>
    <row r="545" spans="11:11" x14ac:dyDescent="0.3">
      <c r="K545" s="34"/>
    </row>
    <row r="546" spans="11:11" x14ac:dyDescent="0.3">
      <c r="K546" s="34"/>
    </row>
    <row r="547" spans="11:11" x14ac:dyDescent="0.3">
      <c r="K547" s="34"/>
    </row>
    <row r="548" spans="11:11" x14ac:dyDescent="0.3">
      <c r="K548" s="34"/>
    </row>
    <row r="549" spans="11:11" x14ac:dyDescent="0.3">
      <c r="K549" s="34"/>
    </row>
    <row r="550" spans="11:11" x14ac:dyDescent="0.3">
      <c r="K550" s="34"/>
    </row>
    <row r="551" spans="11:11" x14ac:dyDescent="0.3">
      <c r="K551" s="34"/>
    </row>
    <row r="552" spans="11:11" x14ac:dyDescent="0.3">
      <c r="K552" s="34"/>
    </row>
    <row r="553" spans="11:11" x14ac:dyDescent="0.3">
      <c r="K553" s="34"/>
    </row>
    <row r="554" spans="11:11" x14ac:dyDescent="0.3">
      <c r="K554" s="34"/>
    </row>
    <row r="555" spans="11:11" x14ac:dyDescent="0.3">
      <c r="K555" s="34"/>
    </row>
    <row r="556" spans="11:11" x14ac:dyDescent="0.3">
      <c r="K556" s="34"/>
    </row>
    <row r="557" spans="11:11" x14ac:dyDescent="0.3">
      <c r="K557" s="34"/>
    </row>
    <row r="558" spans="11:11" x14ac:dyDescent="0.3">
      <c r="K558" s="34"/>
    </row>
    <row r="559" spans="11:11" x14ac:dyDescent="0.3">
      <c r="K559" s="34"/>
    </row>
    <row r="560" spans="11:11" x14ac:dyDescent="0.3">
      <c r="K560" s="34"/>
    </row>
    <row r="561" spans="11:11" x14ac:dyDescent="0.3">
      <c r="K561" s="34"/>
    </row>
    <row r="562" spans="11:11" x14ac:dyDescent="0.3">
      <c r="K562" s="34"/>
    </row>
    <row r="563" spans="11:11" x14ac:dyDescent="0.3">
      <c r="K563" s="34"/>
    </row>
    <row r="564" spans="11:11" x14ac:dyDescent="0.3">
      <c r="K564" s="34"/>
    </row>
    <row r="565" spans="11:11" x14ac:dyDescent="0.3">
      <c r="K565" s="34"/>
    </row>
    <row r="566" spans="11:11" x14ac:dyDescent="0.3">
      <c r="K566" s="34"/>
    </row>
    <row r="567" spans="11:11" x14ac:dyDescent="0.3">
      <c r="K567" s="34"/>
    </row>
    <row r="568" spans="11:11" x14ac:dyDescent="0.3">
      <c r="K568" s="34"/>
    </row>
    <row r="569" spans="11:11" x14ac:dyDescent="0.3">
      <c r="K569" s="34"/>
    </row>
    <row r="570" spans="11:11" x14ac:dyDescent="0.3">
      <c r="K570" s="34"/>
    </row>
    <row r="571" spans="11:11" x14ac:dyDescent="0.3">
      <c r="K571" s="34"/>
    </row>
    <row r="572" spans="11:11" x14ac:dyDescent="0.3">
      <c r="K572" s="34"/>
    </row>
    <row r="573" spans="11:11" x14ac:dyDescent="0.3">
      <c r="K573" s="34"/>
    </row>
    <row r="574" spans="11:11" x14ac:dyDescent="0.3">
      <c r="K574" s="34"/>
    </row>
    <row r="575" spans="11:11" x14ac:dyDescent="0.3">
      <c r="K575" s="34"/>
    </row>
    <row r="576" spans="11:11" x14ac:dyDescent="0.3">
      <c r="K576" s="34"/>
    </row>
    <row r="577" spans="1:11" x14ac:dyDescent="0.3">
      <c r="K577" s="34"/>
    </row>
    <row r="578" spans="1:11" x14ac:dyDescent="0.3">
      <c r="K578" s="34"/>
    </row>
    <row r="579" spans="1:11" x14ac:dyDescent="0.3">
      <c r="K579" s="34"/>
    </row>
    <row r="580" spans="1:11" x14ac:dyDescent="0.3">
      <c r="K580" s="34"/>
    </row>
    <row r="581" spans="1:11" x14ac:dyDescent="0.3">
      <c r="K581" s="34"/>
    </row>
    <row r="582" spans="1:11" x14ac:dyDescent="0.3">
      <c r="K582" s="34"/>
    </row>
    <row r="583" spans="1:11" x14ac:dyDescent="0.3">
      <c r="K583" s="34"/>
    </row>
    <row r="584" spans="1:11" x14ac:dyDescent="0.3">
      <c r="K584" s="34"/>
    </row>
    <row r="585" spans="1:11" x14ac:dyDescent="0.3">
      <c r="K585" s="34"/>
    </row>
    <row r="586" spans="1:11" x14ac:dyDescent="0.3">
      <c r="K586" s="34"/>
    </row>
    <row r="587" spans="1:11" x14ac:dyDescent="0.3">
      <c r="K587" s="34"/>
    </row>
    <row r="588" spans="1:11" x14ac:dyDescent="0.3">
      <c r="A588" s="34"/>
      <c r="B588" s="34"/>
      <c r="C588" s="34"/>
      <c r="D588" s="34"/>
      <c r="E588" s="34"/>
      <c r="F588" s="34"/>
      <c r="G588" s="34"/>
      <c r="H588" s="34"/>
      <c r="I588" s="34"/>
      <c r="J588" s="34"/>
      <c r="K588" s="3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BAF59-825E-4511-873B-4145562184CD}">
  <dimension ref="B2:E9"/>
  <sheetViews>
    <sheetView workbookViewId="0">
      <selection activeCell="B3" sqref="B3:G13"/>
    </sheetView>
  </sheetViews>
  <sheetFormatPr defaultRowHeight="15.05" x14ac:dyDescent="0.3"/>
  <cols>
    <col min="1" max="1" width="2.5546875" customWidth="1"/>
    <col min="3" max="3" width="11.5546875" customWidth="1"/>
    <col min="4" max="4" width="2.77734375" customWidth="1"/>
  </cols>
  <sheetData>
    <row r="2" spans="2:5" x14ac:dyDescent="0.3">
      <c r="B2" s="1"/>
      <c r="C2" s="1"/>
      <c r="D2" s="1"/>
      <c r="E2" s="1"/>
    </row>
    <row r="3" spans="2:5" ht="33.200000000000003" customHeight="1" x14ac:dyDescent="0.3"/>
    <row r="9" spans="2:5" ht="36.35" customHeight="1"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Sheet3</vt:lpstr>
      <vt:lpstr>Analysis</vt:lpstr>
      <vt:lpstr>all</vt:lpstr>
      <vt:lpstr>Sheet8</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Christopher Rodican</cp:lastModifiedBy>
  <dcterms:created xsi:type="dcterms:W3CDTF">2025-06-20T22:19:19Z</dcterms:created>
  <dcterms:modified xsi:type="dcterms:W3CDTF">2025-06-24T17:24:55Z</dcterms:modified>
</cp:coreProperties>
</file>